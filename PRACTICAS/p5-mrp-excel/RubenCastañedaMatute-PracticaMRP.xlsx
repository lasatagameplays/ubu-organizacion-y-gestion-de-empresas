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24226"/>
  <xr:revisionPtr revIDLastSave="0" documentId="13_ncr:9_{037D3791-A54D-4EC2-8D51-66002361F3CC}" xr6:coauthVersionLast="47" xr6:coauthVersionMax="47" xr10:uidLastSave="{00000000-0000-0000-0000-000000000000}"/>
  <bookViews>
    <workbookView xWindow="-108" yWindow="-108" windowWidth="23256" windowHeight="12456" activeTab="3" xr2:uid="{175E7FCD-D6AF-4C4B-AB3B-05A7747B09E3}"/>
  </bookViews>
  <sheets>
    <sheet name="Datos de Entrada (1)" sheetId="1" r:id="rId1"/>
    <sheet name="Datos de Entrada (2)" sheetId="2" r:id="rId2"/>
    <sheet name="LANZ PP" sheetId="6" r:id="rId3"/>
    <sheet name="LANZ PP CAMBIOS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7" l="1"/>
  <c r="E28" i="7"/>
  <c r="F28" i="7"/>
  <c r="G28" i="7"/>
  <c r="H28" i="7"/>
  <c r="I28" i="7"/>
  <c r="J28" i="7"/>
  <c r="K28" i="7"/>
  <c r="L28" i="7"/>
  <c r="M28" i="7"/>
  <c r="N28" i="7"/>
  <c r="O28" i="7"/>
  <c r="P28" i="7"/>
  <c r="P30" i="7" s="1"/>
  <c r="P31" i="7" s="1"/>
  <c r="P32" i="7" s="1"/>
  <c r="P33" i="7" s="1"/>
  <c r="Q28" i="7"/>
  <c r="R28" i="7"/>
  <c r="R30" i="7" s="1"/>
  <c r="R31" i="7" s="1"/>
  <c r="R32" i="7" s="1"/>
  <c r="R33" i="7" s="1"/>
  <c r="S28" i="7"/>
  <c r="S30" i="7" s="1"/>
  <c r="S31" i="7" s="1"/>
  <c r="S32" i="7" s="1"/>
  <c r="T28" i="7"/>
  <c r="T30" i="7" s="1"/>
  <c r="T31" i="7" s="1"/>
  <c r="T32" i="7" s="1"/>
  <c r="U28" i="7"/>
  <c r="U30" i="7" s="1"/>
  <c r="U31" i="7" s="1"/>
  <c r="U32" i="7" s="1"/>
  <c r="C28" i="7"/>
  <c r="C30" i="7" s="1"/>
  <c r="C31" i="7" s="1"/>
  <c r="C32" i="7" s="1"/>
  <c r="B34" i="7" s="1"/>
  <c r="B8" i="7" s="1"/>
  <c r="B28" i="7"/>
  <c r="B30" i="7" s="1"/>
  <c r="B31" i="7" s="1"/>
  <c r="B32" i="7" s="1"/>
  <c r="B33" i="7" s="1"/>
  <c r="C29" i="7" s="1"/>
  <c r="D19" i="7"/>
  <c r="E19" i="7"/>
  <c r="F19" i="7"/>
  <c r="G19" i="7"/>
  <c r="H19" i="7"/>
  <c r="I19" i="7"/>
  <c r="J19" i="7"/>
  <c r="K19" i="7"/>
  <c r="K21" i="7" s="1"/>
  <c r="K22" i="7" s="1"/>
  <c r="K23" i="7" s="1"/>
  <c r="L19" i="7"/>
  <c r="M19" i="7"/>
  <c r="M21" i="7" s="1"/>
  <c r="M22" i="7" s="1"/>
  <c r="M23" i="7" s="1"/>
  <c r="N19" i="7"/>
  <c r="N21" i="7" s="1"/>
  <c r="N22" i="7" s="1"/>
  <c r="N23" i="7" s="1"/>
  <c r="N24" i="7" s="1"/>
  <c r="O19" i="7"/>
  <c r="P19" i="7"/>
  <c r="Q19" i="7"/>
  <c r="R19" i="7"/>
  <c r="R21" i="7" s="1"/>
  <c r="R22" i="7" s="1"/>
  <c r="R23" i="7" s="1"/>
  <c r="S19" i="7"/>
  <c r="S21" i="7" s="1"/>
  <c r="S22" i="7" s="1"/>
  <c r="S23" i="7" s="1"/>
  <c r="T19" i="7"/>
  <c r="U19" i="7"/>
  <c r="C19" i="7"/>
  <c r="B19" i="7"/>
  <c r="U106" i="7"/>
  <c r="U16" i="7" s="1"/>
  <c r="T106" i="7"/>
  <c r="T16" i="7" s="1"/>
  <c r="B101" i="7"/>
  <c r="U97" i="7"/>
  <c r="U15" i="7" s="1"/>
  <c r="B92" i="7"/>
  <c r="U88" i="7"/>
  <c r="U14" i="7" s="1"/>
  <c r="B83" i="7"/>
  <c r="U79" i="7"/>
  <c r="U13" i="7" s="1"/>
  <c r="T79" i="7"/>
  <c r="T13" i="7" s="1"/>
  <c r="B74" i="7"/>
  <c r="U70" i="7"/>
  <c r="U12" i="7" s="1"/>
  <c r="B65" i="7"/>
  <c r="U61" i="7"/>
  <c r="U11" i="7" s="1"/>
  <c r="B56" i="7"/>
  <c r="U52" i="7"/>
  <c r="U10" i="7" s="1"/>
  <c r="T52" i="7"/>
  <c r="T10" i="7" s="1"/>
  <c r="B47" i="7"/>
  <c r="U43" i="7"/>
  <c r="U9" i="7" s="1"/>
  <c r="T43" i="7"/>
  <c r="T9" i="7" s="1"/>
  <c r="B38" i="7"/>
  <c r="U34" i="7"/>
  <c r="U8" i="7" s="1"/>
  <c r="I34" i="7"/>
  <c r="I8" i="7" s="1"/>
  <c r="H33" i="7"/>
  <c r="E33" i="7"/>
  <c r="E31" i="7"/>
  <c r="E32" i="7" s="1"/>
  <c r="D34" i="7" s="1"/>
  <c r="D8" i="7" s="1"/>
  <c r="Q30" i="7"/>
  <c r="Q31" i="7" s="1"/>
  <c r="Q32" i="7" s="1"/>
  <c r="O30" i="7"/>
  <c r="O31" i="7" s="1"/>
  <c r="O32" i="7" s="1"/>
  <c r="N30" i="7"/>
  <c r="N31" i="7" s="1"/>
  <c r="N32" i="7" s="1"/>
  <c r="M30" i="7"/>
  <c r="M31" i="7" s="1"/>
  <c r="M32" i="7" s="1"/>
  <c r="L34" i="7" s="1"/>
  <c r="L8" i="7" s="1"/>
  <c r="L30" i="7"/>
  <c r="L31" i="7" s="1"/>
  <c r="L32" i="7" s="1"/>
  <c r="K30" i="7"/>
  <c r="K31" i="7" s="1"/>
  <c r="K32" i="7" s="1"/>
  <c r="J30" i="7"/>
  <c r="J31" i="7" s="1"/>
  <c r="J32" i="7" s="1"/>
  <c r="J33" i="7" s="1"/>
  <c r="I30" i="7"/>
  <c r="I31" i="7" s="1"/>
  <c r="I32" i="7" s="1"/>
  <c r="H30" i="7"/>
  <c r="H31" i="7" s="1"/>
  <c r="H32" i="7" s="1"/>
  <c r="G34" i="7" s="1"/>
  <c r="G8" i="7" s="1"/>
  <c r="G30" i="7"/>
  <c r="G31" i="7" s="1"/>
  <c r="G32" i="7" s="1"/>
  <c r="F30" i="7"/>
  <c r="F31" i="7" s="1"/>
  <c r="F32" i="7" s="1"/>
  <c r="E30" i="7"/>
  <c r="D30" i="7"/>
  <c r="D31" i="7" s="1"/>
  <c r="D32" i="7" s="1"/>
  <c r="B29" i="7"/>
  <c r="U25" i="7"/>
  <c r="U7" i="7" s="1"/>
  <c r="L22" i="7"/>
  <c r="L23" i="7" s="1"/>
  <c r="I22" i="7"/>
  <c r="I23" i="7" s="1"/>
  <c r="H25" i="7" s="1"/>
  <c r="H7" i="7" s="1"/>
  <c r="G22" i="7"/>
  <c r="G23" i="7" s="1"/>
  <c r="F25" i="7" s="1"/>
  <c r="F7" i="7" s="1"/>
  <c r="T21" i="7"/>
  <c r="T22" i="7" s="1"/>
  <c r="T23" i="7" s="1"/>
  <c r="S25" i="7" s="1"/>
  <c r="S7" i="7" s="1"/>
  <c r="Q21" i="7"/>
  <c r="Q22" i="7" s="1"/>
  <c r="Q23" i="7" s="1"/>
  <c r="P25" i="7" s="1"/>
  <c r="P7" i="7" s="1"/>
  <c r="P21" i="7"/>
  <c r="P22" i="7" s="1"/>
  <c r="P23" i="7" s="1"/>
  <c r="O21" i="7"/>
  <c r="O22" i="7" s="1"/>
  <c r="O23" i="7" s="1"/>
  <c r="N25" i="7" s="1"/>
  <c r="N7" i="7" s="1"/>
  <c r="L21" i="7"/>
  <c r="J21" i="7"/>
  <c r="J22" i="7" s="1"/>
  <c r="J23" i="7" s="1"/>
  <c r="I21" i="7"/>
  <c r="H21" i="7"/>
  <c r="H22" i="7" s="1"/>
  <c r="H23" i="7" s="1"/>
  <c r="G21" i="7"/>
  <c r="F21" i="7"/>
  <c r="F22" i="7" s="1"/>
  <c r="F23" i="7" s="1"/>
  <c r="F24" i="7" s="1"/>
  <c r="E21" i="7"/>
  <c r="E22" i="7" s="1"/>
  <c r="E23" i="7" s="1"/>
  <c r="E24" i="7" s="1"/>
  <c r="D21" i="7"/>
  <c r="D22" i="7" s="1"/>
  <c r="D23" i="7" s="1"/>
  <c r="C25" i="7" s="1"/>
  <c r="C7" i="7" s="1"/>
  <c r="C21" i="7"/>
  <c r="C22" i="7" s="1"/>
  <c r="C23" i="7" s="1"/>
  <c r="C24" i="7" s="1"/>
  <c r="B21" i="7"/>
  <c r="B22" i="7" s="1"/>
  <c r="B23" i="7" s="1"/>
  <c r="B24" i="7" s="1"/>
  <c r="B20" i="7"/>
  <c r="U21" i="7"/>
  <c r="U22" i="7" s="1"/>
  <c r="U23" i="7" s="1"/>
  <c r="T106" i="6"/>
  <c r="T16" i="6" s="1"/>
  <c r="U106" i="6"/>
  <c r="U16" i="6" s="1"/>
  <c r="U97" i="6"/>
  <c r="U15" i="6" s="1"/>
  <c r="U88" i="6"/>
  <c r="U14" i="6" s="1"/>
  <c r="T79" i="6"/>
  <c r="T13" i="6" s="1"/>
  <c r="U79" i="6"/>
  <c r="U13" i="6" s="1"/>
  <c r="U70" i="6"/>
  <c r="U12" i="6" s="1"/>
  <c r="U61" i="6"/>
  <c r="U11" i="6" s="1"/>
  <c r="T52" i="6"/>
  <c r="U52" i="6"/>
  <c r="T43" i="6"/>
  <c r="U43" i="6"/>
  <c r="U34" i="6"/>
  <c r="D30" i="6"/>
  <c r="D31" i="6" s="1"/>
  <c r="D32" i="6" s="1"/>
  <c r="C34" i="6" s="1"/>
  <c r="E30" i="6"/>
  <c r="E31" i="6" s="1"/>
  <c r="E32" i="6" s="1"/>
  <c r="E33" i="6" s="1"/>
  <c r="F30" i="6"/>
  <c r="F31" i="6" s="1"/>
  <c r="F32" i="6" s="1"/>
  <c r="F33" i="6" s="1"/>
  <c r="G30" i="6"/>
  <c r="G31" i="6" s="1"/>
  <c r="G32" i="6" s="1"/>
  <c r="G33" i="6" s="1"/>
  <c r="H30" i="6"/>
  <c r="H31" i="6" s="1"/>
  <c r="H32" i="6" s="1"/>
  <c r="H33" i="6" s="1"/>
  <c r="I30" i="6"/>
  <c r="I31" i="6" s="1"/>
  <c r="I32" i="6" s="1"/>
  <c r="I33" i="6" s="1"/>
  <c r="J30" i="6"/>
  <c r="J31" i="6" s="1"/>
  <c r="J32" i="6" s="1"/>
  <c r="K30" i="6"/>
  <c r="K31" i="6" s="1"/>
  <c r="K32" i="6" s="1"/>
  <c r="K33" i="6" s="1"/>
  <c r="L30" i="6"/>
  <c r="L31" i="6" s="1"/>
  <c r="L32" i="6" s="1"/>
  <c r="M30" i="6"/>
  <c r="M31" i="6" s="1"/>
  <c r="M32" i="6" s="1"/>
  <c r="M33" i="6" s="1"/>
  <c r="N30" i="6"/>
  <c r="N31" i="6" s="1"/>
  <c r="N32" i="6" s="1"/>
  <c r="N33" i="6" s="1"/>
  <c r="O30" i="6"/>
  <c r="O31" i="6" s="1"/>
  <c r="O32" i="6" s="1"/>
  <c r="O33" i="6" s="1"/>
  <c r="P30" i="6"/>
  <c r="P31" i="6" s="1"/>
  <c r="P32" i="6" s="1"/>
  <c r="O34" i="6" s="1"/>
  <c r="Q30" i="6"/>
  <c r="Q31" i="6" s="1"/>
  <c r="Q32" i="6" s="1"/>
  <c r="P34" i="6" s="1"/>
  <c r="C30" i="6"/>
  <c r="C31" i="6" s="1"/>
  <c r="C32" i="6" s="1"/>
  <c r="B34" i="6" s="1"/>
  <c r="B30" i="6"/>
  <c r="B31" i="6" s="1"/>
  <c r="B32" i="6" s="1"/>
  <c r="B33" i="6" s="1"/>
  <c r="U28" i="6"/>
  <c r="T28" i="6"/>
  <c r="S28" i="6"/>
  <c r="R28" i="6"/>
  <c r="B101" i="6"/>
  <c r="B92" i="6"/>
  <c r="B83" i="6"/>
  <c r="B74" i="6"/>
  <c r="B65" i="6"/>
  <c r="B56" i="6"/>
  <c r="B47" i="6"/>
  <c r="B38" i="6"/>
  <c r="B29" i="6"/>
  <c r="K25" i="6"/>
  <c r="U25" i="6"/>
  <c r="D24" i="6"/>
  <c r="C24" i="6"/>
  <c r="D21" i="6"/>
  <c r="D22" i="6" s="1"/>
  <c r="D23" i="6" s="1"/>
  <c r="C25" i="6" s="1"/>
  <c r="E21" i="6"/>
  <c r="E22" i="6" s="1"/>
  <c r="E23" i="6" s="1"/>
  <c r="E24" i="6" s="1"/>
  <c r="F21" i="6"/>
  <c r="F22" i="6" s="1"/>
  <c r="F23" i="6" s="1"/>
  <c r="E25" i="6" s="1"/>
  <c r="G21" i="6"/>
  <c r="G22" i="6" s="1"/>
  <c r="G23" i="6" s="1"/>
  <c r="G24" i="6" s="1"/>
  <c r="H21" i="6"/>
  <c r="H22" i="6" s="1"/>
  <c r="H23" i="6" s="1"/>
  <c r="H24" i="6" s="1"/>
  <c r="I21" i="6"/>
  <c r="I22" i="6" s="1"/>
  <c r="I23" i="6" s="1"/>
  <c r="I24" i="6" s="1"/>
  <c r="J21" i="6"/>
  <c r="J22" i="6" s="1"/>
  <c r="J23" i="6" s="1"/>
  <c r="J24" i="6" s="1"/>
  <c r="K21" i="6"/>
  <c r="K22" i="6" s="1"/>
  <c r="K23" i="6" s="1"/>
  <c r="K24" i="6" s="1"/>
  <c r="L21" i="6"/>
  <c r="L22" i="6" s="1"/>
  <c r="L23" i="6" s="1"/>
  <c r="L24" i="6" s="1"/>
  <c r="M21" i="6"/>
  <c r="M22" i="6" s="1"/>
  <c r="M23" i="6" s="1"/>
  <c r="M24" i="6" s="1"/>
  <c r="N21" i="6"/>
  <c r="N22" i="6" s="1"/>
  <c r="N23" i="6" s="1"/>
  <c r="N24" i="6" s="1"/>
  <c r="O21" i="6"/>
  <c r="O22" i="6" s="1"/>
  <c r="O23" i="6" s="1"/>
  <c r="O24" i="6" s="1"/>
  <c r="P21" i="6"/>
  <c r="P22" i="6" s="1"/>
  <c r="P23" i="6" s="1"/>
  <c r="P24" i="6" s="1"/>
  <c r="Q21" i="6"/>
  <c r="Q22" i="6" s="1"/>
  <c r="Q23" i="6" s="1"/>
  <c r="Q24" i="6" s="1"/>
  <c r="C21" i="6"/>
  <c r="C22" i="6" s="1"/>
  <c r="C23" i="6" s="1"/>
  <c r="B25" i="6" s="1"/>
  <c r="B21" i="6"/>
  <c r="B22" i="6" s="1"/>
  <c r="B23" i="6" s="1"/>
  <c r="B24" i="6" s="1"/>
  <c r="S19" i="6"/>
  <c r="T19" i="6"/>
  <c r="U19" i="6"/>
  <c r="R19" i="6"/>
  <c r="B20" i="6"/>
  <c r="U100" i="7" l="1"/>
  <c r="U91" i="7"/>
  <c r="U82" i="7"/>
  <c r="L73" i="7"/>
  <c r="I73" i="7"/>
  <c r="G73" i="7"/>
  <c r="U73" i="7"/>
  <c r="D73" i="7"/>
  <c r="B73" i="7"/>
  <c r="B75" i="7" s="1"/>
  <c r="B76" i="7" s="1"/>
  <c r="B77" i="7" s="1"/>
  <c r="B78" i="7" s="1"/>
  <c r="C74" i="7" s="1"/>
  <c r="U64" i="7"/>
  <c r="U66" i="7" s="1"/>
  <c r="U67" i="7" s="1"/>
  <c r="U68" i="7" s="1"/>
  <c r="T64" i="7"/>
  <c r="T66" i="7" s="1"/>
  <c r="T67" i="7" s="1"/>
  <c r="T68" i="7" s="1"/>
  <c r="L55" i="7"/>
  <c r="I55" i="7"/>
  <c r="G55" i="7"/>
  <c r="U55" i="7"/>
  <c r="U57" i="7" s="1"/>
  <c r="U58" i="7" s="1"/>
  <c r="U59" i="7" s="1"/>
  <c r="D55" i="7"/>
  <c r="D46" i="7"/>
  <c r="B55" i="7"/>
  <c r="B57" i="7" s="1"/>
  <c r="B58" i="7" s="1"/>
  <c r="B59" i="7" s="1"/>
  <c r="B60" i="7" s="1"/>
  <c r="L46" i="7"/>
  <c r="I46" i="7"/>
  <c r="G46" i="7"/>
  <c r="U46" i="7"/>
  <c r="U48" i="7" s="1"/>
  <c r="U49" i="7" s="1"/>
  <c r="U50" i="7" s="1"/>
  <c r="S37" i="7"/>
  <c r="N37" i="7"/>
  <c r="B46" i="7"/>
  <c r="B48" i="7" s="1"/>
  <c r="B49" i="7" s="1"/>
  <c r="B50" i="7" s="1"/>
  <c r="B51" i="7" s="1"/>
  <c r="C47" i="7" s="1"/>
  <c r="P37" i="7"/>
  <c r="H37" i="7"/>
  <c r="F37" i="7"/>
  <c r="U37" i="7"/>
  <c r="U39" i="7" s="1"/>
  <c r="U40" i="7" s="1"/>
  <c r="U41" i="7" s="1"/>
  <c r="C37" i="7"/>
  <c r="C39" i="7" s="1"/>
  <c r="C40" i="7" s="1"/>
  <c r="C41" i="7" s="1"/>
  <c r="C42" i="7" s="1"/>
  <c r="J34" i="7"/>
  <c r="K33" i="7"/>
  <c r="U33" i="7"/>
  <c r="T34" i="7"/>
  <c r="D24" i="7"/>
  <c r="I24" i="7"/>
  <c r="T24" i="7"/>
  <c r="C20" i="7"/>
  <c r="D20" i="7" s="1"/>
  <c r="E20" i="7" s="1"/>
  <c r="F20" i="7" s="1"/>
  <c r="G20" i="7" s="1"/>
  <c r="R34" i="7"/>
  <c r="S33" i="7"/>
  <c r="N34" i="7"/>
  <c r="O33" i="7"/>
  <c r="P34" i="7"/>
  <c r="Q33" i="7"/>
  <c r="I25" i="7"/>
  <c r="J24" i="7"/>
  <c r="C34" i="7"/>
  <c r="D33" i="7"/>
  <c r="S34" i="7"/>
  <c r="T33" i="7"/>
  <c r="G33" i="7"/>
  <c r="F34" i="7"/>
  <c r="S24" i="7"/>
  <c r="R25" i="7"/>
  <c r="I33" i="7"/>
  <c r="H34" i="7"/>
  <c r="U24" i="7"/>
  <c r="T25" i="7"/>
  <c r="L24" i="7"/>
  <c r="K25" i="7"/>
  <c r="G25" i="7"/>
  <c r="H24" i="7"/>
  <c r="J25" i="7"/>
  <c r="K24" i="7"/>
  <c r="L25" i="7"/>
  <c r="M24" i="7"/>
  <c r="K34" i="7"/>
  <c r="L33" i="7"/>
  <c r="G24" i="7"/>
  <c r="C33" i="7"/>
  <c r="D29" i="7" s="1"/>
  <c r="E34" i="7"/>
  <c r="F33" i="7"/>
  <c r="Q24" i="7"/>
  <c r="B25" i="7"/>
  <c r="M33" i="7"/>
  <c r="E7" i="6"/>
  <c r="C7" i="6"/>
  <c r="D25" i="7"/>
  <c r="E25" i="7"/>
  <c r="O24" i="7"/>
  <c r="B7" i="6"/>
  <c r="C46" i="6"/>
  <c r="C48" i="6" s="1"/>
  <c r="C49" i="6" s="1"/>
  <c r="C50" i="6" s="1"/>
  <c r="C51" i="6" s="1"/>
  <c r="Q25" i="7"/>
  <c r="R24" i="7"/>
  <c r="O25" i="7"/>
  <c r="P24" i="7"/>
  <c r="U7" i="6"/>
  <c r="U84" i="7"/>
  <c r="U85" i="7" s="1"/>
  <c r="U86" i="7" s="1"/>
  <c r="U8" i="6"/>
  <c r="M25" i="7"/>
  <c r="M34" i="7"/>
  <c r="N33" i="7"/>
  <c r="U75" i="7"/>
  <c r="U76" i="7" s="1"/>
  <c r="U77" i="7" s="1"/>
  <c r="K7" i="6"/>
  <c r="B46" i="6"/>
  <c r="B48" i="6" s="1"/>
  <c r="B49" i="6" s="1"/>
  <c r="B50" i="6" s="1"/>
  <c r="B51" i="6" s="1"/>
  <c r="C47" i="6" s="1"/>
  <c r="U9" i="6"/>
  <c r="U93" i="7"/>
  <c r="U94" i="7" s="1"/>
  <c r="U95" i="7" s="1"/>
  <c r="O34" i="7"/>
  <c r="P46" i="6"/>
  <c r="P48" i="6" s="1"/>
  <c r="P49" i="6" s="1"/>
  <c r="P50" i="6" s="1"/>
  <c r="P51" i="6" s="1"/>
  <c r="T9" i="6"/>
  <c r="Q34" i="7"/>
  <c r="U10" i="6"/>
  <c r="O46" i="6"/>
  <c r="O48" i="6" s="1"/>
  <c r="O49" i="6" s="1"/>
  <c r="O50" i="6" s="1"/>
  <c r="O51" i="6" s="1"/>
  <c r="T10" i="6"/>
  <c r="U100" i="6"/>
  <c r="U91" i="6"/>
  <c r="U93" i="6" s="1"/>
  <c r="U94" i="6" s="1"/>
  <c r="U95" i="6" s="1"/>
  <c r="O25" i="6"/>
  <c r="O37" i="6" s="1"/>
  <c r="O39" i="6" s="1"/>
  <c r="O40" i="6" s="1"/>
  <c r="O41" i="6" s="1"/>
  <c r="N25" i="6"/>
  <c r="L25" i="6"/>
  <c r="C33" i="6"/>
  <c r="H25" i="6"/>
  <c r="P33" i="6"/>
  <c r="F24" i="6"/>
  <c r="U82" i="6"/>
  <c r="U84" i="6" s="1"/>
  <c r="U85" i="6" s="1"/>
  <c r="U86" i="6" s="1"/>
  <c r="P73" i="6"/>
  <c r="P75" i="6" s="1"/>
  <c r="P76" i="6" s="1"/>
  <c r="P77" i="6" s="1"/>
  <c r="O73" i="6"/>
  <c r="O75" i="6" s="1"/>
  <c r="O76" i="6" s="1"/>
  <c r="O77" i="6" s="1"/>
  <c r="U73" i="6"/>
  <c r="U75" i="6" s="1"/>
  <c r="U76" i="6" s="1"/>
  <c r="U77" i="6" s="1"/>
  <c r="C73" i="6"/>
  <c r="C75" i="6" s="1"/>
  <c r="C76" i="6" s="1"/>
  <c r="C77" i="6" s="1"/>
  <c r="C78" i="6" s="1"/>
  <c r="B73" i="6"/>
  <c r="U64" i="6"/>
  <c r="U66" i="6" s="1"/>
  <c r="U67" i="6" s="1"/>
  <c r="U68" i="6" s="1"/>
  <c r="T64" i="6"/>
  <c r="T66" i="6" s="1"/>
  <c r="T67" i="6" s="1"/>
  <c r="T68" i="6" s="1"/>
  <c r="J33" i="6"/>
  <c r="I34" i="6"/>
  <c r="C20" i="6"/>
  <c r="D20" i="6" s="1"/>
  <c r="E20" i="6" s="1"/>
  <c r="L33" i="6"/>
  <c r="K34" i="6"/>
  <c r="M34" i="6"/>
  <c r="M25" i="6"/>
  <c r="Q33" i="6"/>
  <c r="L34" i="6"/>
  <c r="J34" i="6"/>
  <c r="N34" i="6"/>
  <c r="J25" i="6"/>
  <c r="I25" i="6"/>
  <c r="D33" i="6"/>
  <c r="H34" i="6"/>
  <c r="G34" i="6"/>
  <c r="G25" i="6"/>
  <c r="F34" i="6"/>
  <c r="F25" i="6"/>
  <c r="E34" i="6"/>
  <c r="D34" i="6"/>
  <c r="D25" i="6"/>
  <c r="C29" i="6"/>
  <c r="D29" i="6" s="1"/>
  <c r="P25" i="6"/>
  <c r="P55" i="6"/>
  <c r="P57" i="6" s="1"/>
  <c r="P58" i="6" s="1"/>
  <c r="P59" i="6" s="1"/>
  <c r="O55" i="6"/>
  <c r="O57" i="6" s="1"/>
  <c r="O58" i="6" s="1"/>
  <c r="O59" i="6" s="1"/>
  <c r="U55" i="6"/>
  <c r="U57" i="6" s="1"/>
  <c r="U58" i="6" s="1"/>
  <c r="U59" i="6" s="1"/>
  <c r="C55" i="6"/>
  <c r="C57" i="6" s="1"/>
  <c r="C58" i="6" s="1"/>
  <c r="C59" i="6" s="1"/>
  <c r="B55" i="6"/>
  <c r="U46" i="6"/>
  <c r="U48" i="6" s="1"/>
  <c r="U49" i="6" s="1"/>
  <c r="U50" i="6" s="1"/>
  <c r="K37" i="6"/>
  <c r="K39" i="6" s="1"/>
  <c r="K40" i="6" s="1"/>
  <c r="K41" i="6" s="1"/>
  <c r="U37" i="6"/>
  <c r="U39" i="6" s="1"/>
  <c r="U40" i="6" s="1"/>
  <c r="U41" i="6" s="1"/>
  <c r="E37" i="6"/>
  <c r="E39" i="6" s="1"/>
  <c r="E40" i="6" s="1"/>
  <c r="E41" i="6" s="1"/>
  <c r="C37" i="6"/>
  <c r="C39" i="6" s="1"/>
  <c r="C40" i="6" s="1"/>
  <c r="C41" i="6" s="1"/>
  <c r="C42" i="6" s="1"/>
  <c r="B37" i="6"/>
  <c r="B8" i="6"/>
  <c r="C8" i="6"/>
  <c r="O8" i="6"/>
  <c r="P8" i="6"/>
  <c r="F20" i="6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R21" i="6" s="1"/>
  <c r="R22" i="6" s="1"/>
  <c r="R23" i="6" s="1"/>
  <c r="T55" i="7" l="1"/>
  <c r="T73" i="7"/>
  <c r="S55" i="7"/>
  <c r="S73" i="7"/>
  <c r="J55" i="7"/>
  <c r="J73" i="7"/>
  <c r="J75" i="7" s="1"/>
  <c r="J76" i="7" s="1"/>
  <c r="J77" i="7" s="1"/>
  <c r="M55" i="7"/>
  <c r="M73" i="7"/>
  <c r="P55" i="7"/>
  <c r="P57" i="7" s="1"/>
  <c r="P58" i="7" s="1"/>
  <c r="P59" i="7" s="1"/>
  <c r="O61" i="7" s="1"/>
  <c r="O11" i="7" s="1"/>
  <c r="P73" i="7"/>
  <c r="P75" i="7" s="1"/>
  <c r="P76" i="7" s="1"/>
  <c r="P77" i="7" s="1"/>
  <c r="Q55" i="7"/>
  <c r="Q73" i="7"/>
  <c r="E55" i="7"/>
  <c r="E57" i="7" s="1"/>
  <c r="E58" i="7" s="1"/>
  <c r="E59" i="7" s="1"/>
  <c r="E73" i="7"/>
  <c r="E75" i="7" s="1"/>
  <c r="E76" i="7" s="1"/>
  <c r="E77" i="7" s="1"/>
  <c r="N55" i="7"/>
  <c r="N57" i="7" s="1"/>
  <c r="N58" i="7" s="1"/>
  <c r="N59" i="7" s="1"/>
  <c r="N73" i="7"/>
  <c r="N75" i="7" s="1"/>
  <c r="N76" i="7" s="1"/>
  <c r="N77" i="7" s="1"/>
  <c r="H55" i="7"/>
  <c r="H57" i="7" s="1"/>
  <c r="H58" i="7" s="1"/>
  <c r="H59" i="7" s="1"/>
  <c r="H73" i="7"/>
  <c r="H75" i="7" s="1"/>
  <c r="H76" i="7" s="1"/>
  <c r="H77" i="7" s="1"/>
  <c r="R55" i="7"/>
  <c r="R73" i="7"/>
  <c r="O55" i="7"/>
  <c r="O57" i="7" s="1"/>
  <c r="O58" i="7" s="1"/>
  <c r="O59" i="7" s="1"/>
  <c r="O73" i="7"/>
  <c r="O75" i="7" s="1"/>
  <c r="O76" i="7" s="1"/>
  <c r="O77" i="7" s="1"/>
  <c r="O78" i="7" s="1"/>
  <c r="F55" i="7"/>
  <c r="F73" i="7"/>
  <c r="K55" i="7"/>
  <c r="K57" i="7" s="1"/>
  <c r="K58" i="7" s="1"/>
  <c r="K59" i="7" s="1"/>
  <c r="K73" i="7"/>
  <c r="K75" i="7" s="1"/>
  <c r="K76" i="7" s="1"/>
  <c r="K77" i="7" s="1"/>
  <c r="C55" i="7"/>
  <c r="C57" i="7" s="1"/>
  <c r="C58" i="7" s="1"/>
  <c r="C59" i="7" s="1"/>
  <c r="C60" i="7" s="1"/>
  <c r="C73" i="7"/>
  <c r="C75" i="7" s="1"/>
  <c r="C76" i="7" s="1"/>
  <c r="C77" i="7" s="1"/>
  <c r="C78" i="7" s="1"/>
  <c r="D74" i="7" s="1"/>
  <c r="M8" i="7"/>
  <c r="M46" i="7"/>
  <c r="M48" i="7" s="1"/>
  <c r="M49" i="7" s="1"/>
  <c r="M50" i="7" s="1"/>
  <c r="J8" i="7"/>
  <c r="J46" i="7"/>
  <c r="J48" i="7" s="1"/>
  <c r="J49" i="7" s="1"/>
  <c r="J50" i="7" s="1"/>
  <c r="O8" i="7"/>
  <c r="O46" i="7"/>
  <c r="O48" i="7" s="1"/>
  <c r="O49" i="7" s="1"/>
  <c r="O50" i="7" s="1"/>
  <c r="E8" i="7"/>
  <c r="E46" i="7"/>
  <c r="E48" i="7" s="1"/>
  <c r="E49" i="7" s="1"/>
  <c r="E50" i="7" s="1"/>
  <c r="N8" i="7"/>
  <c r="N46" i="7"/>
  <c r="N48" i="7" s="1"/>
  <c r="N49" i="7" s="1"/>
  <c r="N50" i="7" s="1"/>
  <c r="H8" i="7"/>
  <c r="H46" i="7"/>
  <c r="H48" i="7" s="1"/>
  <c r="H49" i="7" s="1"/>
  <c r="H50" i="7" s="1"/>
  <c r="R8" i="7"/>
  <c r="R46" i="7"/>
  <c r="P8" i="7"/>
  <c r="P46" i="7"/>
  <c r="P48" i="7" s="1"/>
  <c r="P49" i="7" s="1"/>
  <c r="P50" i="7" s="1"/>
  <c r="P51" i="7" s="1"/>
  <c r="F8" i="7"/>
  <c r="F46" i="7"/>
  <c r="F48" i="7" s="1"/>
  <c r="F49" i="7" s="1"/>
  <c r="F50" i="7" s="1"/>
  <c r="K8" i="7"/>
  <c r="K46" i="7"/>
  <c r="K48" i="7" s="1"/>
  <c r="K49" i="7" s="1"/>
  <c r="K50" i="7" s="1"/>
  <c r="S8" i="7"/>
  <c r="S46" i="7"/>
  <c r="Q8" i="7"/>
  <c r="Q46" i="7"/>
  <c r="T8" i="7"/>
  <c r="T46" i="7"/>
  <c r="D47" i="6"/>
  <c r="C8" i="7"/>
  <c r="C46" i="7"/>
  <c r="C48" i="7" s="1"/>
  <c r="C49" i="7" s="1"/>
  <c r="C50" i="7" s="1"/>
  <c r="C51" i="7" s="1"/>
  <c r="D47" i="7" s="1"/>
  <c r="U42" i="7"/>
  <c r="S43" i="7"/>
  <c r="G7" i="7"/>
  <c r="G37" i="7"/>
  <c r="G39" i="7" s="1"/>
  <c r="G40" i="7" s="1"/>
  <c r="G41" i="7" s="1"/>
  <c r="K7" i="7"/>
  <c r="K37" i="7"/>
  <c r="K39" i="7" s="1"/>
  <c r="K40" i="7" s="1"/>
  <c r="K41" i="7" s="1"/>
  <c r="I7" i="7"/>
  <c r="I37" i="7"/>
  <c r="I39" i="7" s="1"/>
  <c r="I40" i="7" s="1"/>
  <c r="I41" i="7" s="1"/>
  <c r="O7" i="7"/>
  <c r="O37" i="7"/>
  <c r="O39" i="7" s="1"/>
  <c r="O40" i="7" s="1"/>
  <c r="O41" i="7" s="1"/>
  <c r="T7" i="7"/>
  <c r="T37" i="7"/>
  <c r="Q7" i="7"/>
  <c r="Q37" i="7"/>
  <c r="J7" i="7"/>
  <c r="J37" i="7"/>
  <c r="J39" i="7" s="1"/>
  <c r="J40" i="7" s="1"/>
  <c r="J41" i="7" s="1"/>
  <c r="R7" i="7"/>
  <c r="R37" i="7"/>
  <c r="E7" i="7"/>
  <c r="E37" i="7"/>
  <c r="E39" i="7" s="1"/>
  <c r="E40" i="7" s="1"/>
  <c r="E41" i="7" s="1"/>
  <c r="D7" i="7"/>
  <c r="D37" i="7"/>
  <c r="D39" i="7" s="1"/>
  <c r="D40" i="7" s="1"/>
  <c r="D41" i="7" s="1"/>
  <c r="M7" i="7"/>
  <c r="M37" i="7"/>
  <c r="M39" i="7" s="1"/>
  <c r="M40" i="7" s="1"/>
  <c r="M41" i="7" s="1"/>
  <c r="L7" i="7"/>
  <c r="L37" i="7"/>
  <c r="L39" i="7" s="1"/>
  <c r="L40" i="7" s="1"/>
  <c r="L41" i="7" s="1"/>
  <c r="B7" i="7"/>
  <c r="B37" i="7"/>
  <c r="B39" i="7" s="1"/>
  <c r="B40" i="7" s="1"/>
  <c r="B41" i="7" s="1"/>
  <c r="B42" i="7" s="1"/>
  <c r="C38" i="7" s="1"/>
  <c r="D38" i="7" s="1"/>
  <c r="E29" i="7"/>
  <c r="F29" i="7" s="1"/>
  <c r="G29" i="7" s="1"/>
  <c r="H29" i="7" s="1"/>
  <c r="I29" i="7" s="1"/>
  <c r="J29" i="7" s="1"/>
  <c r="K29" i="7" s="1"/>
  <c r="L29" i="7" s="1"/>
  <c r="M29" i="7" s="1"/>
  <c r="N29" i="7" s="1"/>
  <c r="O29" i="7" s="1"/>
  <c r="P29" i="7" s="1"/>
  <c r="Q29" i="7" s="1"/>
  <c r="R29" i="7" s="1"/>
  <c r="S29" i="7" s="1"/>
  <c r="T29" i="7" s="1"/>
  <c r="U29" i="7" s="1"/>
  <c r="H20" i="7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N52" i="6"/>
  <c r="N10" i="6" s="1"/>
  <c r="M52" i="6"/>
  <c r="M10" i="6" s="1"/>
  <c r="P39" i="7"/>
  <c r="P40" i="7" s="1"/>
  <c r="P41" i="7" s="1"/>
  <c r="M55" i="6"/>
  <c r="M57" i="6" s="1"/>
  <c r="M58" i="6" s="1"/>
  <c r="M59" i="6" s="1"/>
  <c r="L61" i="6" s="1"/>
  <c r="M75" i="7"/>
  <c r="M76" i="7" s="1"/>
  <c r="M77" i="7" s="1"/>
  <c r="M57" i="7"/>
  <c r="M58" i="7" s="1"/>
  <c r="M59" i="7" s="1"/>
  <c r="H7" i="6"/>
  <c r="H39" i="7"/>
  <c r="H40" i="7" s="1"/>
  <c r="H41" i="7" s="1"/>
  <c r="S70" i="7"/>
  <c r="S12" i="7" s="1"/>
  <c r="T69" i="7"/>
  <c r="E8" i="6"/>
  <c r="L7" i="6"/>
  <c r="U78" i="7"/>
  <c r="S79" i="7"/>
  <c r="S13" i="7" s="1"/>
  <c r="N7" i="6"/>
  <c r="N39" i="7"/>
  <c r="N40" i="7" s="1"/>
  <c r="N41" i="7" s="1"/>
  <c r="F57" i="7"/>
  <c r="F58" i="7" s="1"/>
  <c r="F59" i="7" s="1"/>
  <c r="F75" i="7"/>
  <c r="F76" i="7" s="1"/>
  <c r="F77" i="7" s="1"/>
  <c r="I57" i="7"/>
  <c r="I58" i="7" s="1"/>
  <c r="I59" i="7" s="1"/>
  <c r="I75" i="7"/>
  <c r="I76" i="7" s="1"/>
  <c r="I77" i="7" s="1"/>
  <c r="I48" i="7"/>
  <c r="I49" i="7" s="1"/>
  <c r="I50" i="7" s="1"/>
  <c r="O7" i="6"/>
  <c r="F39" i="7"/>
  <c r="F40" i="7" s="1"/>
  <c r="F41" i="7" s="1"/>
  <c r="G57" i="7"/>
  <c r="G58" i="7" s="1"/>
  <c r="G59" i="7" s="1"/>
  <c r="G75" i="7"/>
  <c r="G76" i="7" s="1"/>
  <c r="G77" i="7" s="1"/>
  <c r="G48" i="7"/>
  <c r="G49" i="7" s="1"/>
  <c r="G50" i="7" s="1"/>
  <c r="U60" i="7"/>
  <c r="T61" i="7"/>
  <c r="S52" i="7"/>
  <c r="U51" i="7"/>
  <c r="D57" i="7"/>
  <c r="D58" i="7" s="1"/>
  <c r="D59" i="7" s="1"/>
  <c r="D75" i="7"/>
  <c r="D76" i="7" s="1"/>
  <c r="D77" i="7" s="1"/>
  <c r="D48" i="7"/>
  <c r="D49" i="7" s="1"/>
  <c r="D50" i="7" s="1"/>
  <c r="N61" i="7"/>
  <c r="O60" i="7"/>
  <c r="U69" i="7"/>
  <c r="T70" i="7"/>
  <c r="T12" i="7" s="1"/>
  <c r="T88" i="7"/>
  <c r="T14" i="7" s="1"/>
  <c r="U87" i="7"/>
  <c r="M79" i="7"/>
  <c r="M13" i="7" s="1"/>
  <c r="U96" i="7"/>
  <c r="T97" i="7"/>
  <c r="J57" i="7"/>
  <c r="J58" i="7" s="1"/>
  <c r="J59" i="7" s="1"/>
  <c r="L75" i="7"/>
  <c r="L76" i="7" s="1"/>
  <c r="L77" i="7" s="1"/>
  <c r="L48" i="7"/>
  <c r="L49" i="7" s="1"/>
  <c r="L50" i="7" s="1"/>
  <c r="L57" i="7"/>
  <c r="L58" i="7" s="1"/>
  <c r="L59" i="7" s="1"/>
  <c r="L37" i="6"/>
  <c r="L39" i="6" s="1"/>
  <c r="L40" i="6" s="1"/>
  <c r="L41" i="6" s="1"/>
  <c r="L42" i="6" s="1"/>
  <c r="N37" i="6"/>
  <c r="N39" i="6" s="1"/>
  <c r="N40" i="6" s="1"/>
  <c r="N41" i="6" s="1"/>
  <c r="L43" i="6" s="1"/>
  <c r="U96" i="6"/>
  <c r="T97" i="6"/>
  <c r="H37" i="6"/>
  <c r="H39" i="6" s="1"/>
  <c r="H40" i="6" s="1"/>
  <c r="H41" i="6" s="1"/>
  <c r="H42" i="6" s="1"/>
  <c r="U87" i="6"/>
  <c r="T88" i="6"/>
  <c r="T14" i="6" s="1"/>
  <c r="F7" i="6"/>
  <c r="G7" i="6"/>
  <c r="I7" i="6"/>
  <c r="J7" i="6"/>
  <c r="P7" i="6"/>
  <c r="G37" i="6"/>
  <c r="G39" i="6" s="1"/>
  <c r="G40" i="6" s="1"/>
  <c r="G41" i="6" s="1"/>
  <c r="E43" i="6" s="1"/>
  <c r="M7" i="6"/>
  <c r="D7" i="6"/>
  <c r="U78" i="6"/>
  <c r="S79" i="6"/>
  <c r="S13" i="6" s="1"/>
  <c r="O78" i="6"/>
  <c r="M79" i="6"/>
  <c r="M13" i="6" s="1"/>
  <c r="P78" i="6"/>
  <c r="N79" i="6"/>
  <c r="N13" i="6" s="1"/>
  <c r="B75" i="6"/>
  <c r="B76" i="6" s="1"/>
  <c r="B77" i="6" s="1"/>
  <c r="B78" i="6" s="1"/>
  <c r="C74" i="6" s="1"/>
  <c r="D74" i="6" s="1"/>
  <c r="N46" i="6"/>
  <c r="N48" i="6" s="1"/>
  <c r="N49" i="6" s="1"/>
  <c r="N50" i="6" s="1"/>
  <c r="N51" i="6" s="1"/>
  <c r="N73" i="6"/>
  <c r="N75" i="6" s="1"/>
  <c r="N76" i="6" s="1"/>
  <c r="N77" i="6" s="1"/>
  <c r="J8" i="6"/>
  <c r="J73" i="6"/>
  <c r="J75" i="6" s="1"/>
  <c r="J76" i="6" s="1"/>
  <c r="J77" i="6" s="1"/>
  <c r="L8" i="6"/>
  <c r="L73" i="6"/>
  <c r="L75" i="6" s="1"/>
  <c r="L76" i="6" s="1"/>
  <c r="L77" i="6" s="1"/>
  <c r="D46" i="6"/>
  <c r="D48" i="6" s="1"/>
  <c r="D49" i="6" s="1"/>
  <c r="D50" i="6" s="1"/>
  <c r="D51" i="6" s="1"/>
  <c r="D73" i="6"/>
  <c r="K8" i="6"/>
  <c r="K73" i="6"/>
  <c r="K75" i="6" s="1"/>
  <c r="K76" i="6" s="1"/>
  <c r="K77" i="6" s="1"/>
  <c r="E46" i="6"/>
  <c r="E48" i="6" s="1"/>
  <c r="E49" i="6" s="1"/>
  <c r="E50" i="6" s="1"/>
  <c r="E51" i="6" s="1"/>
  <c r="E73" i="6"/>
  <c r="E75" i="6" s="1"/>
  <c r="E76" i="6" s="1"/>
  <c r="E77" i="6" s="1"/>
  <c r="F46" i="6"/>
  <c r="F48" i="6" s="1"/>
  <c r="F49" i="6" s="1"/>
  <c r="F50" i="6" s="1"/>
  <c r="F51" i="6" s="1"/>
  <c r="F73" i="6"/>
  <c r="F75" i="6" s="1"/>
  <c r="F76" i="6" s="1"/>
  <c r="F77" i="6" s="1"/>
  <c r="I46" i="6"/>
  <c r="I48" i="6" s="1"/>
  <c r="I49" i="6" s="1"/>
  <c r="I50" i="6" s="1"/>
  <c r="I51" i="6" s="1"/>
  <c r="I73" i="6"/>
  <c r="I75" i="6" s="1"/>
  <c r="I76" i="6" s="1"/>
  <c r="I77" i="6" s="1"/>
  <c r="M46" i="6"/>
  <c r="M48" i="6" s="1"/>
  <c r="M49" i="6" s="1"/>
  <c r="M50" i="6" s="1"/>
  <c r="M51" i="6" s="1"/>
  <c r="M73" i="6"/>
  <c r="M75" i="6" s="1"/>
  <c r="M76" i="6" s="1"/>
  <c r="M77" i="6" s="1"/>
  <c r="G46" i="6"/>
  <c r="G48" i="6" s="1"/>
  <c r="G49" i="6" s="1"/>
  <c r="G50" i="6" s="1"/>
  <c r="G51" i="6" s="1"/>
  <c r="G73" i="6"/>
  <c r="G75" i="6" s="1"/>
  <c r="G76" i="6" s="1"/>
  <c r="G77" i="6" s="1"/>
  <c r="H46" i="6"/>
  <c r="H48" i="6" s="1"/>
  <c r="H49" i="6" s="1"/>
  <c r="H50" i="6" s="1"/>
  <c r="H51" i="6" s="1"/>
  <c r="H73" i="6"/>
  <c r="H75" i="6" s="1"/>
  <c r="H76" i="6" s="1"/>
  <c r="H77" i="6" s="1"/>
  <c r="F55" i="6"/>
  <c r="F57" i="6" s="1"/>
  <c r="F58" i="6" s="1"/>
  <c r="F59" i="6" s="1"/>
  <c r="F60" i="6" s="1"/>
  <c r="T69" i="6"/>
  <c r="S70" i="6"/>
  <c r="S12" i="6" s="1"/>
  <c r="U69" i="6"/>
  <c r="T70" i="6"/>
  <c r="T12" i="6" s="1"/>
  <c r="L55" i="6"/>
  <c r="L57" i="6" s="1"/>
  <c r="L58" i="6" s="1"/>
  <c r="L59" i="6" s="1"/>
  <c r="L60" i="6" s="1"/>
  <c r="N55" i="6"/>
  <c r="N57" i="6" s="1"/>
  <c r="N58" i="6" s="1"/>
  <c r="N59" i="6" s="1"/>
  <c r="N60" i="6" s="1"/>
  <c r="P37" i="6"/>
  <c r="P39" i="6" s="1"/>
  <c r="P40" i="6" s="1"/>
  <c r="P41" i="6" s="1"/>
  <c r="P42" i="6" s="1"/>
  <c r="O60" i="6"/>
  <c r="N61" i="6"/>
  <c r="P60" i="6"/>
  <c r="O61" i="6"/>
  <c r="J46" i="6"/>
  <c r="J48" i="6" s="1"/>
  <c r="J49" i="6" s="1"/>
  <c r="J50" i="6" s="1"/>
  <c r="J51" i="6" s="1"/>
  <c r="U60" i="6"/>
  <c r="T61" i="6"/>
  <c r="M8" i="6"/>
  <c r="D37" i="6"/>
  <c r="D39" i="6" s="1"/>
  <c r="D40" i="6" s="1"/>
  <c r="D41" i="6" s="1"/>
  <c r="D42" i="6" s="1"/>
  <c r="I55" i="6"/>
  <c r="I57" i="6" s="1"/>
  <c r="I58" i="6" s="1"/>
  <c r="I59" i="6" s="1"/>
  <c r="D8" i="6"/>
  <c r="K46" i="6"/>
  <c r="K48" i="6" s="1"/>
  <c r="K49" i="6" s="1"/>
  <c r="K50" i="6" s="1"/>
  <c r="K51" i="6" s="1"/>
  <c r="I8" i="6"/>
  <c r="F8" i="6"/>
  <c r="C60" i="6"/>
  <c r="B61" i="6"/>
  <c r="D55" i="6"/>
  <c r="D57" i="6" s="1"/>
  <c r="D58" i="6" s="1"/>
  <c r="D59" i="6" s="1"/>
  <c r="E55" i="6"/>
  <c r="E57" i="6" s="1"/>
  <c r="E58" i="6" s="1"/>
  <c r="E59" i="6" s="1"/>
  <c r="L46" i="6"/>
  <c r="L48" i="6" s="1"/>
  <c r="L49" i="6" s="1"/>
  <c r="L50" i="6" s="1"/>
  <c r="L51" i="6" s="1"/>
  <c r="I37" i="6"/>
  <c r="I39" i="6" s="1"/>
  <c r="I40" i="6" s="1"/>
  <c r="I41" i="6" s="1"/>
  <c r="I42" i="6" s="1"/>
  <c r="E29" i="6"/>
  <c r="F29" i="6" s="1"/>
  <c r="G29" i="6" s="1"/>
  <c r="H29" i="6" s="1"/>
  <c r="I29" i="6" s="1"/>
  <c r="J29" i="6" s="1"/>
  <c r="K29" i="6" s="1"/>
  <c r="L29" i="6" s="1"/>
  <c r="M29" i="6" s="1"/>
  <c r="N29" i="6" s="1"/>
  <c r="O29" i="6" s="1"/>
  <c r="P29" i="6" s="1"/>
  <c r="Q29" i="6" s="1"/>
  <c r="R29" i="6" s="1"/>
  <c r="R30" i="6" s="1"/>
  <c r="R31" i="6" s="1"/>
  <c r="R32" i="6" s="1"/>
  <c r="H8" i="6"/>
  <c r="J37" i="6"/>
  <c r="J39" i="6" s="1"/>
  <c r="J40" i="6" s="1"/>
  <c r="J41" i="6" s="1"/>
  <c r="J42" i="6" s="1"/>
  <c r="R24" i="6"/>
  <c r="Q25" i="6"/>
  <c r="G55" i="6"/>
  <c r="G57" i="6" s="1"/>
  <c r="G58" i="6" s="1"/>
  <c r="G59" i="6" s="1"/>
  <c r="S20" i="6"/>
  <c r="S21" i="6" s="1"/>
  <c r="S22" i="6" s="1"/>
  <c r="S23" i="6" s="1"/>
  <c r="H55" i="6"/>
  <c r="H57" i="6" s="1"/>
  <c r="H58" i="6" s="1"/>
  <c r="H59" i="6" s="1"/>
  <c r="M37" i="6"/>
  <c r="M39" i="6" s="1"/>
  <c r="M40" i="6" s="1"/>
  <c r="M41" i="6" s="1"/>
  <c r="M42" i="6" s="1"/>
  <c r="N8" i="6"/>
  <c r="J55" i="6"/>
  <c r="J57" i="6" s="1"/>
  <c r="J58" i="6" s="1"/>
  <c r="J59" i="6" s="1"/>
  <c r="G8" i="6"/>
  <c r="F37" i="6"/>
  <c r="F39" i="6" s="1"/>
  <c r="F40" i="6" s="1"/>
  <c r="F41" i="6" s="1"/>
  <c r="F42" i="6" s="1"/>
  <c r="K55" i="6"/>
  <c r="K57" i="6" s="1"/>
  <c r="K58" i="6" s="1"/>
  <c r="K59" i="6" s="1"/>
  <c r="C56" i="6"/>
  <c r="B57" i="6"/>
  <c r="B58" i="6" s="1"/>
  <c r="B59" i="6" s="1"/>
  <c r="B60" i="6" s="1"/>
  <c r="U51" i="6"/>
  <c r="S52" i="6"/>
  <c r="K42" i="6"/>
  <c r="I43" i="6"/>
  <c r="U42" i="6"/>
  <c r="S43" i="6"/>
  <c r="O42" i="6"/>
  <c r="M43" i="6"/>
  <c r="E42" i="6"/>
  <c r="C43" i="6"/>
  <c r="B39" i="6"/>
  <c r="B40" i="6" s="1"/>
  <c r="B41" i="6" s="1"/>
  <c r="B42" i="6" s="1"/>
  <c r="C38" i="6" s="1"/>
  <c r="D38" i="6" s="1"/>
  <c r="S10" i="7" l="1"/>
  <c r="T15" i="7"/>
  <c r="T100" i="7"/>
  <c r="T11" i="7"/>
  <c r="T91" i="7"/>
  <c r="T93" i="7" s="1"/>
  <c r="T94" i="7" s="1"/>
  <c r="T95" i="7" s="1"/>
  <c r="O82" i="7"/>
  <c r="O84" i="7" s="1"/>
  <c r="O85" i="7" s="1"/>
  <c r="O86" i="7" s="1"/>
  <c r="N11" i="7"/>
  <c r="N82" i="7"/>
  <c r="N84" i="7" s="1"/>
  <c r="N85" i="7" s="1"/>
  <c r="N86" i="7" s="1"/>
  <c r="T82" i="7"/>
  <c r="B61" i="7"/>
  <c r="B11" i="7" s="1"/>
  <c r="C56" i="7"/>
  <c r="D56" i="7" s="1"/>
  <c r="N79" i="7"/>
  <c r="N13" i="7" s="1"/>
  <c r="P78" i="7"/>
  <c r="P60" i="7"/>
  <c r="S9" i="7"/>
  <c r="S64" i="7"/>
  <c r="S66" i="7" s="1"/>
  <c r="S67" i="7" s="1"/>
  <c r="S68" i="7" s="1"/>
  <c r="N52" i="7"/>
  <c r="M52" i="7"/>
  <c r="O51" i="7"/>
  <c r="E47" i="6"/>
  <c r="F47" i="6" s="1"/>
  <c r="G47" i="6" s="1"/>
  <c r="H47" i="6" s="1"/>
  <c r="I47" i="6" s="1"/>
  <c r="J47" i="6" s="1"/>
  <c r="K47" i="6" s="1"/>
  <c r="L47" i="6" s="1"/>
  <c r="M47" i="6" s="1"/>
  <c r="N47" i="6" s="1"/>
  <c r="O47" i="6" s="1"/>
  <c r="P47" i="6" s="1"/>
  <c r="Q47" i="6" s="1"/>
  <c r="I43" i="7"/>
  <c r="K42" i="7"/>
  <c r="E42" i="7"/>
  <c r="C43" i="7"/>
  <c r="M60" i="6"/>
  <c r="N42" i="6"/>
  <c r="C61" i="7"/>
  <c r="D60" i="7"/>
  <c r="J43" i="6"/>
  <c r="J64" i="6" s="1"/>
  <c r="J66" i="6" s="1"/>
  <c r="J67" i="6" s="1"/>
  <c r="J68" i="6" s="1"/>
  <c r="L61" i="7"/>
  <c r="M60" i="7"/>
  <c r="G61" i="7"/>
  <c r="H60" i="7"/>
  <c r="O42" i="7"/>
  <c r="M43" i="7"/>
  <c r="K52" i="7"/>
  <c r="M51" i="7"/>
  <c r="F52" i="7"/>
  <c r="H51" i="7"/>
  <c r="J43" i="7"/>
  <c r="L42" i="7"/>
  <c r="M78" i="7"/>
  <c r="K79" i="7"/>
  <c r="K13" i="7" s="1"/>
  <c r="L60" i="7"/>
  <c r="K61" i="7"/>
  <c r="F79" i="7"/>
  <c r="F13" i="7" s="1"/>
  <c r="H78" i="7"/>
  <c r="I51" i="7"/>
  <c r="G52" i="7"/>
  <c r="J52" i="7"/>
  <c r="L51" i="7"/>
  <c r="J42" i="7"/>
  <c r="H43" i="7"/>
  <c r="B43" i="7"/>
  <c r="D42" i="7"/>
  <c r="E38" i="7" s="1"/>
  <c r="J79" i="7"/>
  <c r="J13" i="7" s="1"/>
  <c r="L78" i="7"/>
  <c r="H61" i="7"/>
  <c r="I60" i="7"/>
  <c r="E60" i="7"/>
  <c r="D61" i="7"/>
  <c r="E78" i="7"/>
  <c r="C79" i="7"/>
  <c r="C13" i="7" s="1"/>
  <c r="D52" i="7"/>
  <c r="F51" i="7"/>
  <c r="C52" i="7"/>
  <c r="E51" i="7"/>
  <c r="M42" i="7"/>
  <c r="K43" i="7"/>
  <c r="I61" i="7"/>
  <c r="J60" i="7"/>
  <c r="E52" i="7"/>
  <c r="G51" i="7"/>
  <c r="D79" i="7"/>
  <c r="D13" i="7" s="1"/>
  <c r="F78" i="7"/>
  <c r="G79" i="7"/>
  <c r="G13" i="7" s="1"/>
  <c r="I78" i="7"/>
  <c r="H52" i="7"/>
  <c r="J51" i="7"/>
  <c r="E79" i="7"/>
  <c r="E13" i="7" s="1"/>
  <c r="G78" i="7"/>
  <c r="F60" i="7"/>
  <c r="E61" i="7"/>
  <c r="I79" i="7"/>
  <c r="I13" i="7" s="1"/>
  <c r="K78" i="7"/>
  <c r="J78" i="7"/>
  <c r="H79" i="7"/>
  <c r="H13" i="7" s="1"/>
  <c r="F61" i="7"/>
  <c r="G60" i="7"/>
  <c r="J61" i="7"/>
  <c r="K60" i="7"/>
  <c r="M61" i="7"/>
  <c r="N60" i="7"/>
  <c r="I52" i="7"/>
  <c r="K51" i="7"/>
  <c r="N51" i="7"/>
  <c r="L52" i="7"/>
  <c r="D43" i="7"/>
  <c r="F42" i="7"/>
  <c r="N43" i="7"/>
  <c r="N91" i="7" s="1"/>
  <c r="P42" i="7"/>
  <c r="L79" i="7"/>
  <c r="L13" i="7" s="1"/>
  <c r="N78" i="7"/>
  <c r="B52" i="7"/>
  <c r="D51" i="7"/>
  <c r="E47" i="7" s="1"/>
  <c r="L43" i="7"/>
  <c r="N42" i="7"/>
  <c r="B79" i="7"/>
  <c r="B13" i="7" s="1"/>
  <c r="D78" i="7"/>
  <c r="E74" i="7" s="1"/>
  <c r="G42" i="7"/>
  <c r="E43" i="7"/>
  <c r="G43" i="7"/>
  <c r="I42" i="7"/>
  <c r="F43" i="7"/>
  <c r="H42" i="7"/>
  <c r="S10" i="6"/>
  <c r="T15" i="6"/>
  <c r="T100" i="6"/>
  <c r="L91" i="6"/>
  <c r="L93" i="6" s="1"/>
  <c r="L94" i="6" s="1"/>
  <c r="L95" i="6" s="1"/>
  <c r="L96" i="6" s="1"/>
  <c r="F43" i="6"/>
  <c r="F9" i="6" s="1"/>
  <c r="T11" i="6"/>
  <c r="T91" i="6"/>
  <c r="T93" i="6" s="1"/>
  <c r="T94" i="6" s="1"/>
  <c r="T95" i="6" s="1"/>
  <c r="G42" i="6"/>
  <c r="K52" i="6"/>
  <c r="O11" i="6"/>
  <c r="O82" i="6"/>
  <c r="O84" i="6" s="1"/>
  <c r="O85" i="6" s="1"/>
  <c r="O86" i="6" s="1"/>
  <c r="N11" i="6"/>
  <c r="N82" i="6"/>
  <c r="N84" i="6" s="1"/>
  <c r="N85" i="6" s="1"/>
  <c r="N86" i="6" s="1"/>
  <c r="L11" i="6"/>
  <c r="L82" i="6"/>
  <c r="L84" i="6" s="1"/>
  <c r="L85" i="6" s="1"/>
  <c r="L86" i="6" s="1"/>
  <c r="B11" i="6"/>
  <c r="B82" i="6"/>
  <c r="H78" i="6"/>
  <c r="F79" i="6"/>
  <c r="F13" i="6" s="1"/>
  <c r="L78" i="6"/>
  <c r="J79" i="6"/>
  <c r="J13" i="6" s="1"/>
  <c r="G78" i="6"/>
  <c r="E79" i="6"/>
  <c r="E13" i="6" s="1"/>
  <c r="J78" i="6"/>
  <c r="H79" i="6"/>
  <c r="H13" i="6" s="1"/>
  <c r="M78" i="6"/>
  <c r="K79" i="6"/>
  <c r="K13" i="6" s="1"/>
  <c r="N78" i="6"/>
  <c r="L79" i="6"/>
  <c r="L13" i="6" s="1"/>
  <c r="I78" i="6"/>
  <c r="G79" i="6"/>
  <c r="G13" i="6" s="1"/>
  <c r="F78" i="6"/>
  <c r="D79" i="6"/>
  <c r="D13" i="6" s="1"/>
  <c r="K78" i="6"/>
  <c r="I79" i="6"/>
  <c r="I13" i="6" s="1"/>
  <c r="E78" i="6"/>
  <c r="C79" i="6"/>
  <c r="C13" i="6" s="1"/>
  <c r="D75" i="6"/>
  <c r="D76" i="6" s="1"/>
  <c r="D77" i="6" s="1"/>
  <c r="F52" i="6"/>
  <c r="L52" i="6"/>
  <c r="E52" i="6"/>
  <c r="B52" i="6"/>
  <c r="C52" i="6"/>
  <c r="N43" i="6"/>
  <c r="D52" i="6"/>
  <c r="M61" i="6"/>
  <c r="K61" i="6"/>
  <c r="E61" i="6"/>
  <c r="G52" i="6"/>
  <c r="I52" i="6"/>
  <c r="B43" i="6"/>
  <c r="E9" i="6"/>
  <c r="E64" i="6"/>
  <c r="E66" i="6" s="1"/>
  <c r="E67" i="6" s="1"/>
  <c r="E68" i="6" s="1"/>
  <c r="M9" i="6"/>
  <c r="M64" i="6"/>
  <c r="M66" i="6" s="1"/>
  <c r="M67" i="6" s="1"/>
  <c r="M68" i="6" s="1"/>
  <c r="L9" i="6"/>
  <c r="L64" i="6"/>
  <c r="L66" i="6" s="1"/>
  <c r="L67" i="6" s="1"/>
  <c r="L68" i="6" s="1"/>
  <c r="S9" i="6"/>
  <c r="S64" i="6"/>
  <c r="S66" i="6" s="1"/>
  <c r="S67" i="6" s="1"/>
  <c r="S68" i="6" s="1"/>
  <c r="I9" i="6"/>
  <c r="I64" i="6"/>
  <c r="I66" i="6" s="1"/>
  <c r="I67" i="6" s="1"/>
  <c r="I68" i="6" s="1"/>
  <c r="C9" i="6"/>
  <c r="C64" i="6"/>
  <c r="C66" i="6" s="1"/>
  <c r="C67" i="6" s="1"/>
  <c r="C68" i="6" s="1"/>
  <c r="J60" i="6"/>
  <c r="I61" i="6"/>
  <c r="H52" i="6"/>
  <c r="H60" i="6"/>
  <c r="G61" i="6"/>
  <c r="G60" i="6"/>
  <c r="F61" i="6"/>
  <c r="E60" i="6"/>
  <c r="D61" i="6"/>
  <c r="K60" i="6"/>
  <c r="J61" i="6"/>
  <c r="I60" i="6"/>
  <c r="H61" i="6"/>
  <c r="D60" i="6"/>
  <c r="C61" i="6"/>
  <c r="D56" i="6"/>
  <c r="G43" i="6"/>
  <c r="J52" i="6"/>
  <c r="H43" i="6"/>
  <c r="D43" i="6"/>
  <c r="S24" i="6"/>
  <c r="T20" i="6" s="1"/>
  <c r="R25" i="6"/>
  <c r="K43" i="6"/>
  <c r="Q7" i="6"/>
  <c r="Q37" i="6"/>
  <c r="R33" i="6"/>
  <c r="Q34" i="6"/>
  <c r="S29" i="6"/>
  <c r="S30" i="6" s="1"/>
  <c r="S31" i="6" s="1"/>
  <c r="S32" i="6" s="1"/>
  <c r="E38" i="6"/>
  <c r="F38" i="6" s="1"/>
  <c r="G38" i="6" s="1"/>
  <c r="T21" i="6"/>
  <c r="T22" i="6" s="1"/>
  <c r="T23" i="6" s="1"/>
  <c r="H10" i="7" l="1"/>
  <c r="E10" i="7"/>
  <c r="F10" i="7"/>
  <c r="K10" i="7"/>
  <c r="I10" i="7"/>
  <c r="J10" i="7"/>
  <c r="M10" i="7"/>
  <c r="L10" i="7"/>
  <c r="G10" i="7"/>
  <c r="N10" i="7"/>
  <c r="D10" i="7"/>
  <c r="C10" i="7"/>
  <c r="B82" i="7"/>
  <c r="B84" i="7" s="1"/>
  <c r="B85" i="7" s="1"/>
  <c r="B86" i="7" s="1"/>
  <c r="B87" i="7" s="1"/>
  <c r="C83" i="7" s="1"/>
  <c r="B10" i="7"/>
  <c r="B91" i="7"/>
  <c r="B93" i="7" s="1"/>
  <c r="B94" i="7" s="1"/>
  <c r="B95" i="7" s="1"/>
  <c r="B96" i="7" s="1"/>
  <c r="C92" i="7" s="1"/>
  <c r="T96" i="7"/>
  <c r="S97" i="7"/>
  <c r="L91" i="7"/>
  <c r="L93" i="7" s="1"/>
  <c r="L94" i="7" s="1"/>
  <c r="L95" i="7" s="1"/>
  <c r="K97" i="7" s="1"/>
  <c r="J91" i="7"/>
  <c r="J93" i="7" s="1"/>
  <c r="J94" i="7" s="1"/>
  <c r="J95" i="7" s="1"/>
  <c r="K91" i="7"/>
  <c r="K93" i="7" s="1"/>
  <c r="K94" i="7" s="1"/>
  <c r="K95" i="7" s="1"/>
  <c r="H91" i="7"/>
  <c r="H93" i="7" s="1"/>
  <c r="H94" i="7" s="1"/>
  <c r="H95" i="7" s="1"/>
  <c r="F91" i="7"/>
  <c r="F93" i="7" s="1"/>
  <c r="F94" i="7" s="1"/>
  <c r="F95" i="7" s="1"/>
  <c r="D91" i="7"/>
  <c r="I91" i="7"/>
  <c r="I93" i="7" s="1"/>
  <c r="I94" i="7" s="1"/>
  <c r="I95" i="7" s="1"/>
  <c r="M91" i="7"/>
  <c r="M93" i="7" s="1"/>
  <c r="M94" i="7" s="1"/>
  <c r="M95" i="7" s="1"/>
  <c r="G91" i="7"/>
  <c r="G93" i="7" s="1"/>
  <c r="G94" i="7" s="1"/>
  <c r="G95" i="7" s="1"/>
  <c r="E91" i="7"/>
  <c r="E93" i="7" s="1"/>
  <c r="E94" i="7" s="1"/>
  <c r="E95" i="7" s="1"/>
  <c r="C91" i="7"/>
  <c r="C93" i="7" s="1"/>
  <c r="C94" i="7" s="1"/>
  <c r="C95" i="7" s="1"/>
  <c r="O87" i="7"/>
  <c r="N88" i="7"/>
  <c r="N14" i="7" s="1"/>
  <c r="M88" i="7"/>
  <c r="M14" i="7" s="1"/>
  <c r="N87" i="7"/>
  <c r="E11" i="7"/>
  <c r="E82" i="7"/>
  <c r="E84" i="7" s="1"/>
  <c r="E85" i="7" s="1"/>
  <c r="E86" i="7" s="1"/>
  <c r="F11" i="7"/>
  <c r="F82" i="7"/>
  <c r="F84" i="7" s="1"/>
  <c r="F85" i="7" s="1"/>
  <c r="F86" i="7" s="1"/>
  <c r="G11" i="7"/>
  <c r="G82" i="7"/>
  <c r="G84" i="7" s="1"/>
  <c r="G85" i="7" s="1"/>
  <c r="G86" i="7" s="1"/>
  <c r="D11" i="7"/>
  <c r="D82" i="7"/>
  <c r="D84" i="7" s="1"/>
  <c r="D85" i="7" s="1"/>
  <c r="D86" i="7" s="1"/>
  <c r="M11" i="7"/>
  <c r="M82" i="7"/>
  <c r="M84" i="7" s="1"/>
  <c r="M85" i="7" s="1"/>
  <c r="M86" i="7" s="1"/>
  <c r="L11" i="7"/>
  <c r="L82" i="7"/>
  <c r="L84" i="7" s="1"/>
  <c r="L85" i="7" s="1"/>
  <c r="L86" i="7" s="1"/>
  <c r="I11" i="7"/>
  <c r="I82" i="7"/>
  <c r="I84" i="7" s="1"/>
  <c r="I85" i="7" s="1"/>
  <c r="I86" i="7" s="1"/>
  <c r="K11" i="7"/>
  <c r="K82" i="7"/>
  <c r="K84" i="7" s="1"/>
  <c r="K85" i="7" s="1"/>
  <c r="K86" i="7" s="1"/>
  <c r="J11" i="7"/>
  <c r="J82" i="7"/>
  <c r="J84" i="7" s="1"/>
  <c r="J85" i="7" s="1"/>
  <c r="J86" i="7" s="1"/>
  <c r="H11" i="7"/>
  <c r="H82" i="7"/>
  <c r="H84" i="7" s="1"/>
  <c r="H85" i="7" s="1"/>
  <c r="H86" i="7" s="1"/>
  <c r="C11" i="7"/>
  <c r="C82" i="7"/>
  <c r="C84" i="7" s="1"/>
  <c r="C85" i="7" s="1"/>
  <c r="C86" i="7" s="1"/>
  <c r="E56" i="7"/>
  <c r="F56" i="7" s="1"/>
  <c r="G56" i="7" s="1"/>
  <c r="H56" i="7" s="1"/>
  <c r="I56" i="7" s="1"/>
  <c r="J56" i="7" s="1"/>
  <c r="K56" i="7" s="1"/>
  <c r="L56" i="7" s="1"/>
  <c r="M56" i="7" s="1"/>
  <c r="N56" i="7" s="1"/>
  <c r="O56" i="7" s="1"/>
  <c r="P56" i="7" s="1"/>
  <c r="Q56" i="7" s="1"/>
  <c r="M9" i="7"/>
  <c r="M64" i="7"/>
  <c r="M66" i="7" s="1"/>
  <c r="M67" i="7" s="1"/>
  <c r="M68" i="7" s="1"/>
  <c r="M69" i="7" s="1"/>
  <c r="L9" i="7"/>
  <c r="L64" i="7"/>
  <c r="L66" i="7" s="1"/>
  <c r="L67" i="7" s="1"/>
  <c r="L68" i="7" s="1"/>
  <c r="K70" i="7" s="1"/>
  <c r="K12" i="7" s="1"/>
  <c r="I9" i="7"/>
  <c r="I64" i="7"/>
  <c r="I66" i="7" s="1"/>
  <c r="I67" i="7" s="1"/>
  <c r="I68" i="7" s="1"/>
  <c r="H70" i="7" s="1"/>
  <c r="H12" i="7" s="1"/>
  <c r="N9" i="7"/>
  <c r="N64" i="7"/>
  <c r="N66" i="7" s="1"/>
  <c r="N67" i="7" s="1"/>
  <c r="N68" i="7" s="1"/>
  <c r="J9" i="7"/>
  <c r="J64" i="7"/>
  <c r="J66" i="7" s="1"/>
  <c r="J67" i="7" s="1"/>
  <c r="J68" i="7" s="1"/>
  <c r="F9" i="7"/>
  <c r="F64" i="7"/>
  <c r="F66" i="7" s="1"/>
  <c r="F67" i="7" s="1"/>
  <c r="F68" i="7" s="1"/>
  <c r="K9" i="7"/>
  <c r="K64" i="7"/>
  <c r="K66" i="7" s="1"/>
  <c r="K67" i="7" s="1"/>
  <c r="K68" i="7" s="1"/>
  <c r="H9" i="7"/>
  <c r="H64" i="7"/>
  <c r="H66" i="7" s="1"/>
  <c r="H67" i="7" s="1"/>
  <c r="H68" i="7" s="1"/>
  <c r="D9" i="7"/>
  <c r="D64" i="7"/>
  <c r="D66" i="7" s="1"/>
  <c r="D67" i="7" s="1"/>
  <c r="D68" i="7" s="1"/>
  <c r="G9" i="7"/>
  <c r="G64" i="7"/>
  <c r="G66" i="7" s="1"/>
  <c r="G67" i="7" s="1"/>
  <c r="G68" i="7" s="1"/>
  <c r="E9" i="7"/>
  <c r="E64" i="7"/>
  <c r="E66" i="7" s="1"/>
  <c r="E67" i="7" s="1"/>
  <c r="E68" i="7" s="1"/>
  <c r="E69" i="7" s="1"/>
  <c r="C9" i="7"/>
  <c r="C64" i="7"/>
  <c r="C66" i="7" s="1"/>
  <c r="C67" i="7" s="1"/>
  <c r="C68" i="7" s="1"/>
  <c r="B70" i="7" s="1"/>
  <c r="B12" i="7" s="1"/>
  <c r="B9" i="7"/>
  <c r="B64" i="7"/>
  <c r="B66" i="7" s="1"/>
  <c r="B67" i="7" s="1"/>
  <c r="B68" i="7" s="1"/>
  <c r="B69" i="7" s="1"/>
  <c r="C65" i="7" s="1"/>
  <c r="F74" i="7"/>
  <c r="G74" i="7" s="1"/>
  <c r="H74" i="7" s="1"/>
  <c r="I74" i="7" s="1"/>
  <c r="J74" i="7" s="1"/>
  <c r="K74" i="7" s="1"/>
  <c r="L74" i="7" s="1"/>
  <c r="M74" i="7" s="1"/>
  <c r="N74" i="7" s="1"/>
  <c r="O74" i="7" s="1"/>
  <c r="P74" i="7" s="1"/>
  <c r="Q74" i="7" s="1"/>
  <c r="F38" i="7"/>
  <c r="G38" i="7" s="1"/>
  <c r="H38" i="7" s="1"/>
  <c r="I38" i="7" s="1"/>
  <c r="J38" i="7" s="1"/>
  <c r="K38" i="7" s="1"/>
  <c r="L38" i="7" s="1"/>
  <c r="M38" i="7" s="1"/>
  <c r="N38" i="7" s="1"/>
  <c r="O38" i="7" s="1"/>
  <c r="P38" i="7" s="1"/>
  <c r="Q38" i="7" s="1"/>
  <c r="F47" i="7"/>
  <c r="G47" i="7" s="1"/>
  <c r="H47" i="7" s="1"/>
  <c r="I47" i="7" s="1"/>
  <c r="J47" i="7" s="1"/>
  <c r="K47" i="7" s="1"/>
  <c r="L47" i="7" s="1"/>
  <c r="M47" i="7" s="1"/>
  <c r="N47" i="7" s="1"/>
  <c r="O47" i="7" s="1"/>
  <c r="P47" i="7" s="1"/>
  <c r="Q47" i="7" s="1"/>
  <c r="C91" i="6"/>
  <c r="C93" i="6" s="1"/>
  <c r="C94" i="6" s="1"/>
  <c r="C95" i="6" s="1"/>
  <c r="C96" i="6" s="1"/>
  <c r="D93" i="7"/>
  <c r="D94" i="7" s="1"/>
  <c r="D95" i="7" s="1"/>
  <c r="R70" i="7"/>
  <c r="R12" i="7" s="1"/>
  <c r="S69" i="7"/>
  <c r="I91" i="6"/>
  <c r="I93" i="6" s="1"/>
  <c r="I94" i="6" s="1"/>
  <c r="I95" i="6" s="1"/>
  <c r="I96" i="6" s="1"/>
  <c r="F64" i="6"/>
  <c r="F66" i="6" s="1"/>
  <c r="F67" i="6" s="1"/>
  <c r="F68" i="6" s="1"/>
  <c r="F69" i="6" s="1"/>
  <c r="E91" i="6"/>
  <c r="E93" i="6" s="1"/>
  <c r="E94" i="6" s="1"/>
  <c r="E95" i="6" s="1"/>
  <c r="E96" i="6" s="1"/>
  <c r="M91" i="6"/>
  <c r="M93" i="6" s="1"/>
  <c r="M94" i="6" s="1"/>
  <c r="M95" i="6" s="1"/>
  <c r="L97" i="6" s="1"/>
  <c r="Q73" i="6"/>
  <c r="Q48" i="7"/>
  <c r="Q49" i="7" s="1"/>
  <c r="Q50" i="7" s="1"/>
  <c r="J91" i="6"/>
  <c r="J93" i="6" s="1"/>
  <c r="J94" i="6" s="1"/>
  <c r="J95" i="6" s="1"/>
  <c r="J96" i="6" s="1"/>
  <c r="J9" i="6"/>
  <c r="N93" i="7"/>
  <c r="N94" i="7" s="1"/>
  <c r="N95" i="7" s="1"/>
  <c r="G10" i="6"/>
  <c r="E10" i="6"/>
  <c r="L10" i="6"/>
  <c r="K10" i="6"/>
  <c r="F10" i="6"/>
  <c r="D10" i="6"/>
  <c r="H10" i="6"/>
  <c r="J10" i="6"/>
  <c r="K97" i="6"/>
  <c r="K15" i="6" s="1"/>
  <c r="I10" i="6"/>
  <c r="C10" i="6"/>
  <c r="B10" i="6"/>
  <c r="T96" i="6"/>
  <c r="S97" i="6"/>
  <c r="F91" i="6"/>
  <c r="F93" i="6" s="1"/>
  <c r="F94" i="6" s="1"/>
  <c r="F95" i="6" s="1"/>
  <c r="K91" i="6"/>
  <c r="K93" i="6" s="1"/>
  <c r="K94" i="6" s="1"/>
  <c r="K95" i="6" s="1"/>
  <c r="D91" i="6"/>
  <c r="D93" i="6" s="1"/>
  <c r="D94" i="6" s="1"/>
  <c r="D95" i="6" s="1"/>
  <c r="N9" i="6"/>
  <c r="N91" i="6"/>
  <c r="N93" i="6" s="1"/>
  <c r="N94" i="6" s="1"/>
  <c r="N95" i="6" s="1"/>
  <c r="H91" i="6"/>
  <c r="H93" i="6" s="1"/>
  <c r="H94" i="6" s="1"/>
  <c r="H95" i="6" s="1"/>
  <c r="G91" i="6"/>
  <c r="G93" i="6" s="1"/>
  <c r="G94" i="6" s="1"/>
  <c r="G95" i="6" s="1"/>
  <c r="H38" i="6"/>
  <c r="I38" i="6" s="1"/>
  <c r="J38" i="6" s="1"/>
  <c r="K38" i="6" s="1"/>
  <c r="L38" i="6" s="1"/>
  <c r="M38" i="6" s="1"/>
  <c r="N38" i="6" s="1"/>
  <c r="O38" i="6" s="1"/>
  <c r="P38" i="6" s="1"/>
  <c r="Q38" i="6" s="1"/>
  <c r="Q39" i="6" s="1"/>
  <c r="Q40" i="6" s="1"/>
  <c r="Q41" i="6" s="1"/>
  <c r="O43" i="6" s="1"/>
  <c r="B9" i="6"/>
  <c r="B91" i="6"/>
  <c r="L87" i="6"/>
  <c r="K88" i="6"/>
  <c r="K14" i="6" s="1"/>
  <c r="N87" i="6"/>
  <c r="M88" i="6"/>
  <c r="M14" i="6" s="1"/>
  <c r="O87" i="6"/>
  <c r="N88" i="6"/>
  <c r="N14" i="6" s="1"/>
  <c r="B84" i="6"/>
  <c r="B85" i="6" s="1"/>
  <c r="B86" i="6" s="1"/>
  <c r="B87" i="6" s="1"/>
  <c r="C83" i="6" s="1"/>
  <c r="I11" i="6"/>
  <c r="I82" i="6"/>
  <c r="I84" i="6" s="1"/>
  <c r="I85" i="6" s="1"/>
  <c r="I86" i="6" s="1"/>
  <c r="H11" i="6"/>
  <c r="H82" i="6"/>
  <c r="H84" i="6" s="1"/>
  <c r="H85" i="6" s="1"/>
  <c r="H86" i="6" s="1"/>
  <c r="E11" i="6"/>
  <c r="E82" i="6"/>
  <c r="E84" i="6" s="1"/>
  <c r="E85" i="6" s="1"/>
  <c r="E86" i="6" s="1"/>
  <c r="K11" i="6"/>
  <c r="K82" i="6"/>
  <c r="K84" i="6" s="1"/>
  <c r="K85" i="6" s="1"/>
  <c r="K86" i="6" s="1"/>
  <c r="J11" i="6"/>
  <c r="J82" i="6"/>
  <c r="J84" i="6" s="1"/>
  <c r="J85" i="6" s="1"/>
  <c r="J86" i="6" s="1"/>
  <c r="M11" i="6"/>
  <c r="M82" i="6"/>
  <c r="M84" i="6" s="1"/>
  <c r="M85" i="6" s="1"/>
  <c r="M86" i="6" s="1"/>
  <c r="D11" i="6"/>
  <c r="D82" i="6"/>
  <c r="D84" i="6" s="1"/>
  <c r="D85" i="6" s="1"/>
  <c r="D86" i="6" s="1"/>
  <c r="F11" i="6"/>
  <c r="F82" i="6"/>
  <c r="F84" i="6" s="1"/>
  <c r="F85" i="6" s="1"/>
  <c r="F86" i="6" s="1"/>
  <c r="G11" i="6"/>
  <c r="G82" i="6"/>
  <c r="G84" i="6" s="1"/>
  <c r="G85" i="6" s="1"/>
  <c r="G86" i="6" s="1"/>
  <c r="C11" i="6"/>
  <c r="C82" i="6"/>
  <c r="D78" i="6"/>
  <c r="E74" i="6" s="1"/>
  <c r="F74" i="6" s="1"/>
  <c r="G74" i="6" s="1"/>
  <c r="H74" i="6" s="1"/>
  <c r="I74" i="6" s="1"/>
  <c r="J74" i="6" s="1"/>
  <c r="K74" i="6" s="1"/>
  <c r="L74" i="6" s="1"/>
  <c r="M74" i="6" s="1"/>
  <c r="N74" i="6" s="1"/>
  <c r="O74" i="6" s="1"/>
  <c r="P74" i="6" s="1"/>
  <c r="Q74" i="6" s="1"/>
  <c r="B79" i="6"/>
  <c r="B13" i="6" s="1"/>
  <c r="N64" i="6"/>
  <c r="N66" i="6" s="1"/>
  <c r="N67" i="6" s="1"/>
  <c r="N68" i="6" s="1"/>
  <c r="M70" i="6" s="1"/>
  <c r="M12" i="6" s="1"/>
  <c r="B64" i="6"/>
  <c r="B66" i="6" s="1"/>
  <c r="B67" i="6" s="1"/>
  <c r="B68" i="6" s="1"/>
  <c r="B69" i="6" s="1"/>
  <c r="C65" i="6" s="1"/>
  <c r="J69" i="6"/>
  <c r="I70" i="6"/>
  <c r="I12" i="6" s="1"/>
  <c r="L69" i="6"/>
  <c r="K70" i="6"/>
  <c r="K12" i="6" s="1"/>
  <c r="M69" i="6"/>
  <c r="L70" i="6"/>
  <c r="L12" i="6" s="1"/>
  <c r="E69" i="6"/>
  <c r="D70" i="6"/>
  <c r="D12" i="6" s="1"/>
  <c r="S69" i="6"/>
  <c r="R70" i="6"/>
  <c r="R12" i="6" s="1"/>
  <c r="I69" i="6"/>
  <c r="H70" i="6"/>
  <c r="H12" i="6" s="1"/>
  <c r="C69" i="6"/>
  <c r="B70" i="6"/>
  <c r="B12" i="6" s="1"/>
  <c r="K9" i="6"/>
  <c r="K64" i="6"/>
  <c r="K66" i="6" s="1"/>
  <c r="K67" i="6" s="1"/>
  <c r="K68" i="6" s="1"/>
  <c r="D9" i="6"/>
  <c r="D64" i="6"/>
  <c r="D66" i="6" s="1"/>
  <c r="D67" i="6" s="1"/>
  <c r="D68" i="6" s="1"/>
  <c r="H9" i="6"/>
  <c r="H64" i="6"/>
  <c r="H66" i="6" s="1"/>
  <c r="H67" i="6" s="1"/>
  <c r="H68" i="6" s="1"/>
  <c r="G9" i="6"/>
  <c r="G64" i="6"/>
  <c r="G66" i="6" s="1"/>
  <c r="G67" i="6" s="1"/>
  <c r="G68" i="6" s="1"/>
  <c r="E56" i="6"/>
  <c r="F56" i="6" s="1"/>
  <c r="G56" i="6" s="1"/>
  <c r="H56" i="6" s="1"/>
  <c r="I56" i="6" s="1"/>
  <c r="J56" i="6" s="1"/>
  <c r="K56" i="6" s="1"/>
  <c r="L56" i="6" s="1"/>
  <c r="M56" i="6" s="1"/>
  <c r="N56" i="6" s="1"/>
  <c r="O56" i="6" s="1"/>
  <c r="P56" i="6" s="1"/>
  <c r="Q56" i="6" s="1"/>
  <c r="S33" i="6"/>
  <c r="T29" i="6" s="1"/>
  <c r="T30" i="6" s="1"/>
  <c r="T31" i="6" s="1"/>
  <c r="T32" i="6" s="1"/>
  <c r="R34" i="6"/>
  <c r="T24" i="6"/>
  <c r="U20" i="6" s="1"/>
  <c r="U21" i="6" s="1"/>
  <c r="U22" i="6" s="1"/>
  <c r="U23" i="6" s="1"/>
  <c r="S25" i="6"/>
  <c r="Q46" i="6"/>
  <c r="Q48" i="6" s="1"/>
  <c r="Q49" i="6" s="1"/>
  <c r="Q50" i="6" s="1"/>
  <c r="Q51" i="6" s="1"/>
  <c r="R47" i="6" s="1"/>
  <c r="Q8" i="6"/>
  <c r="Q55" i="6"/>
  <c r="R7" i="6"/>
  <c r="R37" i="6"/>
  <c r="K15" i="7" l="1"/>
  <c r="K100" i="7"/>
  <c r="S15" i="7"/>
  <c r="S100" i="7"/>
  <c r="L96" i="7"/>
  <c r="H97" i="7"/>
  <c r="I96" i="7"/>
  <c r="D70" i="7"/>
  <c r="D12" i="7" s="1"/>
  <c r="L70" i="7"/>
  <c r="L12" i="7" s="1"/>
  <c r="L69" i="7"/>
  <c r="D87" i="7"/>
  <c r="C88" i="7"/>
  <c r="C14" i="7" s="1"/>
  <c r="F88" i="7"/>
  <c r="F14" i="7" s="1"/>
  <c r="G87" i="7"/>
  <c r="E88" i="7"/>
  <c r="E14" i="7" s="1"/>
  <c r="F87" i="7"/>
  <c r="J88" i="7"/>
  <c r="J14" i="7" s="1"/>
  <c r="K87" i="7"/>
  <c r="G88" i="7"/>
  <c r="G14" i="7" s="1"/>
  <c r="H87" i="7"/>
  <c r="K88" i="7"/>
  <c r="K14" i="7" s="1"/>
  <c r="L87" i="7"/>
  <c r="E70" i="6"/>
  <c r="E12" i="6" s="1"/>
  <c r="I69" i="7"/>
  <c r="C69" i="7"/>
  <c r="D65" i="7" s="1"/>
  <c r="Q75" i="6"/>
  <c r="Q76" i="6" s="1"/>
  <c r="Q77" i="6" s="1"/>
  <c r="O79" i="6" s="1"/>
  <c r="O13" i="6" s="1"/>
  <c r="B97" i="6"/>
  <c r="B15" i="6" s="1"/>
  <c r="H97" i="6"/>
  <c r="H100" i="6" s="1"/>
  <c r="H102" i="6" s="1"/>
  <c r="H103" i="6" s="1"/>
  <c r="H104" i="6" s="1"/>
  <c r="K102" i="7"/>
  <c r="K103" i="7" s="1"/>
  <c r="K104" i="7" s="1"/>
  <c r="K105" i="7" s="1"/>
  <c r="Q75" i="7"/>
  <c r="Q76" i="7" s="1"/>
  <c r="Q77" i="7" s="1"/>
  <c r="O79" i="7" s="1"/>
  <c r="O13" i="7" s="1"/>
  <c r="I97" i="6"/>
  <c r="I100" i="6" s="1"/>
  <c r="I102" i="6" s="1"/>
  <c r="I103" i="6" s="1"/>
  <c r="I104" i="6" s="1"/>
  <c r="D97" i="6"/>
  <c r="D15" i="6" s="1"/>
  <c r="L15" i="6"/>
  <c r="Q57" i="7"/>
  <c r="Q58" i="7" s="1"/>
  <c r="Q59" i="7" s="1"/>
  <c r="M96" i="6"/>
  <c r="O91" i="6"/>
  <c r="J97" i="7"/>
  <c r="K96" i="7"/>
  <c r="E70" i="7"/>
  <c r="E12" i="7" s="1"/>
  <c r="F69" i="7"/>
  <c r="F96" i="7"/>
  <c r="E97" i="7"/>
  <c r="G97" i="7"/>
  <c r="H96" i="7"/>
  <c r="Q39" i="7"/>
  <c r="Q40" i="7" s="1"/>
  <c r="Q41" i="7" s="1"/>
  <c r="H88" i="7"/>
  <c r="H14" i="7" s="1"/>
  <c r="I87" i="7"/>
  <c r="M87" i="7"/>
  <c r="L88" i="7"/>
  <c r="L14" i="7" s="1"/>
  <c r="G70" i="7"/>
  <c r="G12" i="7" s="1"/>
  <c r="H69" i="7"/>
  <c r="L97" i="7"/>
  <c r="M96" i="7"/>
  <c r="J70" i="7"/>
  <c r="J12" i="7" s="1"/>
  <c r="K69" i="7"/>
  <c r="C70" i="7"/>
  <c r="C12" i="7" s="1"/>
  <c r="D69" i="7"/>
  <c r="D88" i="7"/>
  <c r="D14" i="7" s="1"/>
  <c r="E87" i="7"/>
  <c r="D96" i="7"/>
  <c r="C97" i="7"/>
  <c r="B88" i="7"/>
  <c r="B14" i="7" s="1"/>
  <c r="C87" i="7"/>
  <c r="D83" i="7" s="1"/>
  <c r="C96" i="7"/>
  <c r="D92" i="7" s="1"/>
  <c r="B97" i="7"/>
  <c r="M70" i="7"/>
  <c r="M12" i="7" s="1"/>
  <c r="N69" i="7"/>
  <c r="I88" i="7"/>
  <c r="I14" i="7" s="1"/>
  <c r="J87" i="7"/>
  <c r="E96" i="7"/>
  <c r="D97" i="7"/>
  <c r="M97" i="7"/>
  <c r="N96" i="7"/>
  <c r="I97" i="7"/>
  <c r="J96" i="7"/>
  <c r="G69" i="7"/>
  <c r="F70" i="7"/>
  <c r="F12" i="7" s="1"/>
  <c r="F97" i="7"/>
  <c r="G96" i="7"/>
  <c r="R73" i="6"/>
  <c r="R48" i="7"/>
  <c r="R49" i="7" s="1"/>
  <c r="R50" i="7" s="1"/>
  <c r="Q51" i="7"/>
  <c r="R47" i="7" s="1"/>
  <c r="O52" i="7"/>
  <c r="J69" i="7"/>
  <c r="I70" i="7"/>
  <c r="I12" i="7" s="1"/>
  <c r="L100" i="6"/>
  <c r="L102" i="6" s="1"/>
  <c r="L103" i="6" s="1"/>
  <c r="L104" i="6" s="1"/>
  <c r="S15" i="6"/>
  <c r="S100" i="6"/>
  <c r="K100" i="6"/>
  <c r="K102" i="6" s="1"/>
  <c r="K103" i="6" s="1"/>
  <c r="K104" i="6" s="1"/>
  <c r="B100" i="6"/>
  <c r="K96" i="6"/>
  <c r="J97" i="6"/>
  <c r="F96" i="6"/>
  <c r="E97" i="6"/>
  <c r="G96" i="6"/>
  <c r="F97" i="6"/>
  <c r="H96" i="6"/>
  <c r="G97" i="6"/>
  <c r="N96" i="6"/>
  <c r="M97" i="6"/>
  <c r="D96" i="6"/>
  <c r="C97" i="6"/>
  <c r="B93" i="6"/>
  <c r="B94" i="6" s="1"/>
  <c r="B95" i="6" s="1"/>
  <c r="B96" i="6" s="1"/>
  <c r="C92" i="6" s="1"/>
  <c r="D92" i="6" s="1"/>
  <c r="K87" i="6"/>
  <c r="J88" i="6"/>
  <c r="J14" i="6" s="1"/>
  <c r="H87" i="6"/>
  <c r="G88" i="6"/>
  <c r="G14" i="6" s="1"/>
  <c r="I87" i="6"/>
  <c r="H88" i="6"/>
  <c r="H14" i="6" s="1"/>
  <c r="F87" i="6"/>
  <c r="E88" i="6"/>
  <c r="E14" i="6" s="1"/>
  <c r="E87" i="6"/>
  <c r="D88" i="6"/>
  <c r="D14" i="6" s="1"/>
  <c r="M87" i="6"/>
  <c r="L88" i="6"/>
  <c r="L14" i="6" s="1"/>
  <c r="G87" i="6"/>
  <c r="F88" i="6"/>
  <c r="F14" i="6" s="1"/>
  <c r="J87" i="6"/>
  <c r="I88" i="6"/>
  <c r="I14" i="6" s="1"/>
  <c r="D87" i="6"/>
  <c r="C88" i="6"/>
  <c r="C14" i="6" s="1"/>
  <c r="C84" i="6"/>
  <c r="C85" i="6" s="1"/>
  <c r="C86" i="6" s="1"/>
  <c r="N69" i="6"/>
  <c r="Q42" i="6"/>
  <c r="R38" i="6" s="1"/>
  <c r="R39" i="6" s="1"/>
  <c r="R40" i="6" s="1"/>
  <c r="R41" i="6" s="1"/>
  <c r="R42" i="6" s="1"/>
  <c r="S38" i="6" s="1"/>
  <c r="D65" i="6"/>
  <c r="G69" i="6"/>
  <c r="F70" i="6"/>
  <c r="F12" i="6" s="1"/>
  <c r="H69" i="6"/>
  <c r="G70" i="6"/>
  <c r="G12" i="6" s="1"/>
  <c r="K69" i="6"/>
  <c r="J70" i="6"/>
  <c r="J12" i="6" s="1"/>
  <c r="D69" i="6"/>
  <c r="C70" i="6"/>
  <c r="C12" i="6" s="1"/>
  <c r="O9" i="6"/>
  <c r="O64" i="6"/>
  <c r="O52" i="6"/>
  <c r="Q57" i="6"/>
  <c r="Q58" i="6" s="1"/>
  <c r="Q59" i="6" s="1"/>
  <c r="Q60" i="6" s="1"/>
  <c r="R56" i="6" s="1"/>
  <c r="S7" i="6"/>
  <c r="S37" i="6"/>
  <c r="U24" i="6"/>
  <c r="T25" i="6"/>
  <c r="R46" i="6"/>
  <c r="R48" i="6" s="1"/>
  <c r="R49" i="6" s="1"/>
  <c r="R50" i="6" s="1"/>
  <c r="R51" i="6" s="1"/>
  <c r="S47" i="6" s="1"/>
  <c r="R8" i="6"/>
  <c r="R55" i="6"/>
  <c r="T33" i="6"/>
  <c r="U29" i="6" s="1"/>
  <c r="U30" i="6" s="1"/>
  <c r="U31" i="6" s="1"/>
  <c r="U32" i="6" s="1"/>
  <c r="S34" i="6"/>
  <c r="I106" i="7" l="1"/>
  <c r="I16" i="7" s="1"/>
  <c r="G15" i="7"/>
  <c r="G100" i="7"/>
  <c r="D15" i="7"/>
  <c r="D100" i="7"/>
  <c r="D102" i="7" s="1"/>
  <c r="D103" i="7" s="1"/>
  <c r="D104" i="7" s="1"/>
  <c r="D105" i="7" s="1"/>
  <c r="M15" i="7"/>
  <c r="M100" i="7"/>
  <c r="M102" i="7" s="1"/>
  <c r="M103" i="7" s="1"/>
  <c r="M104" i="7" s="1"/>
  <c r="E15" i="7"/>
  <c r="E100" i="7"/>
  <c r="E102" i="7" s="1"/>
  <c r="E103" i="7" s="1"/>
  <c r="E104" i="7" s="1"/>
  <c r="G102" i="7"/>
  <c r="G103" i="7" s="1"/>
  <c r="G104" i="7" s="1"/>
  <c r="E106" i="7" s="1"/>
  <c r="E16" i="7" s="1"/>
  <c r="O10" i="7"/>
  <c r="J15" i="7"/>
  <c r="J100" i="7"/>
  <c r="J102" i="7" s="1"/>
  <c r="J103" i="7" s="1"/>
  <c r="J104" i="7" s="1"/>
  <c r="L15" i="7"/>
  <c r="L100" i="7"/>
  <c r="L102" i="7" s="1"/>
  <c r="L103" i="7" s="1"/>
  <c r="L104" i="7" s="1"/>
  <c r="J106" i="7" s="1"/>
  <c r="J16" i="7" s="1"/>
  <c r="H15" i="7"/>
  <c r="H100" i="7"/>
  <c r="Q78" i="7"/>
  <c r="R74" i="7" s="1"/>
  <c r="E83" i="7"/>
  <c r="F15" i="7"/>
  <c r="F100" i="7"/>
  <c r="F102" i="7" s="1"/>
  <c r="F103" i="7" s="1"/>
  <c r="F104" i="7" s="1"/>
  <c r="I15" i="7"/>
  <c r="I100" i="7"/>
  <c r="I102" i="7" s="1"/>
  <c r="I103" i="7" s="1"/>
  <c r="I104" i="7" s="1"/>
  <c r="C15" i="7"/>
  <c r="C100" i="7"/>
  <c r="C102" i="7" s="1"/>
  <c r="C103" i="7" s="1"/>
  <c r="C104" i="7" s="1"/>
  <c r="C105" i="7" s="1"/>
  <c r="B15" i="7"/>
  <c r="B100" i="7"/>
  <c r="B102" i="7" s="1"/>
  <c r="B103" i="7" s="1"/>
  <c r="B104" i="7" s="1"/>
  <c r="B105" i="7" s="1"/>
  <c r="C101" i="7" s="1"/>
  <c r="Q78" i="6"/>
  <c r="R74" i="6" s="1"/>
  <c r="R75" i="6" s="1"/>
  <c r="R76" i="6" s="1"/>
  <c r="R77" i="6" s="1"/>
  <c r="P79" i="6" s="1"/>
  <c r="P13" i="6" s="1"/>
  <c r="R39" i="7"/>
  <c r="R40" i="7" s="1"/>
  <c r="R41" i="7" s="1"/>
  <c r="R42" i="7" s="1"/>
  <c r="D100" i="6"/>
  <c r="D102" i="6" s="1"/>
  <c r="D103" i="6" s="1"/>
  <c r="D104" i="6" s="1"/>
  <c r="D105" i="6" s="1"/>
  <c r="H15" i="6"/>
  <c r="H102" i="7"/>
  <c r="H103" i="7" s="1"/>
  <c r="H104" i="7" s="1"/>
  <c r="R57" i="7"/>
  <c r="R58" i="7" s="1"/>
  <c r="R59" i="7" s="1"/>
  <c r="R60" i="7" s="1"/>
  <c r="E92" i="7"/>
  <c r="F92" i="7" s="1"/>
  <c r="G92" i="7" s="1"/>
  <c r="H92" i="7" s="1"/>
  <c r="I92" i="7" s="1"/>
  <c r="J92" i="7" s="1"/>
  <c r="K92" i="7" s="1"/>
  <c r="L92" i="7" s="1"/>
  <c r="M92" i="7" s="1"/>
  <c r="N92" i="7" s="1"/>
  <c r="O92" i="7" s="1"/>
  <c r="E65" i="7"/>
  <c r="F65" i="7" s="1"/>
  <c r="G65" i="7" s="1"/>
  <c r="H65" i="7" s="1"/>
  <c r="I65" i="7" s="1"/>
  <c r="J65" i="7" s="1"/>
  <c r="K65" i="7" s="1"/>
  <c r="L65" i="7" s="1"/>
  <c r="M65" i="7" s="1"/>
  <c r="N65" i="7" s="1"/>
  <c r="O65" i="7" s="1"/>
  <c r="S39" i="7"/>
  <c r="S40" i="7" s="1"/>
  <c r="S41" i="7" s="1"/>
  <c r="S42" i="7" s="1"/>
  <c r="I15" i="6"/>
  <c r="O43" i="7"/>
  <c r="O91" i="7" s="1"/>
  <c r="Q42" i="7"/>
  <c r="R38" i="7" s="1"/>
  <c r="S73" i="6"/>
  <c r="S48" i="7"/>
  <c r="S49" i="7" s="1"/>
  <c r="S50" i="7" s="1"/>
  <c r="P52" i="7"/>
  <c r="R51" i="7"/>
  <c r="S47" i="7" s="1"/>
  <c r="F83" i="7"/>
  <c r="G83" i="7" s="1"/>
  <c r="H83" i="7" s="1"/>
  <c r="I83" i="7" s="1"/>
  <c r="J83" i="7" s="1"/>
  <c r="K83" i="7" s="1"/>
  <c r="L83" i="7" s="1"/>
  <c r="M83" i="7" s="1"/>
  <c r="N83" i="7" s="1"/>
  <c r="O83" i="7" s="1"/>
  <c r="P83" i="7" s="1"/>
  <c r="T82" i="6"/>
  <c r="Q60" i="7"/>
  <c r="R56" i="7" s="1"/>
  <c r="P61" i="7"/>
  <c r="I105" i="6"/>
  <c r="G106" i="6"/>
  <c r="G16" i="6" s="1"/>
  <c r="H105" i="6"/>
  <c r="F106" i="6"/>
  <c r="F16" i="6" s="1"/>
  <c r="K105" i="6"/>
  <c r="I106" i="6"/>
  <c r="I16" i="6" s="1"/>
  <c r="L105" i="6"/>
  <c r="J106" i="6"/>
  <c r="J16" i="6" s="1"/>
  <c r="B102" i="6"/>
  <c r="B103" i="6" s="1"/>
  <c r="B104" i="6" s="1"/>
  <c r="B105" i="6" s="1"/>
  <c r="C101" i="6" s="1"/>
  <c r="G15" i="6"/>
  <c r="G100" i="6"/>
  <c r="G102" i="6" s="1"/>
  <c r="G103" i="6" s="1"/>
  <c r="G104" i="6" s="1"/>
  <c r="F15" i="6"/>
  <c r="F100" i="6"/>
  <c r="F102" i="6" s="1"/>
  <c r="F103" i="6" s="1"/>
  <c r="F104" i="6" s="1"/>
  <c r="E15" i="6"/>
  <c r="E100" i="6"/>
  <c r="E102" i="6" s="1"/>
  <c r="E103" i="6" s="1"/>
  <c r="E104" i="6" s="1"/>
  <c r="J15" i="6"/>
  <c r="J100" i="6"/>
  <c r="J102" i="6" s="1"/>
  <c r="J103" i="6" s="1"/>
  <c r="J104" i="6" s="1"/>
  <c r="M15" i="6"/>
  <c r="M100" i="6"/>
  <c r="M102" i="6" s="1"/>
  <c r="M103" i="6" s="1"/>
  <c r="M104" i="6" s="1"/>
  <c r="O10" i="6"/>
  <c r="E92" i="6"/>
  <c r="F92" i="6" s="1"/>
  <c r="G92" i="6" s="1"/>
  <c r="H92" i="6" s="1"/>
  <c r="I92" i="6" s="1"/>
  <c r="J92" i="6" s="1"/>
  <c r="K92" i="6" s="1"/>
  <c r="L92" i="6" s="1"/>
  <c r="M92" i="6" s="1"/>
  <c r="N92" i="6" s="1"/>
  <c r="O92" i="6" s="1"/>
  <c r="O93" i="6" s="1"/>
  <c r="O94" i="6" s="1"/>
  <c r="O95" i="6" s="1"/>
  <c r="C15" i="6"/>
  <c r="C100" i="6"/>
  <c r="E65" i="6"/>
  <c r="F65" i="6" s="1"/>
  <c r="G65" i="6" s="1"/>
  <c r="H65" i="6" s="1"/>
  <c r="I65" i="6" s="1"/>
  <c r="J65" i="6" s="1"/>
  <c r="K65" i="6" s="1"/>
  <c r="L65" i="6" s="1"/>
  <c r="M65" i="6" s="1"/>
  <c r="N65" i="6" s="1"/>
  <c r="O65" i="6" s="1"/>
  <c r="O66" i="6" s="1"/>
  <c r="O67" i="6" s="1"/>
  <c r="O68" i="6" s="1"/>
  <c r="C87" i="6"/>
  <c r="D83" i="6" s="1"/>
  <c r="E83" i="6" s="1"/>
  <c r="F83" i="6" s="1"/>
  <c r="G83" i="6" s="1"/>
  <c r="H83" i="6" s="1"/>
  <c r="I83" i="6" s="1"/>
  <c r="J83" i="6" s="1"/>
  <c r="K83" i="6" s="1"/>
  <c r="L83" i="6" s="1"/>
  <c r="M83" i="6" s="1"/>
  <c r="N83" i="6" s="1"/>
  <c r="O83" i="6" s="1"/>
  <c r="P83" i="6" s="1"/>
  <c r="B88" i="6"/>
  <c r="B14" i="6" s="1"/>
  <c r="S39" i="6"/>
  <c r="S40" i="6" s="1"/>
  <c r="S41" i="6" s="1"/>
  <c r="S42" i="6" s="1"/>
  <c r="T38" i="6" s="1"/>
  <c r="P61" i="6"/>
  <c r="R57" i="6"/>
  <c r="R58" i="6" s="1"/>
  <c r="R59" i="6" s="1"/>
  <c r="R60" i="6" s="1"/>
  <c r="S56" i="6" s="1"/>
  <c r="P52" i="6"/>
  <c r="S46" i="6"/>
  <c r="S48" i="6" s="1"/>
  <c r="S49" i="6" s="1"/>
  <c r="S50" i="6" s="1"/>
  <c r="Q52" i="6" s="1"/>
  <c r="S55" i="6"/>
  <c r="S8" i="6"/>
  <c r="U33" i="6"/>
  <c r="T34" i="6"/>
  <c r="T7" i="6"/>
  <c r="T37" i="6"/>
  <c r="P43" i="6"/>
  <c r="G105" i="7" l="1"/>
  <c r="P43" i="7"/>
  <c r="K106" i="7"/>
  <c r="K16" i="7" s="1"/>
  <c r="M105" i="7"/>
  <c r="H106" i="7"/>
  <c r="H16" i="7" s="1"/>
  <c r="J105" i="7"/>
  <c r="D106" i="7"/>
  <c r="D16" i="7" s="1"/>
  <c r="F105" i="7"/>
  <c r="C106" i="7"/>
  <c r="C16" i="7" s="1"/>
  <c r="E105" i="7"/>
  <c r="R78" i="6"/>
  <c r="S74" i="6" s="1"/>
  <c r="S75" i="6" s="1"/>
  <c r="S76" i="6" s="1"/>
  <c r="S77" i="6" s="1"/>
  <c r="Q79" i="6" s="1"/>
  <c r="Q13" i="6" s="1"/>
  <c r="P10" i="7"/>
  <c r="R75" i="7"/>
  <c r="R76" i="7" s="1"/>
  <c r="R77" i="7" s="1"/>
  <c r="R78" i="7" s="1"/>
  <c r="S74" i="7" s="1"/>
  <c r="D101" i="7"/>
  <c r="E101" i="7" s="1"/>
  <c r="F101" i="7" s="1"/>
  <c r="G101" i="7" s="1"/>
  <c r="H101" i="7" s="1"/>
  <c r="L105" i="7"/>
  <c r="B106" i="6"/>
  <c r="B16" i="6" s="1"/>
  <c r="B106" i="7"/>
  <c r="B16" i="7" s="1"/>
  <c r="P91" i="7"/>
  <c r="P11" i="7"/>
  <c r="P82" i="7"/>
  <c r="Q61" i="7"/>
  <c r="O9" i="7"/>
  <c r="O64" i="7"/>
  <c r="O66" i="7" s="1"/>
  <c r="O67" i="7" s="1"/>
  <c r="O68" i="7" s="1"/>
  <c r="P9" i="7"/>
  <c r="P64" i="7"/>
  <c r="Q43" i="7"/>
  <c r="Q91" i="7" s="1"/>
  <c r="H105" i="7"/>
  <c r="F106" i="7"/>
  <c r="F16" i="7" s="1"/>
  <c r="P84" i="7"/>
  <c r="P85" i="7" s="1"/>
  <c r="P86" i="7" s="1"/>
  <c r="P87" i="7" s="1"/>
  <c r="Q83" i="7" s="1"/>
  <c r="S75" i="7"/>
  <c r="S76" i="7" s="1"/>
  <c r="S77" i="7" s="1"/>
  <c r="S78" i="7" s="1"/>
  <c r="O93" i="7"/>
  <c r="O94" i="7" s="1"/>
  <c r="O95" i="7" s="1"/>
  <c r="O96" i="7" s="1"/>
  <c r="P92" i="7" s="1"/>
  <c r="I105" i="7"/>
  <c r="G106" i="7"/>
  <c r="G16" i="7" s="1"/>
  <c r="Q52" i="7"/>
  <c r="S51" i="7"/>
  <c r="T47" i="7" s="1"/>
  <c r="S56" i="7"/>
  <c r="S38" i="7"/>
  <c r="T38" i="7" s="1"/>
  <c r="T39" i="7"/>
  <c r="T40" i="7" s="1"/>
  <c r="T41" i="7" s="1"/>
  <c r="T73" i="6"/>
  <c r="S57" i="7"/>
  <c r="S58" i="7" s="1"/>
  <c r="S59" i="7" s="1"/>
  <c r="F105" i="6"/>
  <c r="D106" i="6"/>
  <c r="D16" i="6" s="1"/>
  <c r="G105" i="6"/>
  <c r="E106" i="6"/>
  <c r="E16" i="6" s="1"/>
  <c r="M105" i="6"/>
  <c r="K106" i="6"/>
  <c r="K16" i="6" s="1"/>
  <c r="J105" i="6"/>
  <c r="H106" i="6"/>
  <c r="H16" i="6" s="1"/>
  <c r="E105" i="6"/>
  <c r="C106" i="6"/>
  <c r="C16" i="6" s="1"/>
  <c r="C102" i="6"/>
  <c r="C103" i="6" s="1"/>
  <c r="C104" i="6" s="1"/>
  <c r="C105" i="6" s="1"/>
  <c r="D101" i="6" s="1"/>
  <c r="E101" i="6" s="1"/>
  <c r="P10" i="6"/>
  <c r="Q10" i="6"/>
  <c r="O96" i="6"/>
  <c r="P92" i="6" s="1"/>
  <c r="N97" i="6"/>
  <c r="P91" i="6"/>
  <c r="P11" i="6"/>
  <c r="P82" i="6"/>
  <c r="Q61" i="6"/>
  <c r="S51" i="6"/>
  <c r="T47" i="6" s="1"/>
  <c r="O69" i="6"/>
  <c r="P65" i="6" s="1"/>
  <c r="N70" i="6"/>
  <c r="N12" i="6" s="1"/>
  <c r="Q43" i="6"/>
  <c r="P9" i="6"/>
  <c r="P64" i="6"/>
  <c r="T39" i="6"/>
  <c r="T40" i="6" s="1"/>
  <c r="T41" i="6" s="1"/>
  <c r="R43" i="6" s="1"/>
  <c r="T46" i="6"/>
  <c r="T55" i="6"/>
  <c r="T8" i="6"/>
  <c r="S57" i="6"/>
  <c r="S58" i="6" s="1"/>
  <c r="S59" i="6" s="1"/>
  <c r="P79" i="7" l="1"/>
  <c r="P13" i="7" s="1"/>
  <c r="Q10" i="7"/>
  <c r="Q11" i="7"/>
  <c r="Q82" i="7"/>
  <c r="I101" i="7"/>
  <c r="O88" i="7"/>
  <c r="O14" i="7" s="1"/>
  <c r="Q9" i="7"/>
  <c r="Q64" i="7"/>
  <c r="Q79" i="7"/>
  <c r="Q13" i="7" s="1"/>
  <c r="J101" i="7"/>
  <c r="K101" i="7" s="1"/>
  <c r="L101" i="7" s="1"/>
  <c r="M101" i="7" s="1"/>
  <c r="N101" i="7" s="1"/>
  <c r="T48" i="7"/>
  <c r="T49" i="7" s="1"/>
  <c r="T50" i="7" s="1"/>
  <c r="R52" i="7" s="1"/>
  <c r="F101" i="6"/>
  <c r="G101" i="6" s="1"/>
  <c r="H101" i="6" s="1"/>
  <c r="I101" i="6" s="1"/>
  <c r="J101" i="6" s="1"/>
  <c r="K101" i="6" s="1"/>
  <c r="L101" i="6" s="1"/>
  <c r="M101" i="6" s="1"/>
  <c r="N101" i="6" s="1"/>
  <c r="N97" i="7"/>
  <c r="S78" i="6"/>
  <c r="T74" i="6" s="1"/>
  <c r="T75" i="6" s="1"/>
  <c r="T76" i="6" s="1"/>
  <c r="T77" i="6" s="1"/>
  <c r="R79" i="6" s="1"/>
  <c r="R13" i="6" s="1"/>
  <c r="P93" i="7"/>
  <c r="P94" i="7" s="1"/>
  <c r="P95" i="7" s="1"/>
  <c r="P96" i="7" s="1"/>
  <c r="Q92" i="7" s="1"/>
  <c r="T74" i="7"/>
  <c r="S60" i="7"/>
  <c r="T56" i="7" s="1"/>
  <c r="R61" i="7"/>
  <c r="N70" i="7"/>
  <c r="N12" i="7" s="1"/>
  <c r="O69" i="7"/>
  <c r="P65" i="7" s="1"/>
  <c r="R43" i="7"/>
  <c r="T42" i="7"/>
  <c r="U38" i="7" s="1"/>
  <c r="P66" i="7"/>
  <c r="P67" i="7" s="1"/>
  <c r="P68" i="7" s="1"/>
  <c r="N15" i="6"/>
  <c r="N100" i="6"/>
  <c r="T48" i="6"/>
  <c r="T49" i="6" s="1"/>
  <c r="T50" i="6" s="1"/>
  <c r="T51" i="6" s="1"/>
  <c r="U47" i="6" s="1"/>
  <c r="P93" i="6"/>
  <c r="P94" i="6" s="1"/>
  <c r="P95" i="6" s="1"/>
  <c r="Q64" i="6"/>
  <c r="Q91" i="6"/>
  <c r="Q9" i="6"/>
  <c r="P84" i="6"/>
  <c r="P85" i="6" s="1"/>
  <c r="P86" i="6" s="1"/>
  <c r="Q11" i="6"/>
  <c r="Q82" i="6"/>
  <c r="T42" i="6"/>
  <c r="U38" i="6" s="1"/>
  <c r="P66" i="6"/>
  <c r="P67" i="6" s="1"/>
  <c r="P68" i="6" s="1"/>
  <c r="R9" i="6"/>
  <c r="R64" i="6"/>
  <c r="S60" i="6"/>
  <c r="T56" i="6" s="1"/>
  <c r="T57" i="6" s="1"/>
  <c r="T58" i="6" s="1"/>
  <c r="T59" i="6" s="1"/>
  <c r="R61" i="6"/>
  <c r="R10" i="7" l="1"/>
  <c r="R91" i="7"/>
  <c r="N15" i="7"/>
  <c r="N100" i="7"/>
  <c r="N102" i="7" s="1"/>
  <c r="N103" i="7" s="1"/>
  <c r="N104" i="7" s="1"/>
  <c r="T51" i="7"/>
  <c r="U47" i="7" s="1"/>
  <c r="R11" i="7"/>
  <c r="R82" i="7"/>
  <c r="R9" i="7"/>
  <c r="R64" i="7"/>
  <c r="O97" i="7"/>
  <c r="T78" i="6"/>
  <c r="U74" i="6" s="1"/>
  <c r="T75" i="7"/>
  <c r="T76" i="7" s="1"/>
  <c r="T77" i="7" s="1"/>
  <c r="T78" i="7" s="1"/>
  <c r="U74" i="7" s="1"/>
  <c r="P69" i="7"/>
  <c r="Q65" i="7" s="1"/>
  <c r="O70" i="7"/>
  <c r="O12" i="7" s="1"/>
  <c r="R52" i="6"/>
  <c r="T57" i="7"/>
  <c r="T58" i="7" s="1"/>
  <c r="T59" i="7" s="1"/>
  <c r="R91" i="6"/>
  <c r="N102" i="6"/>
  <c r="N103" i="6" s="1"/>
  <c r="N104" i="6" s="1"/>
  <c r="P96" i="6"/>
  <c r="Q92" i="6" s="1"/>
  <c r="Q93" i="6" s="1"/>
  <c r="Q94" i="6" s="1"/>
  <c r="Q95" i="6" s="1"/>
  <c r="O97" i="6"/>
  <c r="P87" i="6"/>
  <c r="Q83" i="6" s="1"/>
  <c r="O88" i="6"/>
  <c r="O14" i="6" s="1"/>
  <c r="R11" i="6"/>
  <c r="R82" i="6"/>
  <c r="P69" i="6"/>
  <c r="Q65" i="6" s="1"/>
  <c r="Q66" i="6" s="1"/>
  <c r="Q67" i="6" s="1"/>
  <c r="Q68" i="6" s="1"/>
  <c r="O70" i="6"/>
  <c r="O12" i="6" s="1"/>
  <c r="T60" i="6"/>
  <c r="U56" i="6" s="1"/>
  <c r="S61" i="6"/>
  <c r="L106" i="7" l="1"/>
  <c r="L16" i="7" s="1"/>
  <c r="N105" i="7"/>
  <c r="O101" i="7" s="1"/>
  <c r="O15" i="7"/>
  <c r="O100" i="7"/>
  <c r="R79" i="7"/>
  <c r="R13" i="7" s="1"/>
  <c r="Q93" i="7"/>
  <c r="Q94" i="7" s="1"/>
  <c r="Q95" i="7" s="1"/>
  <c r="Q96" i="7" s="1"/>
  <c r="R92" i="7" s="1"/>
  <c r="Q66" i="7"/>
  <c r="Q67" i="7" s="1"/>
  <c r="Q68" i="7" s="1"/>
  <c r="S91" i="6"/>
  <c r="Q84" i="6"/>
  <c r="Q85" i="6" s="1"/>
  <c r="Q86" i="6" s="1"/>
  <c r="Q87" i="6" s="1"/>
  <c r="R83" i="6" s="1"/>
  <c r="Q84" i="7"/>
  <c r="Q85" i="7" s="1"/>
  <c r="Q86" i="7" s="1"/>
  <c r="R10" i="6"/>
  <c r="T60" i="7"/>
  <c r="U56" i="7" s="1"/>
  <c r="S61" i="7"/>
  <c r="S91" i="7" s="1"/>
  <c r="N105" i="6"/>
  <c r="O101" i="6" s="1"/>
  <c r="O102" i="7" s="1"/>
  <c r="O103" i="7" s="1"/>
  <c r="O104" i="7" s="1"/>
  <c r="L106" i="6"/>
  <c r="L16" i="6" s="1"/>
  <c r="O15" i="6"/>
  <c r="O100" i="6"/>
  <c r="Q96" i="6"/>
  <c r="R92" i="6" s="1"/>
  <c r="R93" i="6" s="1"/>
  <c r="R94" i="6" s="1"/>
  <c r="R95" i="6" s="1"/>
  <c r="P97" i="6"/>
  <c r="S11" i="6"/>
  <c r="S82" i="6"/>
  <c r="Q69" i="6"/>
  <c r="R65" i="6" s="1"/>
  <c r="P70" i="6"/>
  <c r="P12" i="6" s="1"/>
  <c r="S11" i="7" l="1"/>
  <c r="S82" i="7"/>
  <c r="R93" i="7"/>
  <c r="R94" i="7" s="1"/>
  <c r="R95" i="7" s="1"/>
  <c r="P97" i="7"/>
  <c r="R84" i="6"/>
  <c r="R85" i="6" s="1"/>
  <c r="R86" i="6" s="1"/>
  <c r="R84" i="7"/>
  <c r="R85" i="7" s="1"/>
  <c r="R86" i="7" s="1"/>
  <c r="Q97" i="7"/>
  <c r="R96" i="7"/>
  <c r="S92" i="7" s="1"/>
  <c r="M106" i="7"/>
  <c r="M16" i="7" s="1"/>
  <c r="O105" i="7"/>
  <c r="P101" i="7" s="1"/>
  <c r="R66" i="6"/>
  <c r="R67" i="6" s="1"/>
  <c r="R68" i="6" s="1"/>
  <c r="Q70" i="6" s="1"/>
  <c r="Q12" i="6" s="1"/>
  <c r="R66" i="7"/>
  <c r="R67" i="7" s="1"/>
  <c r="R68" i="7" s="1"/>
  <c r="S93" i="7"/>
  <c r="S94" i="7" s="1"/>
  <c r="S95" i="7" s="1"/>
  <c r="S84" i="7"/>
  <c r="S85" i="7" s="1"/>
  <c r="S86" i="7" s="1"/>
  <c r="Q87" i="7"/>
  <c r="R83" i="7" s="1"/>
  <c r="P88" i="7"/>
  <c r="P14" i="7" s="1"/>
  <c r="P88" i="6"/>
  <c r="P14" i="6" s="1"/>
  <c r="P70" i="7"/>
  <c r="P12" i="7" s="1"/>
  <c r="Q69" i="7"/>
  <c r="R65" i="7" s="1"/>
  <c r="O102" i="6"/>
  <c r="O103" i="6" s="1"/>
  <c r="O104" i="6" s="1"/>
  <c r="P15" i="6"/>
  <c r="P100" i="6"/>
  <c r="R96" i="6"/>
  <c r="S92" i="6" s="1"/>
  <c r="S93" i="6" s="1"/>
  <c r="S94" i="6" s="1"/>
  <c r="S95" i="6" s="1"/>
  <c r="Q97" i="6"/>
  <c r="R87" i="6"/>
  <c r="S83" i="6" s="1"/>
  <c r="S84" i="6" s="1"/>
  <c r="S85" i="6" s="1"/>
  <c r="S86" i="6" s="1"/>
  <c r="Q88" i="6"/>
  <c r="Q14" i="6" s="1"/>
  <c r="Q15" i="7" l="1"/>
  <c r="Q100" i="7"/>
  <c r="P15" i="7"/>
  <c r="P100" i="7"/>
  <c r="R69" i="6"/>
  <c r="S65" i="6" s="1"/>
  <c r="T65" i="6" s="1"/>
  <c r="U65" i="6" s="1"/>
  <c r="Q70" i="7"/>
  <c r="Q12" i="7" s="1"/>
  <c r="R69" i="7"/>
  <c r="R88" i="7"/>
  <c r="R14" i="7" s="1"/>
  <c r="S87" i="7"/>
  <c r="S96" i="7"/>
  <c r="T92" i="7" s="1"/>
  <c r="U92" i="7" s="1"/>
  <c r="R97" i="7"/>
  <c r="R87" i="7"/>
  <c r="S83" i="7" s="1"/>
  <c r="Q88" i="7"/>
  <c r="Q14" i="7" s="1"/>
  <c r="S65" i="7"/>
  <c r="T65" i="7" s="1"/>
  <c r="U65" i="7" s="1"/>
  <c r="O105" i="6"/>
  <c r="P101" i="6" s="1"/>
  <c r="P102" i="7" s="1"/>
  <c r="P103" i="7" s="1"/>
  <c r="P104" i="7" s="1"/>
  <c r="M106" i="6"/>
  <c r="M16" i="6" s="1"/>
  <c r="Q15" i="6"/>
  <c r="Q100" i="6"/>
  <c r="S96" i="6"/>
  <c r="T92" i="6" s="1"/>
  <c r="U92" i="6" s="1"/>
  <c r="R97" i="6"/>
  <c r="S87" i="6"/>
  <c r="T83" i="6" s="1"/>
  <c r="R88" i="6"/>
  <c r="R14" i="6" s="1"/>
  <c r="R15" i="7" l="1"/>
  <c r="R100" i="7"/>
  <c r="T83" i="7"/>
  <c r="N106" i="7"/>
  <c r="N16" i="7" s="1"/>
  <c r="P105" i="7"/>
  <c r="Q101" i="7" s="1"/>
  <c r="T84" i="6"/>
  <c r="T85" i="6" s="1"/>
  <c r="T86" i="6" s="1"/>
  <c r="T87" i="6" s="1"/>
  <c r="U83" i="6" s="1"/>
  <c r="T84" i="7"/>
  <c r="T85" i="7" s="1"/>
  <c r="T86" i="7" s="1"/>
  <c r="P102" i="6"/>
  <c r="P103" i="6" s="1"/>
  <c r="P104" i="6" s="1"/>
  <c r="P105" i="6" s="1"/>
  <c r="Q101" i="6" s="1"/>
  <c r="R15" i="6"/>
  <c r="R100" i="6"/>
  <c r="S88" i="6" l="1"/>
  <c r="S14" i="6" s="1"/>
  <c r="N106" i="6"/>
  <c r="N16" i="6" s="1"/>
  <c r="Q102" i="6"/>
  <c r="Q103" i="6" s="1"/>
  <c r="Q104" i="6" s="1"/>
  <c r="Q105" i="6" s="1"/>
  <c r="R101" i="6" s="1"/>
  <c r="R102" i="7" s="1"/>
  <c r="R103" i="7" s="1"/>
  <c r="R104" i="7" s="1"/>
  <c r="Q102" i="7"/>
  <c r="Q103" i="7" s="1"/>
  <c r="Q104" i="7" s="1"/>
  <c r="S88" i="7"/>
  <c r="S14" i="7" s="1"/>
  <c r="T87" i="7"/>
  <c r="U83" i="7" s="1"/>
  <c r="O106" i="6"/>
  <c r="O16" i="6" s="1"/>
  <c r="R102" i="6" l="1"/>
  <c r="R103" i="6" s="1"/>
  <c r="R104" i="6" s="1"/>
  <c r="R105" i="6" s="1"/>
  <c r="S101" i="6" s="1"/>
  <c r="O106" i="7"/>
  <c r="O16" i="7" s="1"/>
  <c r="Q105" i="7"/>
  <c r="R101" i="7" s="1"/>
  <c r="P106" i="7"/>
  <c r="P16" i="7" s="1"/>
  <c r="R105" i="7"/>
  <c r="P106" i="6"/>
  <c r="P16" i="6" s="1"/>
  <c r="S102" i="7" l="1"/>
  <c r="S103" i="7" s="1"/>
  <c r="S104" i="7" s="1"/>
  <c r="S105" i="7" s="1"/>
  <c r="S102" i="6"/>
  <c r="S103" i="6" s="1"/>
  <c r="S104" i="6" s="1"/>
  <c r="S105" i="6" s="1"/>
  <c r="T101" i="6" s="1"/>
  <c r="S101" i="7"/>
  <c r="Q106" i="7" l="1"/>
  <c r="Q16" i="7" s="1"/>
  <c r="T101" i="7"/>
  <c r="Q106" i="6"/>
  <c r="Q16" i="6" s="1"/>
  <c r="T102" i="7"/>
  <c r="T103" i="7" s="1"/>
  <c r="T104" i="7" s="1"/>
  <c r="R106" i="7" s="1"/>
  <c r="R16" i="7" s="1"/>
  <c r="T102" i="6"/>
  <c r="T103" i="6" s="1"/>
  <c r="T104" i="6" s="1"/>
  <c r="T105" i="6" s="1"/>
  <c r="U101" i="6" s="1"/>
  <c r="T105" i="7" l="1"/>
  <c r="U101" i="7" s="1"/>
  <c r="R106" i="6"/>
  <c r="R16" i="6" s="1"/>
  <c r="U102" i="6"/>
  <c r="U103" i="6" s="1"/>
  <c r="U104" i="6" s="1"/>
  <c r="S106" i="6" s="1"/>
  <c r="S16" i="6" s="1"/>
  <c r="U102" i="7"/>
  <c r="U103" i="7" s="1"/>
  <c r="U104" i="7" s="1"/>
  <c r="U105" i="6" l="1"/>
  <c r="S106" i="7"/>
  <c r="S16" i="7" s="1"/>
  <c r="U105" i="7"/>
</calcChain>
</file>

<file path=xl/sharedStrings.xml><?xml version="1.0" encoding="utf-8"?>
<sst xmlns="http://schemas.openxmlformats.org/spreadsheetml/2006/main" count="252" uniqueCount="50">
  <si>
    <t>P1</t>
  </si>
  <si>
    <t>DATOS DE ENTRADA</t>
  </si>
  <si>
    <t>SEMANA</t>
  </si>
  <si>
    <t>PRODUCTO</t>
  </si>
  <si>
    <t>Producto final</t>
  </si>
  <si>
    <t>P2</t>
  </si>
  <si>
    <t>C3</t>
  </si>
  <si>
    <r>
      <t xml:space="preserve">El </t>
    </r>
    <r>
      <rPr>
        <b/>
        <sz val="10"/>
        <rFont val="Arial"/>
        <family val="2"/>
      </rPr>
      <t>Programa Maestro de Producción (PMP)</t>
    </r>
    <r>
      <rPr>
        <sz val="11"/>
        <color theme="1"/>
        <rFont val="Calibri"/>
        <family val="2"/>
        <scheme val="minor"/>
      </rPr>
      <t xml:space="preserve"> es la estimación propia de productos o pedidos comprometidos (la demanda firme).</t>
    </r>
  </si>
  <si>
    <r>
      <t xml:space="preserve">Los </t>
    </r>
    <r>
      <rPr>
        <b/>
        <sz val="10"/>
        <rFont val="Arial"/>
        <family val="2"/>
      </rPr>
      <t>Tiempos de Suministro (TS)</t>
    </r>
    <r>
      <rPr>
        <sz val="11"/>
        <color theme="1"/>
        <rFont val="Calibri"/>
        <family val="2"/>
        <scheme val="minor"/>
      </rPr>
      <t xml:space="preserve"> son un dato fijo y establece las fechas de emisión y recepción de pedidos.</t>
    </r>
  </si>
  <si>
    <r>
      <t xml:space="preserve">Registro de Inventario: </t>
    </r>
    <r>
      <rPr>
        <sz val="14"/>
        <color indexed="13"/>
        <rFont val="Arial"/>
        <family val="2"/>
      </rPr>
      <t>fichero de stocks y dinámica de pedidos</t>
    </r>
  </si>
  <si>
    <t>Producto/Componente</t>
  </si>
  <si>
    <t>Stock de Seguridad (SS)</t>
  </si>
  <si>
    <t>Defectos (%)</t>
  </si>
  <si>
    <t>Existencias disponibles</t>
  </si>
  <si>
    <t>Lote pedido</t>
  </si>
  <si>
    <t>S11</t>
  </si>
  <si>
    <t>S12</t>
  </si>
  <si>
    <t>C1</t>
  </si>
  <si>
    <t>C2</t>
  </si>
  <si>
    <r>
      <t xml:space="preserve">El </t>
    </r>
    <r>
      <rPr>
        <b/>
        <sz val="10"/>
        <rFont val="Arial"/>
        <family val="2"/>
      </rPr>
      <t>stock de seguridad (SS)</t>
    </r>
    <r>
      <rPr>
        <sz val="11"/>
        <color theme="1"/>
        <rFont val="Calibri"/>
        <family val="2"/>
        <scheme val="minor"/>
      </rPr>
      <t xml:space="preserve"> del que debemos disponer.</t>
    </r>
  </si>
  <si>
    <r>
      <t xml:space="preserve">El </t>
    </r>
    <r>
      <rPr>
        <b/>
        <sz val="10"/>
        <rFont val="Arial"/>
        <family val="2"/>
      </rPr>
      <t>% de defectuosos</t>
    </r>
    <r>
      <rPr>
        <sz val="11"/>
        <color theme="1"/>
        <rFont val="Calibri"/>
        <family val="2"/>
        <scheme val="minor"/>
      </rPr>
      <t xml:space="preserve"> que recibimos o fabricamos y deben ser desestimados a nivel productivo y/o comercial.</t>
    </r>
  </si>
  <si>
    <r>
      <t xml:space="preserve">Las </t>
    </r>
    <r>
      <rPr>
        <b/>
        <sz val="10"/>
        <rFont val="Arial"/>
        <family val="2"/>
      </rPr>
      <t>existencias disponibles</t>
    </r>
    <r>
      <rPr>
        <sz val="11"/>
        <color theme="1"/>
        <rFont val="Calibri"/>
        <family val="2"/>
        <scheme val="minor"/>
      </rPr>
      <t xml:space="preserve"> al lanzamiento del Plan, es decir, en el momento que se necesitan.</t>
    </r>
  </si>
  <si>
    <r>
      <t xml:space="preserve">El </t>
    </r>
    <r>
      <rPr>
        <b/>
        <sz val="10"/>
        <rFont val="Arial"/>
        <family val="2"/>
      </rPr>
      <t xml:space="preserve">lote pedido </t>
    </r>
    <r>
      <rPr>
        <sz val="11"/>
        <color theme="1"/>
        <rFont val="Calibri"/>
        <family val="2"/>
        <scheme val="minor"/>
      </rPr>
      <t>establece el lote de uds. que configura el pedido, es decir, debemos elaborar pedidos u orden de trabajo (OT) que sean múltiplos de dichas cantidades.</t>
    </r>
  </si>
  <si>
    <t>PRINCIPIO BASE</t>
  </si>
  <si>
    <r>
      <t>Demanda de componentes discreta y discontinua:</t>
    </r>
    <r>
      <rPr>
        <sz val="11"/>
        <color theme="1"/>
        <rFont val="Calibri"/>
        <family val="2"/>
        <scheme val="minor"/>
      </rPr>
      <t xml:space="preserve"> los productos se fabrican por lotes, y a medida que dicho lote avanza en su fabricación, se demandan sus componentes en momentos y cantidades concretas.</t>
    </r>
  </si>
  <si>
    <r>
      <t xml:space="preserve">El cumplimiento del PMP y </t>
    </r>
    <r>
      <rPr>
        <b/>
        <sz val="10"/>
        <rFont val="Arial"/>
        <family val="2"/>
      </rPr>
      <t>la llegada de las compras</t>
    </r>
    <r>
      <rPr>
        <sz val="10"/>
        <rFont val="Arial"/>
        <family val="2"/>
      </rPr>
      <t>, hace que se actualice el Registro de Inventario y el propio PMP.</t>
    </r>
  </si>
  <si>
    <t>Informe de Explosión de Necesidades de un sistema MRP-I</t>
  </si>
  <si>
    <t>NIVEL 1</t>
  </si>
  <si>
    <t>NIVEL 2</t>
  </si>
  <si>
    <t>NIVEL 3</t>
  </si>
  <si>
    <t>Programa Maestro de Producción (PMP)</t>
  </si>
  <si>
    <t>Tiempo de suministro</t>
  </si>
  <si>
    <r>
      <t xml:space="preserve">El </t>
    </r>
    <r>
      <rPr>
        <b/>
        <sz val="10"/>
        <rFont val="Arial"/>
        <family val="2"/>
      </rPr>
      <t>tiempo de suministro</t>
    </r>
    <r>
      <rPr>
        <sz val="11"/>
        <color theme="1"/>
        <rFont val="Calibri"/>
        <family val="2"/>
        <scheme val="minor"/>
      </rPr>
      <t xml:space="preserve"> en el que podemos contar con ellos, desde que se lanza su pedido a proveedores o su orden de trabajo (OT) a planta.</t>
    </r>
  </si>
  <si>
    <t>NIVEL 4</t>
  </si>
  <si>
    <t>C4</t>
  </si>
  <si>
    <t>C5</t>
  </si>
  <si>
    <t>S13</t>
  </si>
  <si>
    <t>LANZ PP</t>
  </si>
  <si>
    <t>Planificación de Necesidades de Materiales (MRP) (LANZ PP)</t>
  </si>
  <si>
    <t>HOY</t>
  </si>
  <si>
    <t>Pieza de repuesto de P1, P2</t>
  </si>
  <si>
    <t>Pieza de repuesto de P2</t>
  </si>
  <si>
    <t>NB</t>
  </si>
  <si>
    <t>EXITS</t>
  </si>
  <si>
    <t>NN</t>
  </si>
  <si>
    <t>AUXILIAR (NN, CON DEFECTOS)</t>
  </si>
  <si>
    <t>RPP</t>
  </si>
  <si>
    <t>AUXILIAR 3 (CORRECTAS)</t>
  </si>
  <si>
    <t>LANZ PP (EN CUENTA DEF. Y LOTE)</t>
  </si>
  <si>
    <t>Modificación para poder cambiar en el PMP el número de la semana o el producto deseado, manteniendo las dimensiones actuales de la tabla PMP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</si>
</sst>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8"/>
      <color indexed="57"/>
      <name val="Arial"/>
      <family val="2"/>
    </font>
    <font>
      <b/>
      <sz val="14"/>
      <color indexed="13"/>
      <name val="Arial"/>
      <family val="2"/>
    </font>
    <font>
      <sz val="14"/>
      <color indexed="13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20"/>
      <color indexed="10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1"/>
      <color rgb="FF0061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2" fillId="8" borderId="0" applyNumberFormat="0" applyBorder="0" applyAlignment="0" applyProtection="0"/>
    <xf numFmtId="0" fontId="14" fillId="9" borderId="0" applyNumberFormat="0" applyBorder="0" applyAlignment="0" applyProtection="0"/>
    <xf numFmtId="0" fontId="15" fillId="10" borderId="0" applyNumberFormat="0" applyBorder="0" applyAlignment="0" applyProtection="0"/>
  </cellStyleXfs>
  <cellXfs count="94">
    <xf numFmtId="0" fontId="0" fillId="0" borderId="0" xfId="0"/>
    <xf numFmtId="0" fontId="4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  <xf numFmtId="0" fontId="12" fillId="8" borderId="0" xfId="1" applyAlignment="1">
      <alignment horizontal="center"/>
    </xf>
    <xf numFmtId="0" fontId="15" fillId="10" borderId="0" xfId="3" applyAlignment="1">
      <alignment horizontal="center"/>
    </xf>
    <xf numFmtId="0" fontId="15" fillId="10" borderId="4" xfId="3" applyBorder="1" applyAlignment="1">
      <alignment horizontal="center"/>
    </xf>
    <xf numFmtId="0" fontId="15" fillId="10" borderId="5" xfId="3" applyBorder="1" applyAlignment="1">
      <alignment horizontal="center"/>
    </xf>
    <xf numFmtId="0" fontId="15" fillId="10" borderId="0" xfId="3" applyBorder="1" applyAlignment="1">
      <alignment horizontal="center"/>
    </xf>
    <xf numFmtId="0" fontId="14" fillId="9" borderId="0" xfId="2" applyAlignment="1">
      <alignment horizontal="center"/>
    </xf>
    <xf numFmtId="0" fontId="14" fillId="9" borderId="4" xfId="2" applyBorder="1" applyAlignment="1">
      <alignment horizontal="center"/>
    </xf>
    <xf numFmtId="0" fontId="14" fillId="9" borderId="5" xfId="2" applyBorder="1" applyAlignment="1">
      <alignment horizontal="center"/>
    </xf>
    <xf numFmtId="0" fontId="14" fillId="9" borderId="0" xfId="2" applyBorder="1" applyAlignment="1">
      <alignment horizontal="center"/>
    </xf>
    <xf numFmtId="0" fontId="12" fillId="8" borderId="2" xfId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6" fillId="11" borderId="0" xfId="2" applyFont="1" applyFill="1" applyAlignment="1">
      <alignment horizontal="center"/>
    </xf>
    <xf numFmtId="0" fontId="16" fillId="11" borderId="4" xfId="2" applyFont="1" applyFill="1" applyBorder="1" applyAlignment="1">
      <alignment horizontal="center"/>
    </xf>
    <xf numFmtId="0" fontId="16" fillId="11" borderId="5" xfId="2" applyFont="1" applyFill="1" applyBorder="1" applyAlignment="1">
      <alignment horizontal="center"/>
    </xf>
    <xf numFmtId="0" fontId="16" fillId="11" borderId="0" xfId="2" applyFont="1" applyFill="1" applyBorder="1" applyAlignment="1">
      <alignment horizontal="center"/>
    </xf>
    <xf numFmtId="0" fontId="0" fillId="0" borderId="6" xfId="0" applyBorder="1"/>
    <xf numFmtId="0" fontId="7" fillId="0" borderId="0" xfId="0" applyFont="1" applyAlignment="1">
      <alignment horizontal="center" vertical="center"/>
    </xf>
    <xf numFmtId="0" fontId="0" fillId="0" borderId="0" xfId="0" applyAlignment="1"/>
    <xf numFmtId="0" fontId="8" fillId="0" borderId="0" xfId="0" applyFont="1" applyFill="1" applyAlignment="1">
      <alignment horizontal="center" vertical="center"/>
    </xf>
    <xf numFmtId="0" fontId="0" fillId="0" borderId="0" xfId="0" applyBorder="1" applyAlignment="1"/>
    <xf numFmtId="0" fontId="9" fillId="4" borderId="2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vertical="center" wrapText="1"/>
    </xf>
    <xf numFmtId="0" fontId="11" fillId="6" borderId="8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0" xfId="0" applyBorder="1" applyAlignment="1">
      <alignment horizontal="center"/>
    </xf>
    <xf numFmtId="0" fontId="5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18" fillId="8" borderId="21" xfId="1" applyFont="1" applyBorder="1" applyAlignment="1">
      <alignment horizontal="center"/>
    </xf>
    <xf numFmtId="0" fontId="18" fillId="8" borderId="22" xfId="1" applyFont="1" applyBorder="1" applyAlignment="1">
      <alignment horizontal="center"/>
    </xf>
    <xf numFmtId="0" fontId="19" fillId="10" borderId="22" xfId="3" applyFont="1" applyBorder="1" applyAlignment="1">
      <alignment horizontal="center"/>
    </xf>
    <xf numFmtId="0" fontId="20" fillId="9" borderId="22" xfId="2" applyFont="1" applyBorder="1" applyAlignment="1">
      <alignment horizontal="center"/>
    </xf>
    <xf numFmtId="0" fontId="20" fillId="9" borderId="23" xfId="2" applyFont="1" applyBorder="1" applyAlignment="1">
      <alignment horizontal="center"/>
    </xf>
    <xf numFmtId="0" fontId="13" fillId="11" borderId="22" xfId="2" applyFont="1" applyFill="1" applyBorder="1" applyAlignment="1">
      <alignment horizontal="center"/>
    </xf>
    <xf numFmtId="0" fontId="13" fillId="11" borderId="23" xfId="2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/>
    <xf numFmtId="0" fontId="8" fillId="0" borderId="0" xfId="0" applyFont="1" applyFill="1" applyAlignment="1">
      <alignment horizontal="center" vertical="center"/>
    </xf>
    <xf numFmtId="0" fontId="11" fillId="6" borderId="25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10" fillId="6" borderId="26" xfId="0" applyFont="1" applyFill="1" applyBorder="1" applyAlignment="1">
      <alignment horizontal="center" vertical="center"/>
    </xf>
    <xf numFmtId="0" fontId="11" fillId="14" borderId="25" xfId="0" applyFont="1" applyFill="1" applyBorder="1" applyAlignment="1">
      <alignment horizontal="center" vertical="center"/>
    </xf>
    <xf numFmtId="0" fontId="10" fillId="14" borderId="26" xfId="0" applyFont="1" applyFill="1" applyBorder="1" applyAlignment="1">
      <alignment horizontal="center" vertical="center"/>
    </xf>
    <xf numFmtId="0" fontId="10" fillId="14" borderId="11" xfId="0" applyFont="1" applyFill="1" applyBorder="1" applyAlignment="1">
      <alignment horizontal="center" vertical="center"/>
    </xf>
    <xf numFmtId="0" fontId="10" fillId="14" borderId="12" xfId="0" applyFont="1" applyFill="1" applyBorder="1" applyAlignment="1">
      <alignment horizontal="center" vertical="center"/>
    </xf>
    <xf numFmtId="0" fontId="11" fillId="12" borderId="25" xfId="0" applyFont="1" applyFill="1" applyBorder="1" applyAlignment="1">
      <alignment horizontal="center" vertical="center"/>
    </xf>
    <xf numFmtId="0" fontId="10" fillId="12" borderId="26" xfId="0" applyFont="1" applyFill="1" applyBorder="1" applyAlignment="1">
      <alignment horizontal="center" vertical="center"/>
    </xf>
    <xf numFmtId="0" fontId="10" fillId="12" borderId="11" xfId="0" applyFont="1" applyFill="1" applyBorder="1" applyAlignment="1">
      <alignment horizontal="center" vertical="center"/>
    </xf>
    <xf numFmtId="0" fontId="10" fillId="12" borderId="12" xfId="0" applyFont="1" applyFill="1" applyBorder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23" fillId="13" borderId="26" xfId="0" applyFont="1" applyFill="1" applyBorder="1" applyAlignment="1">
      <alignment horizontal="center" vertical="center"/>
    </xf>
    <xf numFmtId="0" fontId="23" fillId="13" borderId="11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24" fillId="0" borderId="0" xfId="0" applyFont="1" applyAlignment="1">
      <alignment horizontal="center" vertical="center" wrapText="1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90170</xdr:colOff>
      <xdr:row>2</xdr:row>
      <xdr:rowOff>45720</xdr:rowOff>
    </xdr:from>
    <xdr:to>
      <xdr:col>7</xdr:col>
      <xdr:colOff>144847</xdr:colOff>
      <xdr:row>3</xdr:row>
      <xdr:rowOff>144780</xdr:rowOff>
    </xdr:to>
    <xdr:cxnSp macro="">
      <xdr:nvCxnSpPr>
        <xdr:cNvPr id="4" name="3 Conector recto de flecha">
          <a:extLst>
            <a:ext uri="{FF2B5EF4-FFF2-40B4-BE49-F238E27FC236}">
              <a16:creationId xmlns:a16="http://schemas.microsoft.com/office/drawing/2014/main" id="{1BC0B422-EF38-46F8-80A3-114ED7134D04}"/>
            </a:ext>
          </a:extLst>
        </xdr:cNvPr>
        <xdr:cNvCxnSpPr/>
      </xdr:nvCxnSpPr>
      <xdr:spPr>
        <a:xfrm rot="10800000" flipV="1">
          <a:off x="2849880" y="792480"/>
          <a:ext cx="502920" cy="2819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5</xdr:row>
      <xdr:rowOff>68580</xdr:rowOff>
    </xdr:from>
    <xdr:to>
      <xdr:col>5</xdr:col>
      <xdr:colOff>318805</xdr:colOff>
      <xdr:row>6</xdr:row>
      <xdr:rowOff>152400</xdr:rowOff>
    </xdr:to>
    <xdr:cxnSp macro="">
      <xdr:nvCxnSpPr>
        <xdr:cNvPr id="6" name="5 Conector recto de flecha">
          <a:extLst>
            <a:ext uri="{FF2B5EF4-FFF2-40B4-BE49-F238E27FC236}">
              <a16:creationId xmlns:a16="http://schemas.microsoft.com/office/drawing/2014/main" id="{D41913DB-59C2-4FE3-B646-5AF70FB945D6}"/>
            </a:ext>
          </a:extLst>
        </xdr:cNvPr>
        <xdr:cNvCxnSpPr/>
      </xdr:nvCxnSpPr>
      <xdr:spPr>
        <a:xfrm rot="10800000" flipV="1">
          <a:off x="1897380" y="1379220"/>
          <a:ext cx="731520" cy="266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</xdr:colOff>
      <xdr:row>5</xdr:row>
      <xdr:rowOff>60960</xdr:rowOff>
    </xdr:from>
    <xdr:to>
      <xdr:col>7</xdr:col>
      <xdr:colOff>30480</xdr:colOff>
      <xdr:row>6</xdr:row>
      <xdr:rowOff>152400</xdr:rowOff>
    </xdr:to>
    <xdr:cxnSp macro="">
      <xdr:nvCxnSpPr>
        <xdr:cNvPr id="8" name="7 Conector recto de flecha">
          <a:extLst>
            <a:ext uri="{FF2B5EF4-FFF2-40B4-BE49-F238E27FC236}">
              <a16:creationId xmlns:a16="http://schemas.microsoft.com/office/drawing/2014/main" id="{0B006A2C-6D7C-445B-9729-8C7BF19649FA}"/>
            </a:ext>
          </a:extLst>
        </xdr:cNvPr>
        <xdr:cNvCxnSpPr/>
      </xdr:nvCxnSpPr>
      <xdr:spPr>
        <a:xfrm>
          <a:off x="2781300" y="1371600"/>
          <a:ext cx="457200" cy="2743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234950</xdr:colOff>
      <xdr:row>2</xdr:row>
      <xdr:rowOff>45720</xdr:rowOff>
    </xdr:from>
    <xdr:to>
      <xdr:col>10</xdr:col>
      <xdr:colOff>7629</xdr:colOff>
      <xdr:row>6</xdr:row>
      <xdr:rowOff>137160</xdr:rowOff>
    </xdr:to>
    <xdr:cxnSp macro="">
      <xdr:nvCxnSpPr>
        <xdr:cNvPr id="10" name="9 Conector recto de flecha">
          <a:extLst>
            <a:ext uri="{FF2B5EF4-FFF2-40B4-BE49-F238E27FC236}">
              <a16:creationId xmlns:a16="http://schemas.microsoft.com/office/drawing/2014/main" id="{B5BDC7CC-861C-4E57-9357-2CCFD4410E6F}"/>
            </a:ext>
          </a:extLst>
        </xdr:cNvPr>
        <xdr:cNvCxnSpPr/>
      </xdr:nvCxnSpPr>
      <xdr:spPr>
        <a:xfrm>
          <a:off x="3444240" y="792480"/>
          <a:ext cx="1120140" cy="8382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15</xdr:row>
      <xdr:rowOff>38099</xdr:rowOff>
    </xdr:from>
    <xdr:to>
      <xdr:col>7</xdr:col>
      <xdr:colOff>175260</xdr:colOff>
      <xdr:row>16</xdr:row>
      <xdr:rowOff>85725</xdr:rowOff>
    </xdr:to>
    <xdr:cxnSp macro="">
      <xdr:nvCxnSpPr>
        <xdr:cNvPr id="11" name="10 Conector recto de flecha">
          <a:extLst>
            <a:ext uri="{FF2B5EF4-FFF2-40B4-BE49-F238E27FC236}">
              <a16:creationId xmlns:a16="http://schemas.microsoft.com/office/drawing/2014/main" id="{910B361B-3012-4CF0-BD1D-9EFA29E63215}"/>
            </a:ext>
          </a:extLst>
        </xdr:cNvPr>
        <xdr:cNvCxnSpPr/>
      </xdr:nvCxnSpPr>
      <xdr:spPr>
        <a:xfrm rot="5400000">
          <a:off x="3130867" y="5594032"/>
          <a:ext cx="238126" cy="9906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116840</xdr:colOff>
      <xdr:row>18</xdr:row>
      <xdr:rowOff>53340</xdr:rowOff>
    </xdr:from>
    <xdr:to>
      <xdr:col>6</xdr:col>
      <xdr:colOff>421640</xdr:colOff>
      <xdr:row>19</xdr:row>
      <xdr:rowOff>121920</xdr:rowOff>
    </xdr:to>
    <xdr:cxnSp macro="">
      <xdr:nvCxnSpPr>
        <xdr:cNvPr id="13" name="12 Conector recto de flecha">
          <a:extLst>
            <a:ext uri="{FF2B5EF4-FFF2-40B4-BE49-F238E27FC236}">
              <a16:creationId xmlns:a16="http://schemas.microsoft.com/office/drawing/2014/main" id="{753CF850-8ACC-4C0D-9AD5-EFCB075E320E}"/>
            </a:ext>
          </a:extLst>
        </xdr:cNvPr>
        <xdr:cNvCxnSpPr/>
      </xdr:nvCxnSpPr>
      <xdr:spPr>
        <a:xfrm rot="10800000" flipV="1">
          <a:off x="2366010" y="6130290"/>
          <a:ext cx="742950" cy="2590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112395</xdr:colOff>
      <xdr:row>18</xdr:row>
      <xdr:rowOff>45720</xdr:rowOff>
    </xdr:from>
    <xdr:to>
      <xdr:col>8</xdr:col>
      <xdr:colOff>89535</xdr:colOff>
      <xdr:row>19</xdr:row>
      <xdr:rowOff>144780</xdr:rowOff>
    </xdr:to>
    <xdr:cxnSp macro="">
      <xdr:nvCxnSpPr>
        <xdr:cNvPr id="15" name="14 Conector recto de flecha">
          <a:extLst>
            <a:ext uri="{FF2B5EF4-FFF2-40B4-BE49-F238E27FC236}">
              <a16:creationId xmlns:a16="http://schemas.microsoft.com/office/drawing/2014/main" id="{49DE73D3-23C9-4450-B6AC-8B51FFD9E46C}"/>
            </a:ext>
          </a:extLst>
        </xdr:cNvPr>
        <xdr:cNvCxnSpPr/>
      </xdr:nvCxnSpPr>
      <xdr:spPr>
        <a:xfrm>
          <a:off x="3236595" y="6122670"/>
          <a:ext cx="422910" cy="28956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265430</xdr:colOff>
      <xdr:row>15</xdr:row>
      <xdr:rowOff>53340</xdr:rowOff>
    </xdr:from>
    <xdr:to>
      <xdr:col>10</xdr:col>
      <xdr:colOff>332105</xdr:colOff>
      <xdr:row>19</xdr:row>
      <xdr:rowOff>123825</xdr:rowOff>
    </xdr:to>
    <xdr:cxnSp macro="">
      <xdr:nvCxnSpPr>
        <xdr:cNvPr id="17" name="16 Conector recto de flecha">
          <a:extLst>
            <a:ext uri="{FF2B5EF4-FFF2-40B4-BE49-F238E27FC236}">
              <a16:creationId xmlns:a16="http://schemas.microsoft.com/office/drawing/2014/main" id="{FB1EA8FA-7516-4927-AE39-9A5D03D13C1B}"/>
            </a:ext>
          </a:extLst>
        </xdr:cNvPr>
        <xdr:cNvCxnSpPr/>
      </xdr:nvCxnSpPr>
      <xdr:spPr>
        <a:xfrm>
          <a:off x="3390900" y="5539740"/>
          <a:ext cx="1381125" cy="85153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47626</xdr:colOff>
      <xdr:row>15</xdr:row>
      <xdr:rowOff>47624</xdr:rowOff>
    </xdr:from>
    <xdr:to>
      <xdr:col>7</xdr:col>
      <xdr:colOff>49522</xdr:colOff>
      <xdr:row>16</xdr:row>
      <xdr:rowOff>95249</xdr:rowOff>
    </xdr:to>
    <xdr:cxnSp macro="">
      <xdr:nvCxnSpPr>
        <xdr:cNvPr id="20" name="19 Conector recto de flecha">
          <a:extLst>
            <a:ext uri="{FF2B5EF4-FFF2-40B4-BE49-F238E27FC236}">
              <a16:creationId xmlns:a16="http://schemas.microsoft.com/office/drawing/2014/main" id="{A213C3A1-0EDB-4CF4-B496-15D41564419B}"/>
            </a:ext>
          </a:extLst>
        </xdr:cNvPr>
        <xdr:cNvCxnSpPr/>
      </xdr:nvCxnSpPr>
      <xdr:spPr>
        <a:xfrm rot="10800000" flipV="1">
          <a:off x="1857376" y="5534024"/>
          <a:ext cx="1323977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9526</xdr:colOff>
      <xdr:row>18</xdr:row>
      <xdr:rowOff>104777</xdr:rowOff>
    </xdr:from>
    <xdr:to>
      <xdr:col>3</xdr:col>
      <xdr:colOff>9526</xdr:colOff>
      <xdr:row>22</xdr:row>
      <xdr:rowOff>76200</xdr:rowOff>
    </xdr:to>
    <xdr:cxnSp macro="">
      <xdr:nvCxnSpPr>
        <xdr:cNvPr id="26" name="25 Conector recto de flecha">
          <a:extLst>
            <a:ext uri="{FF2B5EF4-FFF2-40B4-BE49-F238E27FC236}">
              <a16:creationId xmlns:a16="http://schemas.microsoft.com/office/drawing/2014/main" id="{8EB54D59-BDF3-4CAE-B587-03F79C810AD9}"/>
            </a:ext>
          </a:extLst>
        </xdr:cNvPr>
        <xdr:cNvCxnSpPr/>
      </xdr:nvCxnSpPr>
      <xdr:spPr>
        <a:xfrm rot="5400000">
          <a:off x="1004889" y="6557964"/>
          <a:ext cx="752473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441325</xdr:colOff>
      <xdr:row>21</xdr:row>
      <xdr:rowOff>45719</xdr:rowOff>
    </xdr:from>
    <xdr:to>
      <xdr:col>7</xdr:col>
      <xdr:colOff>441325</xdr:colOff>
      <xdr:row>22</xdr:row>
      <xdr:rowOff>152399</xdr:rowOff>
    </xdr:to>
    <xdr:cxnSp macro="">
      <xdr:nvCxnSpPr>
        <xdr:cNvPr id="31" name="30 Conector recto de flecha">
          <a:extLst>
            <a:ext uri="{FF2B5EF4-FFF2-40B4-BE49-F238E27FC236}">
              <a16:creationId xmlns:a16="http://schemas.microsoft.com/office/drawing/2014/main" id="{B1407992-1E96-4C37-BCCB-9DC77FFE3397}"/>
            </a:ext>
          </a:extLst>
        </xdr:cNvPr>
        <xdr:cNvCxnSpPr/>
      </xdr:nvCxnSpPr>
      <xdr:spPr>
        <a:xfrm rot="16200000" flipH="1">
          <a:off x="3411855" y="6861809"/>
          <a:ext cx="29718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618E-22EA-45B9-AE88-9CD898FC8BDE}">
  <dimension ref="A1:F38"/>
  <sheetViews>
    <sheetView zoomScaleNormal="100" workbookViewId="0">
      <selection activeCell="C26" sqref="C26"/>
    </sheetView>
  </sheetViews>
  <sheetFormatPr baseColWidth="10" defaultRowHeight="14.4" x14ac:dyDescent="0.3"/>
  <cols>
    <col min="1" max="1" width="21.6640625" bestFit="1" customWidth="1"/>
    <col min="2" max="2" width="21.88671875" bestFit="1" customWidth="1"/>
    <col min="3" max="3" width="20.44140625" bestFit="1" customWidth="1"/>
    <col min="4" max="4" width="12.33203125" bestFit="1" customWidth="1"/>
    <col min="5" max="5" width="21.6640625" bestFit="1" customWidth="1"/>
    <col min="6" max="6" width="29.33203125" customWidth="1"/>
  </cols>
  <sheetData>
    <row r="1" spans="1:6" ht="22.8" x14ac:dyDescent="0.3">
      <c r="A1" s="50" t="s">
        <v>1</v>
      </c>
      <c r="B1" s="50"/>
      <c r="C1" s="50"/>
      <c r="D1" s="50"/>
      <c r="E1" s="50"/>
      <c r="F1" s="50"/>
    </row>
    <row r="3" spans="1:6" ht="17.399999999999999" x14ac:dyDescent="0.3">
      <c r="A3" s="49" t="s">
        <v>30</v>
      </c>
      <c r="B3" s="49"/>
      <c r="C3" s="49"/>
      <c r="D3" s="49"/>
      <c r="E3" s="49"/>
      <c r="F3" s="49"/>
    </row>
    <row r="4" spans="1:6" ht="15" thickBot="1" x14ac:dyDescent="0.35"/>
    <row r="5" spans="1:6" ht="15" thickBot="1" x14ac:dyDescent="0.35">
      <c r="B5" s="51" t="s">
        <v>2</v>
      </c>
      <c r="C5" s="52"/>
      <c r="D5" s="52"/>
      <c r="E5" s="53"/>
    </row>
    <row r="6" spans="1:6" ht="15" thickBot="1" x14ac:dyDescent="0.35">
      <c r="A6" s="1" t="s">
        <v>3</v>
      </c>
      <c r="B6" s="2">
        <v>17</v>
      </c>
      <c r="C6" s="2">
        <v>18</v>
      </c>
      <c r="D6" s="2">
        <v>19</v>
      </c>
      <c r="E6" s="2">
        <v>20</v>
      </c>
    </row>
    <row r="7" spans="1:6" ht="15" thickBot="1" x14ac:dyDescent="0.35">
      <c r="A7" s="3" t="s">
        <v>0</v>
      </c>
      <c r="B7" s="3">
        <v>100</v>
      </c>
      <c r="C7" s="3">
        <v>80</v>
      </c>
      <c r="D7" s="3">
        <v>100</v>
      </c>
      <c r="E7" s="3">
        <v>120</v>
      </c>
      <c r="F7" t="s">
        <v>4</v>
      </c>
    </row>
    <row r="8" spans="1:6" ht="15" thickBot="1" x14ac:dyDescent="0.35">
      <c r="A8" s="3" t="s">
        <v>5</v>
      </c>
      <c r="B8" s="3">
        <v>200</v>
      </c>
      <c r="C8" s="3">
        <v>200</v>
      </c>
      <c r="D8" s="3">
        <v>200</v>
      </c>
      <c r="E8" s="3">
        <v>250</v>
      </c>
      <c r="F8" t="s">
        <v>4</v>
      </c>
    </row>
    <row r="9" spans="1:6" ht="15" thickBot="1" x14ac:dyDescent="0.35">
      <c r="A9" s="3" t="s">
        <v>6</v>
      </c>
      <c r="B9" s="20">
        <v>0</v>
      </c>
      <c r="C9" s="3">
        <v>100</v>
      </c>
      <c r="D9" s="3">
        <v>100</v>
      </c>
      <c r="E9" s="3">
        <v>0</v>
      </c>
      <c r="F9" t="s">
        <v>40</v>
      </c>
    </row>
    <row r="10" spans="1:6" ht="15" thickBot="1" x14ac:dyDescent="0.35">
      <c r="A10" s="3" t="s">
        <v>35</v>
      </c>
      <c r="B10" s="20">
        <v>50</v>
      </c>
      <c r="C10" s="3">
        <v>25</v>
      </c>
      <c r="D10" s="3">
        <v>100</v>
      </c>
      <c r="E10" s="3">
        <v>10</v>
      </c>
      <c r="F10" t="s">
        <v>41</v>
      </c>
    </row>
    <row r="11" spans="1:6" x14ac:dyDescent="0.3">
      <c r="A11" s="4"/>
      <c r="B11" s="4"/>
      <c r="C11" s="4"/>
      <c r="D11" s="4"/>
      <c r="E11" s="4"/>
    </row>
    <row r="12" spans="1:6" x14ac:dyDescent="0.3">
      <c r="A12" s="54" t="s">
        <v>7</v>
      </c>
      <c r="B12" s="55"/>
      <c r="C12" s="55"/>
      <c r="D12" s="55"/>
      <c r="E12" s="55"/>
      <c r="F12" s="55"/>
    </row>
    <row r="13" spans="1:6" x14ac:dyDescent="0.3">
      <c r="A13" s="54" t="s">
        <v>8</v>
      </c>
      <c r="B13" s="55"/>
      <c r="C13" s="55"/>
      <c r="D13" s="55"/>
      <c r="E13" s="55"/>
      <c r="F13" s="55"/>
    </row>
    <row r="15" spans="1:6" ht="17.399999999999999" x14ac:dyDescent="0.3">
      <c r="A15" s="48" t="s">
        <v>9</v>
      </c>
      <c r="B15" s="49"/>
      <c r="C15" s="49"/>
      <c r="D15" s="49"/>
      <c r="E15" s="49"/>
      <c r="F15" s="49"/>
    </row>
    <row r="16" spans="1:6" ht="15" thickBot="1" x14ac:dyDescent="0.35"/>
    <row r="17" spans="1:6" ht="15" thickBot="1" x14ac:dyDescent="0.35">
      <c r="A17" s="5" t="s">
        <v>10</v>
      </c>
      <c r="B17" s="2" t="s">
        <v>11</v>
      </c>
      <c r="C17" s="6" t="s">
        <v>31</v>
      </c>
      <c r="D17" s="2" t="s">
        <v>12</v>
      </c>
      <c r="E17" s="6" t="s">
        <v>13</v>
      </c>
      <c r="F17" s="2" t="s">
        <v>14</v>
      </c>
    </row>
    <row r="18" spans="1:6" ht="15" thickBot="1" x14ac:dyDescent="0.35">
      <c r="A18" s="7" t="s">
        <v>0</v>
      </c>
      <c r="B18" s="3">
        <v>50</v>
      </c>
      <c r="C18" s="3">
        <v>1</v>
      </c>
      <c r="D18" s="3">
        <v>0</v>
      </c>
      <c r="E18" s="3">
        <v>70</v>
      </c>
      <c r="F18" s="3">
        <v>1</v>
      </c>
    </row>
    <row r="19" spans="1:6" ht="15" thickBot="1" x14ac:dyDescent="0.35">
      <c r="A19" s="7" t="s">
        <v>5</v>
      </c>
      <c r="B19" s="3">
        <v>100</v>
      </c>
      <c r="C19" s="3">
        <v>1</v>
      </c>
      <c r="D19" s="3">
        <v>0</v>
      </c>
      <c r="E19" s="3">
        <v>120</v>
      </c>
      <c r="F19" s="3">
        <v>1</v>
      </c>
    </row>
    <row r="20" spans="1:6" ht="15" thickBot="1" x14ac:dyDescent="0.35">
      <c r="A20" s="7" t="s">
        <v>15</v>
      </c>
      <c r="B20" s="3">
        <v>0</v>
      </c>
      <c r="C20" s="3">
        <v>2</v>
      </c>
      <c r="D20" s="3">
        <v>0</v>
      </c>
      <c r="E20" s="3">
        <v>20</v>
      </c>
      <c r="F20" s="3">
        <v>100</v>
      </c>
    </row>
    <row r="21" spans="1:6" ht="15" thickBot="1" x14ac:dyDescent="0.35">
      <c r="A21" s="7" t="s">
        <v>16</v>
      </c>
      <c r="B21" s="3">
        <v>30</v>
      </c>
      <c r="C21" s="3">
        <v>2</v>
      </c>
      <c r="D21" s="3">
        <v>5</v>
      </c>
      <c r="E21" s="3">
        <v>20</v>
      </c>
      <c r="F21" s="3">
        <v>50</v>
      </c>
    </row>
    <row r="22" spans="1:6" ht="15" thickBot="1" x14ac:dyDescent="0.35">
      <c r="A22" s="7" t="s">
        <v>36</v>
      </c>
      <c r="B22" s="3">
        <v>0</v>
      </c>
      <c r="C22" s="3">
        <v>1</v>
      </c>
      <c r="D22" s="3">
        <v>10</v>
      </c>
      <c r="E22" s="3">
        <v>50</v>
      </c>
      <c r="F22" s="3">
        <v>75</v>
      </c>
    </row>
    <row r="23" spans="1:6" ht="15" thickBot="1" x14ac:dyDescent="0.35">
      <c r="A23" s="7" t="s">
        <v>17</v>
      </c>
      <c r="B23" s="3">
        <v>100</v>
      </c>
      <c r="C23" s="3">
        <v>1</v>
      </c>
      <c r="D23" s="3">
        <v>10</v>
      </c>
      <c r="E23" s="3">
        <v>50</v>
      </c>
      <c r="F23" s="3">
        <v>4</v>
      </c>
    </row>
    <row r="24" spans="1:6" ht="15" thickBot="1" x14ac:dyDescent="0.35">
      <c r="A24" s="7" t="s">
        <v>18</v>
      </c>
      <c r="B24" s="3">
        <v>100</v>
      </c>
      <c r="C24" s="3">
        <v>2</v>
      </c>
      <c r="D24" s="3">
        <v>10</v>
      </c>
      <c r="E24" s="3">
        <v>50</v>
      </c>
      <c r="F24" s="3">
        <v>12</v>
      </c>
    </row>
    <row r="25" spans="1:6" ht="15" thickBot="1" x14ac:dyDescent="0.35">
      <c r="A25" s="7" t="s">
        <v>6</v>
      </c>
      <c r="B25" s="3">
        <v>50</v>
      </c>
      <c r="C25" s="3">
        <v>1</v>
      </c>
      <c r="D25" s="3">
        <v>5</v>
      </c>
      <c r="E25" s="3">
        <v>150</v>
      </c>
      <c r="F25" s="3">
        <v>100</v>
      </c>
    </row>
    <row r="26" spans="1:6" ht="15" thickBot="1" x14ac:dyDescent="0.35">
      <c r="A26" s="7" t="s">
        <v>34</v>
      </c>
      <c r="B26" s="3">
        <v>75</v>
      </c>
      <c r="C26" s="3">
        <v>1</v>
      </c>
      <c r="D26" s="3">
        <v>15</v>
      </c>
      <c r="E26" s="3">
        <v>100</v>
      </c>
      <c r="F26" s="3">
        <v>75</v>
      </c>
    </row>
    <row r="27" spans="1:6" ht="15" thickBot="1" x14ac:dyDescent="0.35">
      <c r="A27" s="7" t="s">
        <v>35</v>
      </c>
      <c r="B27" s="3">
        <v>50</v>
      </c>
      <c r="C27" s="3">
        <v>2</v>
      </c>
      <c r="D27" s="3">
        <v>5</v>
      </c>
      <c r="E27" s="3">
        <v>10</v>
      </c>
      <c r="F27" s="3">
        <v>15</v>
      </c>
    </row>
    <row r="28" spans="1:6" x14ac:dyDescent="0.3">
      <c r="A28" s="8"/>
      <c r="B28" s="4"/>
      <c r="C28" s="4"/>
      <c r="D28" s="4"/>
      <c r="E28" s="4"/>
      <c r="F28" s="4"/>
    </row>
    <row r="29" spans="1:6" x14ac:dyDescent="0.3">
      <c r="A29" s="54" t="s">
        <v>19</v>
      </c>
      <c r="B29" s="55"/>
      <c r="C29" s="55"/>
      <c r="D29" s="55"/>
      <c r="E29" s="55"/>
      <c r="F29" s="55"/>
    </row>
    <row r="30" spans="1:6" x14ac:dyDescent="0.3">
      <c r="A30" s="54" t="s">
        <v>32</v>
      </c>
      <c r="B30" s="55"/>
      <c r="C30" s="55"/>
      <c r="D30" s="55"/>
      <c r="E30" s="55"/>
      <c r="F30" s="55"/>
    </row>
    <row r="31" spans="1:6" x14ac:dyDescent="0.3">
      <c r="A31" s="54" t="s">
        <v>20</v>
      </c>
      <c r="B31" s="55"/>
      <c r="C31" s="55"/>
      <c r="D31" s="55"/>
      <c r="E31" s="55"/>
      <c r="F31" s="55"/>
    </row>
    <row r="32" spans="1:6" x14ac:dyDescent="0.3">
      <c r="A32" s="54" t="s">
        <v>21</v>
      </c>
      <c r="B32" s="55"/>
      <c r="C32" s="55"/>
      <c r="D32" s="55"/>
      <c r="E32" s="55"/>
      <c r="F32" s="55"/>
    </row>
    <row r="33" spans="1:6" x14ac:dyDescent="0.3">
      <c r="A33" s="54" t="s">
        <v>22</v>
      </c>
      <c r="B33" s="55"/>
      <c r="C33" s="55"/>
      <c r="D33" s="55"/>
      <c r="E33" s="55"/>
      <c r="F33" s="55"/>
    </row>
    <row r="35" spans="1:6" ht="22.8" x14ac:dyDescent="0.3">
      <c r="A35" s="50" t="s">
        <v>23</v>
      </c>
      <c r="B35" s="50"/>
      <c r="C35" s="50"/>
      <c r="D35" s="50"/>
      <c r="E35" s="50"/>
      <c r="F35" s="50"/>
    </row>
    <row r="37" spans="1:6" x14ac:dyDescent="0.3">
      <c r="A37" s="55" t="s">
        <v>24</v>
      </c>
      <c r="B37" s="56"/>
      <c r="C37" s="56"/>
      <c r="D37" s="56"/>
      <c r="E37" s="56"/>
      <c r="F37" s="56"/>
    </row>
    <row r="38" spans="1:6" x14ac:dyDescent="0.3">
      <c r="A38" s="54" t="s">
        <v>25</v>
      </c>
      <c r="B38" s="54"/>
      <c r="C38" s="54"/>
      <c r="D38" s="54"/>
      <c r="E38" s="54"/>
      <c r="F38" s="54"/>
    </row>
  </sheetData>
  <mergeCells count="14">
    <mergeCell ref="A37:F37"/>
    <mergeCell ref="A38:F38"/>
    <mergeCell ref="A29:F29"/>
    <mergeCell ref="A30:F30"/>
    <mergeCell ref="A31:F31"/>
    <mergeCell ref="A32:F32"/>
    <mergeCell ref="A33:F33"/>
    <mergeCell ref="A35:F35"/>
    <mergeCell ref="A15:F15"/>
    <mergeCell ref="A1:F1"/>
    <mergeCell ref="A3:F3"/>
    <mergeCell ref="B5:E5"/>
    <mergeCell ref="A12:F12"/>
    <mergeCell ref="A13:F13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FB0A-D257-49E2-A2CC-341226FE8C5C}">
  <dimension ref="A1:L26"/>
  <sheetViews>
    <sheetView workbookViewId="0">
      <selection activeCell="N15" sqref="N15"/>
    </sheetView>
  </sheetViews>
  <sheetFormatPr baseColWidth="10" defaultRowHeight="14.4" x14ac:dyDescent="0.3"/>
  <cols>
    <col min="1" max="1" width="7.44140625" bestFit="1" customWidth="1"/>
    <col min="2" max="17" width="6.5546875" customWidth="1"/>
  </cols>
  <sheetData>
    <row r="1" spans="1:12" ht="15" thickBot="1" x14ac:dyDescent="0.35"/>
    <row r="2" spans="1:12" ht="15" thickBot="1" x14ac:dyDescent="0.35">
      <c r="A2" s="57" t="s">
        <v>27</v>
      </c>
      <c r="B2" s="10"/>
      <c r="C2" s="10"/>
      <c r="D2" s="10"/>
      <c r="E2" s="10"/>
      <c r="F2" s="10"/>
      <c r="G2" s="10"/>
      <c r="H2" s="19" t="s">
        <v>0</v>
      </c>
      <c r="I2" s="10"/>
      <c r="J2" s="10"/>
      <c r="K2" s="10"/>
      <c r="L2" s="10"/>
    </row>
    <row r="3" spans="1:12" x14ac:dyDescent="0.3">
      <c r="A3" s="58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15" thickBot="1" x14ac:dyDescent="0.35">
      <c r="A4" s="58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15" thickBot="1" x14ac:dyDescent="0.35">
      <c r="A5" s="59" t="s">
        <v>28</v>
      </c>
      <c r="B5" s="11"/>
      <c r="C5" s="11"/>
      <c r="D5" s="11"/>
      <c r="E5" s="11"/>
      <c r="F5" s="12" t="s">
        <v>15</v>
      </c>
      <c r="G5" s="13">
        <v>1</v>
      </c>
      <c r="H5" s="11"/>
      <c r="I5" s="11"/>
      <c r="J5" s="11"/>
      <c r="K5" s="11"/>
      <c r="L5" s="11"/>
    </row>
    <row r="6" spans="1:12" x14ac:dyDescent="0.3">
      <c r="A6" s="59"/>
      <c r="B6" s="11"/>
      <c r="C6" s="11"/>
      <c r="D6" s="11"/>
      <c r="E6" s="11"/>
      <c r="F6" s="14"/>
      <c r="G6" s="14"/>
      <c r="H6" s="11"/>
      <c r="I6" s="11"/>
      <c r="J6" s="11"/>
      <c r="K6" s="11"/>
      <c r="L6" s="11"/>
    </row>
    <row r="7" spans="1:12" ht="15" thickBot="1" x14ac:dyDescent="0.35">
      <c r="A7" s="59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15" thickBot="1" x14ac:dyDescent="0.35">
      <c r="A8" s="60" t="s">
        <v>29</v>
      </c>
      <c r="B8" s="15"/>
      <c r="C8" s="15"/>
      <c r="D8" s="16" t="s">
        <v>17</v>
      </c>
      <c r="E8" s="17">
        <v>1</v>
      </c>
      <c r="F8" s="15"/>
      <c r="G8" s="16" t="s">
        <v>34</v>
      </c>
      <c r="H8" s="17">
        <v>2</v>
      </c>
      <c r="I8" s="15"/>
      <c r="J8" s="16" t="s">
        <v>6</v>
      </c>
      <c r="K8" s="17">
        <v>1</v>
      </c>
      <c r="L8" s="15"/>
    </row>
    <row r="9" spans="1:12" x14ac:dyDescent="0.3">
      <c r="A9" s="60"/>
      <c r="B9" s="15"/>
      <c r="C9" s="15"/>
      <c r="D9" s="18"/>
      <c r="E9" s="18"/>
      <c r="F9" s="15"/>
      <c r="G9" s="18"/>
      <c r="H9" s="18"/>
      <c r="I9" s="15"/>
      <c r="J9" s="18"/>
      <c r="K9" s="18"/>
      <c r="L9" s="15"/>
    </row>
    <row r="10" spans="1:12" ht="15" thickBot="1" x14ac:dyDescent="0.35">
      <c r="A10" s="61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4" spans="1:12" ht="15" thickBot="1" x14ac:dyDescent="0.35"/>
    <row r="15" spans="1:12" ht="15" thickBot="1" x14ac:dyDescent="0.35">
      <c r="A15" s="57" t="s">
        <v>27</v>
      </c>
      <c r="B15" s="10"/>
      <c r="C15" s="10"/>
      <c r="D15" s="10"/>
      <c r="E15" s="10"/>
      <c r="F15" s="10"/>
      <c r="G15" s="10"/>
      <c r="H15" s="19" t="s">
        <v>5</v>
      </c>
      <c r="I15" s="10"/>
      <c r="J15" s="10"/>
      <c r="K15" s="10"/>
      <c r="L15" s="10"/>
    </row>
    <row r="16" spans="1:12" x14ac:dyDescent="0.3">
      <c r="A16" s="58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thickBot="1" x14ac:dyDescent="0.35">
      <c r="A17" s="58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thickBot="1" x14ac:dyDescent="0.35">
      <c r="A18" s="59" t="s">
        <v>28</v>
      </c>
      <c r="B18" s="11"/>
      <c r="C18" s="12" t="s">
        <v>16</v>
      </c>
      <c r="D18" s="13">
        <v>2</v>
      </c>
      <c r="E18" s="11"/>
      <c r="F18" s="11"/>
      <c r="G18" s="12" t="s">
        <v>36</v>
      </c>
      <c r="H18" s="13">
        <v>1</v>
      </c>
      <c r="I18" s="11"/>
      <c r="J18" s="11"/>
      <c r="K18" s="11"/>
      <c r="L18" s="11"/>
    </row>
    <row r="19" spans="1:12" x14ac:dyDescent="0.3">
      <c r="A19" s="59"/>
      <c r="B19" s="11"/>
      <c r="C19" s="11"/>
      <c r="D19" s="11"/>
      <c r="E19" s="11"/>
      <c r="F19" s="14"/>
      <c r="G19" s="14"/>
      <c r="H19" s="11"/>
      <c r="I19" s="11"/>
      <c r="J19" s="11"/>
      <c r="K19" s="11"/>
      <c r="L19" s="11"/>
    </row>
    <row r="20" spans="1:12" ht="15" thickBot="1" x14ac:dyDescent="0.35">
      <c r="A20" s="59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ht="15" thickBot="1" x14ac:dyDescent="0.35">
      <c r="A21" s="60" t="s">
        <v>29</v>
      </c>
      <c r="B21" s="15"/>
      <c r="C21" s="15"/>
      <c r="D21" s="15"/>
      <c r="E21" s="16" t="s">
        <v>6</v>
      </c>
      <c r="F21" s="17">
        <v>3</v>
      </c>
      <c r="G21" s="15"/>
      <c r="H21" s="16" t="s">
        <v>34</v>
      </c>
      <c r="I21" s="17">
        <v>2</v>
      </c>
      <c r="J21" s="18"/>
      <c r="K21" s="16" t="s">
        <v>18</v>
      </c>
      <c r="L21" s="17">
        <v>1</v>
      </c>
    </row>
    <row r="22" spans="1:12" x14ac:dyDescent="0.3">
      <c r="A22" s="60"/>
      <c r="B22" s="15"/>
      <c r="C22" s="15"/>
      <c r="D22" s="18"/>
      <c r="E22" s="18"/>
      <c r="F22" s="15"/>
      <c r="G22" s="18"/>
      <c r="H22" s="18"/>
      <c r="I22" s="15"/>
      <c r="J22" s="18"/>
      <c r="K22" s="18"/>
      <c r="L22" s="15"/>
    </row>
    <row r="23" spans="1:12" ht="15" thickBot="1" x14ac:dyDescent="0.35">
      <c r="A23" s="61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ht="15" thickBot="1" x14ac:dyDescent="0.35">
      <c r="A24" s="62" t="s">
        <v>33</v>
      </c>
      <c r="B24" s="21"/>
      <c r="C24" s="22" t="s">
        <v>35</v>
      </c>
      <c r="D24" s="23">
        <v>2</v>
      </c>
      <c r="E24" s="21"/>
      <c r="F24" s="21"/>
      <c r="G24" s="24"/>
      <c r="H24" s="22" t="s">
        <v>35</v>
      </c>
      <c r="I24" s="23">
        <v>1</v>
      </c>
      <c r="J24" s="24"/>
      <c r="K24" s="24"/>
      <c r="L24" s="21"/>
    </row>
    <row r="25" spans="1:12" x14ac:dyDescent="0.3">
      <c r="A25" s="62"/>
      <c r="B25" s="21"/>
      <c r="C25" s="21"/>
      <c r="D25" s="24"/>
      <c r="E25" s="24"/>
      <c r="F25" s="21"/>
      <c r="G25" s="24"/>
      <c r="H25" s="24"/>
      <c r="I25" s="21"/>
      <c r="J25" s="24"/>
      <c r="K25" s="24"/>
      <c r="L25" s="21"/>
    </row>
    <row r="26" spans="1:12" ht="15" thickBot="1" x14ac:dyDescent="0.35">
      <c r="A26" s="63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</sheetData>
  <mergeCells count="7">
    <mergeCell ref="A15:A17"/>
    <mergeCell ref="A18:A20"/>
    <mergeCell ref="A21:A23"/>
    <mergeCell ref="A24:A26"/>
    <mergeCell ref="A2:A4"/>
    <mergeCell ref="A5:A7"/>
    <mergeCell ref="A8:A10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4C6F-88C6-4068-86D8-1844CAD02136}">
  <dimension ref="A1:U106"/>
  <sheetViews>
    <sheetView topLeftCell="A7" workbookViewId="0">
      <selection activeCell="B19" sqref="B19"/>
    </sheetView>
  </sheetViews>
  <sheetFormatPr baseColWidth="10" defaultRowHeight="14.4" x14ac:dyDescent="0.3"/>
  <cols>
    <col min="1" max="1" width="32" customWidth="1"/>
    <col min="2" max="2" width="19" bestFit="1" customWidth="1"/>
  </cols>
  <sheetData>
    <row r="1" spans="1:21" ht="24.6" x14ac:dyDescent="0.3">
      <c r="A1" s="67" t="s">
        <v>26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9"/>
      <c r="M1" s="69"/>
      <c r="N1" s="69"/>
    </row>
    <row r="2" spans="1:21" ht="24.6" x14ac:dyDescent="0.3">
      <c r="A2" s="70" t="s">
        <v>38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M2" s="69"/>
      <c r="N2" s="69"/>
    </row>
    <row r="3" spans="1:21" ht="25.2" thickBot="1" x14ac:dyDescent="0.35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7"/>
      <c r="M3" s="27"/>
      <c r="N3" s="27"/>
    </row>
    <row r="4" spans="1:21" ht="15" thickBot="1" x14ac:dyDescent="0.35">
      <c r="B4" s="30" t="s">
        <v>39</v>
      </c>
      <c r="C4" s="29"/>
    </row>
    <row r="5" spans="1:21" ht="15" thickBot="1" x14ac:dyDescent="0.35">
      <c r="B5" s="31" t="s">
        <v>37</v>
      </c>
      <c r="C5" s="29"/>
      <c r="R5" s="64" t="s">
        <v>2</v>
      </c>
      <c r="S5" s="65"/>
      <c r="T5" s="65"/>
      <c r="U5" s="66"/>
    </row>
    <row r="6" spans="1:21" ht="15" thickBot="1" x14ac:dyDescent="0.35">
      <c r="A6" s="32" t="s">
        <v>3</v>
      </c>
      <c r="B6" s="39">
        <v>1</v>
      </c>
      <c r="C6" s="39">
        <v>2</v>
      </c>
      <c r="D6" s="39">
        <v>3</v>
      </c>
      <c r="E6" s="39">
        <v>4</v>
      </c>
      <c r="F6" s="39">
        <v>5</v>
      </c>
      <c r="G6" s="39">
        <v>6</v>
      </c>
      <c r="H6" s="39">
        <v>7</v>
      </c>
      <c r="I6" s="39">
        <v>8</v>
      </c>
      <c r="J6" s="39">
        <v>9</v>
      </c>
      <c r="K6" s="39">
        <v>10</v>
      </c>
      <c r="L6" s="39">
        <v>11</v>
      </c>
      <c r="M6" s="39">
        <v>12</v>
      </c>
      <c r="N6" s="39">
        <v>13</v>
      </c>
      <c r="O6" s="39">
        <v>14</v>
      </c>
      <c r="P6" s="39">
        <v>15</v>
      </c>
      <c r="Q6" s="39">
        <v>16</v>
      </c>
      <c r="R6" s="39">
        <v>17</v>
      </c>
      <c r="S6" s="39">
        <v>18</v>
      </c>
      <c r="T6" s="39">
        <v>19</v>
      </c>
      <c r="U6" s="40">
        <v>20</v>
      </c>
    </row>
    <row r="7" spans="1:21" x14ac:dyDescent="0.3">
      <c r="A7" s="34" t="s">
        <v>0</v>
      </c>
      <c r="B7" s="89">
        <f ca="1">B25</f>
        <v>0</v>
      </c>
      <c r="C7" s="42">
        <f t="shared" ref="C7:U7" ca="1" si="0">C25</f>
        <v>0</v>
      </c>
      <c r="D7" s="42">
        <f t="shared" ref="D7:U7" ca="1" si="1">D25</f>
        <v>0</v>
      </c>
      <c r="E7" s="42">
        <f t="shared" ca="1" si="1"/>
        <v>0</v>
      </c>
      <c r="F7" s="42">
        <f t="shared" ca="1" si="1"/>
        <v>0</v>
      </c>
      <c r="G7" s="42">
        <f t="shared" ca="1" si="1"/>
        <v>0</v>
      </c>
      <c r="H7" s="42">
        <f t="shared" ca="1" si="1"/>
        <v>0</v>
      </c>
      <c r="I7" s="42">
        <f t="shared" ca="1" si="1"/>
        <v>0</v>
      </c>
      <c r="J7" s="42">
        <f t="shared" ca="1" si="1"/>
        <v>0</v>
      </c>
      <c r="K7" s="42">
        <f t="shared" ca="1" si="1"/>
        <v>0</v>
      </c>
      <c r="L7" s="42">
        <f t="shared" ca="1" si="1"/>
        <v>0</v>
      </c>
      <c r="M7" s="42">
        <f t="shared" ca="1" si="1"/>
        <v>0</v>
      </c>
      <c r="N7" s="42">
        <f t="shared" ca="1" si="1"/>
        <v>0</v>
      </c>
      <c r="O7" s="42">
        <f t="shared" ca="1" si="1"/>
        <v>0</v>
      </c>
      <c r="P7" s="42">
        <f t="shared" ca="1" si="1"/>
        <v>0</v>
      </c>
      <c r="Q7" s="42">
        <f t="shared" ca="1" si="1"/>
        <v>80</v>
      </c>
      <c r="R7" s="42">
        <f t="shared" ca="1" si="1"/>
        <v>80</v>
      </c>
      <c r="S7" s="42">
        <f t="shared" ca="1" si="1"/>
        <v>100</v>
      </c>
      <c r="T7" s="42">
        <f t="shared" ca="1" si="1"/>
        <v>120</v>
      </c>
      <c r="U7" s="90">
        <f t="shared" ca="1" si="1"/>
        <v>0</v>
      </c>
    </row>
    <row r="8" spans="1:21" x14ac:dyDescent="0.3">
      <c r="A8" s="35" t="s">
        <v>5</v>
      </c>
      <c r="B8" s="87">
        <f ca="1">B34</f>
        <v>0</v>
      </c>
      <c r="C8" s="25">
        <f t="shared" ref="C8:U8" ca="1" si="2">C34</f>
        <v>0</v>
      </c>
      <c r="D8" s="25">
        <f t="shared" ref="D8:U8" ca="1" si="3">D34</f>
        <v>0</v>
      </c>
      <c r="E8" s="25">
        <f t="shared" ca="1" si="3"/>
        <v>0</v>
      </c>
      <c r="F8" s="25">
        <f t="shared" ca="1" si="3"/>
        <v>0</v>
      </c>
      <c r="G8" s="25">
        <f t="shared" ca="1" si="3"/>
        <v>0</v>
      </c>
      <c r="H8" s="25">
        <f t="shared" ca="1" si="3"/>
        <v>0</v>
      </c>
      <c r="I8" s="25">
        <f t="shared" ca="1" si="3"/>
        <v>0</v>
      </c>
      <c r="J8" s="25">
        <f t="shared" ca="1" si="3"/>
        <v>0</v>
      </c>
      <c r="K8" s="25">
        <f t="shared" ca="1" si="3"/>
        <v>0</v>
      </c>
      <c r="L8" s="25">
        <f t="shared" ca="1" si="3"/>
        <v>0</v>
      </c>
      <c r="M8" s="25">
        <f t="shared" ca="1" si="3"/>
        <v>0</v>
      </c>
      <c r="N8" s="25">
        <f t="shared" ca="1" si="3"/>
        <v>0</v>
      </c>
      <c r="O8" s="25">
        <f t="shared" ca="1" si="3"/>
        <v>0</v>
      </c>
      <c r="P8" s="25">
        <f t="shared" ca="1" si="3"/>
        <v>0</v>
      </c>
      <c r="Q8" s="25">
        <f t="shared" ca="1" si="3"/>
        <v>180</v>
      </c>
      <c r="R8" s="25">
        <f t="shared" ca="1" si="3"/>
        <v>200</v>
      </c>
      <c r="S8" s="25">
        <f t="shared" ca="1" si="3"/>
        <v>200</v>
      </c>
      <c r="T8" s="25">
        <f t="shared" ca="1" si="3"/>
        <v>250</v>
      </c>
      <c r="U8" s="91">
        <f t="shared" ca="1" si="3"/>
        <v>0</v>
      </c>
    </row>
    <row r="9" spans="1:21" x14ac:dyDescent="0.3">
      <c r="A9" s="36" t="s">
        <v>15</v>
      </c>
      <c r="B9" s="87">
        <f ca="1">B43</f>
        <v>0</v>
      </c>
      <c r="C9" s="25">
        <f t="shared" ref="C9:U9" ca="1" si="4">C43</f>
        <v>0</v>
      </c>
      <c r="D9" s="25">
        <f t="shared" ref="D9:U9" ca="1" si="5">D43</f>
        <v>0</v>
      </c>
      <c r="E9" s="25">
        <f t="shared" ca="1" si="5"/>
        <v>0</v>
      </c>
      <c r="F9" s="25">
        <f t="shared" ca="1" si="5"/>
        <v>0</v>
      </c>
      <c r="G9" s="25">
        <f t="shared" ca="1" si="5"/>
        <v>0</v>
      </c>
      <c r="H9" s="25">
        <f t="shared" ca="1" si="5"/>
        <v>0</v>
      </c>
      <c r="I9" s="25">
        <f t="shared" ca="1" si="5"/>
        <v>0</v>
      </c>
      <c r="J9" s="25">
        <f t="shared" ca="1" si="5"/>
        <v>0</v>
      </c>
      <c r="K9" s="25">
        <f t="shared" ca="1" si="5"/>
        <v>0</v>
      </c>
      <c r="L9" s="25">
        <f t="shared" ca="1" si="5"/>
        <v>0</v>
      </c>
      <c r="M9" s="25">
        <f t="shared" ca="1" si="5"/>
        <v>0</v>
      </c>
      <c r="N9" s="25">
        <f t="shared" ca="1" si="5"/>
        <v>0</v>
      </c>
      <c r="O9" s="25">
        <f t="shared" ca="1" si="5"/>
        <v>100</v>
      </c>
      <c r="P9" s="25">
        <f t="shared" ca="1" si="5"/>
        <v>100</v>
      </c>
      <c r="Q9" s="25">
        <f t="shared" ca="1" si="5"/>
        <v>100</v>
      </c>
      <c r="R9" s="25">
        <f t="shared" ca="1" si="5"/>
        <v>100</v>
      </c>
      <c r="S9" s="25">
        <f t="shared" ca="1" si="5"/>
        <v>0</v>
      </c>
      <c r="T9" s="25">
        <f t="shared" ca="1" si="5"/>
        <v>0</v>
      </c>
      <c r="U9" s="91">
        <f t="shared" ca="1" si="5"/>
        <v>0</v>
      </c>
    </row>
    <row r="10" spans="1:21" x14ac:dyDescent="0.3">
      <c r="A10" s="36" t="s">
        <v>16</v>
      </c>
      <c r="B10" s="87">
        <f ca="1">B52</f>
        <v>0</v>
      </c>
      <c r="C10" s="25">
        <f t="shared" ref="C10:U10" ca="1" si="6">C52</f>
        <v>0</v>
      </c>
      <c r="D10" s="25">
        <f t="shared" ref="D10:U10" ca="1" si="7">D52</f>
        <v>0</v>
      </c>
      <c r="E10" s="25">
        <f t="shared" ca="1" si="7"/>
        <v>0</v>
      </c>
      <c r="F10" s="25">
        <f t="shared" ca="1" si="7"/>
        <v>0</v>
      </c>
      <c r="G10" s="25">
        <f t="shared" ca="1" si="7"/>
        <v>0</v>
      </c>
      <c r="H10" s="25">
        <f t="shared" ca="1" si="7"/>
        <v>0</v>
      </c>
      <c r="I10" s="25">
        <f t="shared" ca="1" si="7"/>
        <v>0</v>
      </c>
      <c r="J10" s="25">
        <f t="shared" ca="1" si="7"/>
        <v>0</v>
      </c>
      <c r="K10" s="25">
        <f t="shared" ca="1" si="7"/>
        <v>0</v>
      </c>
      <c r="L10" s="25">
        <f t="shared" ca="1" si="7"/>
        <v>0</v>
      </c>
      <c r="M10" s="25">
        <f t="shared" ca="1" si="7"/>
        <v>0</v>
      </c>
      <c r="N10" s="25">
        <f t="shared" ca="1" si="7"/>
        <v>0</v>
      </c>
      <c r="O10" s="25">
        <f t="shared" ca="1" si="7"/>
        <v>400</v>
      </c>
      <c r="P10" s="25">
        <f t="shared" ca="1" si="7"/>
        <v>450</v>
      </c>
      <c r="Q10" s="25">
        <f t="shared" ca="1" si="7"/>
        <v>400</v>
      </c>
      <c r="R10" s="25">
        <f t="shared" ca="1" si="7"/>
        <v>550</v>
      </c>
      <c r="S10" s="25">
        <f t="shared" ca="1" si="7"/>
        <v>0</v>
      </c>
      <c r="T10" s="25">
        <f t="shared" ca="1" si="7"/>
        <v>0</v>
      </c>
      <c r="U10" s="91">
        <f t="shared" ca="1" si="7"/>
        <v>0</v>
      </c>
    </row>
    <row r="11" spans="1:21" x14ac:dyDescent="0.3">
      <c r="A11" s="36" t="s">
        <v>36</v>
      </c>
      <c r="B11" s="87">
        <f ca="1">B61</f>
        <v>0</v>
      </c>
      <c r="C11" s="25">
        <f t="shared" ref="C11:U11" ca="1" si="8">C61</f>
        <v>0</v>
      </c>
      <c r="D11" s="25">
        <f t="shared" ref="D11:U11" ca="1" si="9">D61</f>
        <v>0</v>
      </c>
      <c r="E11" s="25">
        <f t="shared" ca="1" si="9"/>
        <v>0</v>
      </c>
      <c r="F11" s="25">
        <f t="shared" ca="1" si="9"/>
        <v>0</v>
      </c>
      <c r="G11" s="25">
        <f t="shared" ca="1" si="9"/>
        <v>0</v>
      </c>
      <c r="H11" s="25">
        <f t="shared" ca="1" si="9"/>
        <v>0</v>
      </c>
      <c r="I11" s="25">
        <f t="shared" ca="1" si="9"/>
        <v>0</v>
      </c>
      <c r="J11" s="25">
        <f t="shared" ca="1" si="9"/>
        <v>0</v>
      </c>
      <c r="K11" s="25">
        <f t="shared" ca="1" si="9"/>
        <v>0</v>
      </c>
      <c r="L11" s="25">
        <f t="shared" ca="1" si="9"/>
        <v>0</v>
      </c>
      <c r="M11" s="25">
        <f t="shared" ca="1" si="9"/>
        <v>0</v>
      </c>
      <c r="N11" s="25">
        <f t="shared" ca="1" si="9"/>
        <v>0</v>
      </c>
      <c r="O11" s="25">
        <f t="shared" ca="1" si="9"/>
        <v>0</v>
      </c>
      <c r="P11" s="25">
        <f t="shared" ca="1" si="9"/>
        <v>150</v>
      </c>
      <c r="Q11" s="25">
        <f t="shared" ca="1" si="9"/>
        <v>225</v>
      </c>
      <c r="R11" s="25">
        <f t="shared" ca="1" si="9"/>
        <v>225</v>
      </c>
      <c r="S11" s="25">
        <f t="shared" ca="1" si="9"/>
        <v>300</v>
      </c>
      <c r="T11" s="25">
        <f t="shared" ca="1" si="9"/>
        <v>0</v>
      </c>
      <c r="U11" s="91">
        <f t="shared" ca="1" si="9"/>
        <v>0</v>
      </c>
    </row>
    <row r="12" spans="1:21" x14ac:dyDescent="0.3">
      <c r="A12" s="37" t="s">
        <v>17</v>
      </c>
      <c r="B12" s="87">
        <f ca="1">B70</f>
        <v>0</v>
      </c>
      <c r="C12" s="25">
        <f t="shared" ref="C12:U12" ca="1" si="10">C70</f>
        <v>0</v>
      </c>
      <c r="D12" s="25">
        <f t="shared" ref="D12:U12" ca="1" si="11">D70</f>
        <v>0</v>
      </c>
      <c r="E12" s="25">
        <f t="shared" ca="1" si="11"/>
        <v>0</v>
      </c>
      <c r="F12" s="25">
        <f t="shared" ca="1" si="11"/>
        <v>0</v>
      </c>
      <c r="G12" s="25">
        <f t="shared" ca="1" si="11"/>
        <v>0</v>
      </c>
      <c r="H12" s="25">
        <f t="shared" ca="1" si="11"/>
        <v>0</v>
      </c>
      <c r="I12" s="25">
        <f t="shared" ca="1" si="11"/>
        <v>0</v>
      </c>
      <c r="J12" s="25">
        <f t="shared" ca="1" si="11"/>
        <v>0</v>
      </c>
      <c r="K12" s="25">
        <f t="shared" ca="1" si="11"/>
        <v>0</v>
      </c>
      <c r="L12" s="25">
        <f t="shared" ca="1" si="11"/>
        <v>0</v>
      </c>
      <c r="M12" s="25">
        <f t="shared" ca="1" si="11"/>
        <v>0</v>
      </c>
      <c r="N12" s="25">
        <f t="shared" ca="1" si="11"/>
        <v>168</v>
      </c>
      <c r="O12" s="25">
        <f t="shared" ca="1" si="11"/>
        <v>112</v>
      </c>
      <c r="P12" s="25">
        <f t="shared" ca="1" si="11"/>
        <v>112</v>
      </c>
      <c r="Q12" s="25">
        <f t="shared" ca="1" si="11"/>
        <v>112</v>
      </c>
      <c r="R12" s="25">
        <f t="shared" ca="1" si="11"/>
        <v>0</v>
      </c>
      <c r="S12" s="25">
        <f t="shared" ca="1" si="11"/>
        <v>0</v>
      </c>
      <c r="T12" s="25">
        <f t="shared" ca="1" si="11"/>
        <v>0</v>
      </c>
      <c r="U12" s="91">
        <f t="shared" ca="1" si="11"/>
        <v>0</v>
      </c>
    </row>
    <row r="13" spans="1:21" x14ac:dyDescent="0.3">
      <c r="A13" s="37" t="s">
        <v>18</v>
      </c>
      <c r="B13" s="87">
        <f ca="1">B79</f>
        <v>0</v>
      </c>
      <c r="C13" s="25">
        <f t="shared" ref="C13:U13" ca="1" si="12">C79</f>
        <v>0</v>
      </c>
      <c r="D13" s="25">
        <f t="shared" ref="D13:U13" ca="1" si="13">D79</f>
        <v>0</v>
      </c>
      <c r="E13" s="25">
        <f t="shared" ca="1" si="13"/>
        <v>0</v>
      </c>
      <c r="F13" s="25">
        <f t="shared" ca="1" si="13"/>
        <v>0</v>
      </c>
      <c r="G13" s="25">
        <f t="shared" ca="1" si="13"/>
        <v>0</v>
      </c>
      <c r="H13" s="25">
        <f t="shared" ca="1" si="13"/>
        <v>0</v>
      </c>
      <c r="I13" s="25">
        <f t="shared" ca="1" si="13"/>
        <v>0</v>
      </c>
      <c r="J13" s="25">
        <f t="shared" ca="1" si="13"/>
        <v>0</v>
      </c>
      <c r="K13" s="25">
        <f t="shared" ca="1" si="13"/>
        <v>0</v>
      </c>
      <c r="L13" s="25">
        <f t="shared" ca="1" si="13"/>
        <v>0</v>
      </c>
      <c r="M13" s="25">
        <f t="shared" ca="1" si="13"/>
        <v>0</v>
      </c>
      <c r="N13" s="25">
        <f t="shared" ca="1" si="13"/>
        <v>0</v>
      </c>
      <c r="O13" s="25">
        <f t="shared" ca="1" si="13"/>
        <v>264</v>
      </c>
      <c r="P13" s="25">
        <f t="shared" ca="1" si="13"/>
        <v>216</v>
      </c>
      <c r="Q13" s="25">
        <f t="shared" ca="1" si="13"/>
        <v>228</v>
      </c>
      <c r="R13" s="25">
        <f t="shared" ca="1" si="13"/>
        <v>276</v>
      </c>
      <c r="S13" s="25">
        <f t="shared" ca="1" si="13"/>
        <v>0</v>
      </c>
      <c r="T13" s="25">
        <f t="shared" ca="1" si="13"/>
        <v>0</v>
      </c>
      <c r="U13" s="91">
        <f t="shared" ca="1" si="13"/>
        <v>0</v>
      </c>
    </row>
    <row r="14" spans="1:21" x14ac:dyDescent="0.3">
      <c r="A14" s="37" t="s">
        <v>6</v>
      </c>
      <c r="B14" s="87">
        <f ca="1">B88</f>
        <v>0</v>
      </c>
      <c r="C14" s="25">
        <f t="shared" ref="C14:U14" ca="1" si="14">C88</f>
        <v>0</v>
      </c>
      <c r="D14" s="25">
        <f t="shared" ref="D14:U14" ca="1" si="15">D88</f>
        <v>0</v>
      </c>
      <c r="E14" s="25">
        <f t="shared" ca="1" si="15"/>
        <v>0</v>
      </c>
      <c r="F14" s="25">
        <f t="shared" ca="1" si="15"/>
        <v>0</v>
      </c>
      <c r="G14" s="25">
        <f t="shared" ca="1" si="15"/>
        <v>0</v>
      </c>
      <c r="H14" s="25">
        <f t="shared" ca="1" si="15"/>
        <v>0</v>
      </c>
      <c r="I14" s="25">
        <f t="shared" ca="1" si="15"/>
        <v>0</v>
      </c>
      <c r="J14" s="25">
        <f t="shared" ca="1" si="15"/>
        <v>0</v>
      </c>
      <c r="K14" s="25">
        <f t="shared" ca="1" si="15"/>
        <v>0</v>
      </c>
      <c r="L14" s="25">
        <f t="shared" ca="1" si="15"/>
        <v>0</v>
      </c>
      <c r="M14" s="25">
        <f t="shared" ca="1" si="15"/>
        <v>0</v>
      </c>
      <c r="N14" s="25">
        <f t="shared" ca="1" si="15"/>
        <v>0</v>
      </c>
      <c r="O14" s="25">
        <f t="shared" ca="1" si="15"/>
        <v>400</v>
      </c>
      <c r="P14" s="25">
        <f t="shared" ca="1" si="15"/>
        <v>800</v>
      </c>
      <c r="Q14" s="25">
        <f t="shared" ca="1" si="15"/>
        <v>800</v>
      </c>
      <c r="R14" s="25">
        <f t="shared" ca="1" si="15"/>
        <v>1200</v>
      </c>
      <c r="S14" s="25">
        <f t="shared" ca="1" si="15"/>
        <v>200</v>
      </c>
      <c r="T14" s="25">
        <f t="shared" ca="1" si="15"/>
        <v>0</v>
      </c>
      <c r="U14" s="91">
        <f t="shared" ca="1" si="15"/>
        <v>0</v>
      </c>
    </row>
    <row r="15" spans="1:21" x14ac:dyDescent="0.3">
      <c r="A15" s="37" t="s">
        <v>34</v>
      </c>
      <c r="B15" s="87">
        <f ca="1">B97</f>
        <v>0</v>
      </c>
      <c r="C15" s="25">
        <f t="shared" ref="C15:U15" ca="1" si="16">C97</f>
        <v>0</v>
      </c>
      <c r="D15" s="25">
        <f t="shared" ref="D15:U15" ca="1" si="17">D97</f>
        <v>0</v>
      </c>
      <c r="E15" s="25">
        <f t="shared" ca="1" si="17"/>
        <v>0</v>
      </c>
      <c r="F15" s="25">
        <f t="shared" ca="1" si="17"/>
        <v>0</v>
      </c>
      <c r="G15" s="25">
        <f t="shared" ca="1" si="17"/>
        <v>0</v>
      </c>
      <c r="H15" s="25">
        <f t="shared" ca="1" si="17"/>
        <v>0</v>
      </c>
      <c r="I15" s="25">
        <f t="shared" ca="1" si="17"/>
        <v>0</v>
      </c>
      <c r="J15" s="25">
        <f t="shared" ca="1" si="17"/>
        <v>0</v>
      </c>
      <c r="K15" s="25">
        <f t="shared" ca="1" si="17"/>
        <v>0</v>
      </c>
      <c r="L15" s="25">
        <f t="shared" ca="1" si="17"/>
        <v>0</v>
      </c>
      <c r="M15" s="25">
        <f t="shared" ca="1" si="17"/>
        <v>0</v>
      </c>
      <c r="N15" s="25">
        <f t="shared" ca="1" si="17"/>
        <v>225</v>
      </c>
      <c r="O15" s="25">
        <f t="shared" ca="1" si="17"/>
        <v>600</v>
      </c>
      <c r="P15" s="25">
        <f t="shared" ca="1" si="17"/>
        <v>750</v>
      </c>
      <c r="Q15" s="25">
        <f t="shared" ca="1" si="17"/>
        <v>750</v>
      </c>
      <c r="R15" s="25">
        <f t="shared" ca="1" si="17"/>
        <v>750</v>
      </c>
      <c r="S15" s="25">
        <f t="shared" ca="1" si="17"/>
        <v>0</v>
      </c>
      <c r="T15" s="25">
        <f t="shared" ca="1" si="17"/>
        <v>0</v>
      </c>
      <c r="U15" s="91">
        <f t="shared" ca="1" si="17"/>
        <v>0</v>
      </c>
    </row>
    <row r="16" spans="1:21" ht="15" thickBot="1" x14ac:dyDescent="0.35">
      <c r="A16" s="38" t="s">
        <v>35</v>
      </c>
      <c r="B16" s="88">
        <f ca="1">B106</f>
        <v>0</v>
      </c>
      <c r="C16" s="46">
        <f t="shared" ref="C16:U16" ca="1" si="18">C106</f>
        <v>0</v>
      </c>
      <c r="D16" s="46">
        <f t="shared" ref="D16:U16" ca="1" si="19">D106</f>
        <v>0</v>
      </c>
      <c r="E16" s="46">
        <f t="shared" ca="1" si="19"/>
        <v>0</v>
      </c>
      <c r="F16" s="46">
        <f t="shared" ca="1" si="19"/>
        <v>0</v>
      </c>
      <c r="G16" s="46">
        <f t="shared" ca="1" si="19"/>
        <v>0</v>
      </c>
      <c r="H16" s="46">
        <f t="shared" ca="1" si="19"/>
        <v>0</v>
      </c>
      <c r="I16" s="46">
        <f t="shared" ca="1" si="19"/>
        <v>0</v>
      </c>
      <c r="J16" s="46">
        <f t="shared" ca="1" si="19"/>
        <v>0</v>
      </c>
      <c r="K16" s="46">
        <f t="shared" ca="1" si="19"/>
        <v>0</v>
      </c>
      <c r="L16" s="46">
        <f t="shared" ca="1" si="19"/>
        <v>285</v>
      </c>
      <c r="M16" s="46">
        <f t="shared" ca="1" si="19"/>
        <v>1470</v>
      </c>
      <c r="N16" s="46">
        <f t="shared" ca="1" si="19"/>
        <v>1740</v>
      </c>
      <c r="O16" s="46">
        <f t="shared" ca="1" si="19"/>
        <v>1635</v>
      </c>
      <c r="P16" s="46">
        <f t="shared" ca="1" si="19"/>
        <v>1995</v>
      </c>
      <c r="Q16" s="46">
        <f t="shared" ca="1" si="19"/>
        <v>30</v>
      </c>
      <c r="R16" s="46">
        <f t="shared" ca="1" si="19"/>
        <v>105</v>
      </c>
      <c r="S16" s="46">
        <f t="shared" ca="1" si="19"/>
        <v>15</v>
      </c>
      <c r="T16" s="46">
        <f t="shared" ca="1" si="19"/>
        <v>0</v>
      </c>
      <c r="U16" s="92">
        <f t="shared" ca="1" si="19"/>
        <v>0</v>
      </c>
    </row>
    <row r="17" spans="1:21" ht="15" thickBot="1" x14ac:dyDescent="0.35">
      <c r="A17" s="33"/>
      <c r="B17" s="9"/>
    </row>
    <row r="18" spans="1:21" ht="15" thickBot="1" x14ac:dyDescent="0.35">
      <c r="A18" s="71" t="s">
        <v>0</v>
      </c>
      <c r="B18" s="74">
        <v>1</v>
      </c>
      <c r="C18" s="39">
        <v>2</v>
      </c>
      <c r="D18" s="39">
        <v>3</v>
      </c>
      <c r="E18" s="39">
        <v>4</v>
      </c>
      <c r="F18" s="39">
        <v>5</v>
      </c>
      <c r="G18" s="39">
        <v>6</v>
      </c>
      <c r="H18" s="39">
        <v>7</v>
      </c>
      <c r="I18" s="39">
        <v>8</v>
      </c>
      <c r="J18" s="39">
        <v>9</v>
      </c>
      <c r="K18" s="39">
        <v>10</v>
      </c>
      <c r="L18" s="39">
        <v>11</v>
      </c>
      <c r="M18" s="39">
        <v>12</v>
      </c>
      <c r="N18" s="39">
        <v>13</v>
      </c>
      <c r="O18" s="39">
        <v>14</v>
      </c>
      <c r="P18" s="39">
        <v>15</v>
      </c>
      <c r="Q18" s="39">
        <v>16</v>
      </c>
      <c r="R18" s="39">
        <v>17</v>
      </c>
      <c r="S18" s="39">
        <v>18</v>
      </c>
      <c r="T18" s="39">
        <v>19</v>
      </c>
      <c r="U18" s="40">
        <v>20</v>
      </c>
    </row>
    <row r="19" spans="1:21" x14ac:dyDescent="0.3">
      <c r="A19" s="41" t="s">
        <v>42</v>
      </c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>
        <f>'Datos de Entrada (1)'!B7</f>
        <v>100</v>
      </c>
      <c r="S19" s="42">
        <f>'Datos de Entrada (1)'!C7</f>
        <v>80</v>
      </c>
      <c r="T19" s="42">
        <f>'Datos de Entrada (1)'!D7</f>
        <v>100</v>
      </c>
      <c r="U19" s="43">
        <f>'Datos de Entrada (1)'!E7</f>
        <v>120</v>
      </c>
    </row>
    <row r="20" spans="1:21" x14ac:dyDescent="0.3">
      <c r="A20" s="73" t="s">
        <v>43</v>
      </c>
      <c r="B20" s="44">
        <f>'Datos de Entrada (1)'!$E$18</f>
        <v>70</v>
      </c>
      <c r="C20" s="25">
        <f>B20+B24-B19</f>
        <v>70</v>
      </c>
      <c r="D20" s="25">
        <f t="shared" ref="D20:T20" si="20">C20+C24-C19</f>
        <v>70</v>
      </c>
      <c r="E20" s="25">
        <f t="shared" si="20"/>
        <v>70</v>
      </c>
      <c r="F20" s="25">
        <f t="shared" si="20"/>
        <v>70</v>
      </c>
      <c r="G20" s="25">
        <f t="shared" si="20"/>
        <v>70</v>
      </c>
      <c r="H20" s="25">
        <f t="shared" si="20"/>
        <v>70</v>
      </c>
      <c r="I20" s="25">
        <f t="shared" si="20"/>
        <v>70</v>
      </c>
      <c r="J20" s="25">
        <f t="shared" si="20"/>
        <v>70</v>
      </c>
      <c r="K20" s="25">
        <f t="shared" si="20"/>
        <v>70</v>
      </c>
      <c r="L20" s="25">
        <f t="shared" si="20"/>
        <v>70</v>
      </c>
      <c r="M20" s="25">
        <f t="shared" si="20"/>
        <v>70</v>
      </c>
      <c r="N20" s="25">
        <f t="shared" si="20"/>
        <v>70</v>
      </c>
      <c r="O20" s="25">
        <f t="shared" si="20"/>
        <v>70</v>
      </c>
      <c r="P20" s="25">
        <f t="shared" si="20"/>
        <v>70</v>
      </c>
      <c r="Q20" s="25">
        <f t="shared" si="20"/>
        <v>70</v>
      </c>
      <c r="R20" s="25">
        <f t="shared" si="20"/>
        <v>70</v>
      </c>
      <c r="S20" s="25">
        <f t="shared" si="20"/>
        <v>50</v>
      </c>
      <c r="T20" s="25">
        <f t="shared" si="20"/>
        <v>50</v>
      </c>
      <c r="U20" s="45">
        <f>T20+T24-T19</f>
        <v>50</v>
      </c>
    </row>
    <row r="21" spans="1:21" x14ac:dyDescent="0.3">
      <c r="A21" s="73" t="s">
        <v>44</v>
      </c>
      <c r="B21" s="87">
        <f>IF(B19=0,0,MAX(0,B19+'Datos de Entrada (1)'!$B$18-'LANZ PP'!B20))</f>
        <v>0</v>
      </c>
      <c r="C21" s="25">
        <f>IF(C19=0,0,MAX(0,C19+'Datos de Entrada (1)'!$B$18-'LANZ PP'!C20))</f>
        <v>0</v>
      </c>
      <c r="D21" s="25">
        <f>IF(D19=0,0,MAX(0,D19+'Datos de Entrada (1)'!$B$18-'LANZ PP'!D20))</f>
        <v>0</v>
      </c>
      <c r="E21" s="25">
        <f>IF(E19=0,0,MAX(0,E19+'Datos de Entrada (1)'!$B$18-'LANZ PP'!E20))</f>
        <v>0</v>
      </c>
      <c r="F21" s="25">
        <f>IF(F19=0,0,MAX(0,F19+'Datos de Entrada (1)'!$B$18-'LANZ PP'!F20))</f>
        <v>0</v>
      </c>
      <c r="G21" s="25">
        <f>IF(G19=0,0,MAX(0,G19+'Datos de Entrada (1)'!$B$18-'LANZ PP'!G20))</f>
        <v>0</v>
      </c>
      <c r="H21" s="25">
        <f>IF(H19=0,0,MAX(0,H19+'Datos de Entrada (1)'!$B$18-'LANZ PP'!H20))</f>
        <v>0</v>
      </c>
      <c r="I21" s="25">
        <f>IF(I19=0,0,MAX(0,I19+'Datos de Entrada (1)'!$B$18-'LANZ PP'!I20))</f>
        <v>0</v>
      </c>
      <c r="J21" s="25">
        <f>IF(J19=0,0,MAX(0,J19+'Datos de Entrada (1)'!$B$18-'LANZ PP'!J20))</f>
        <v>0</v>
      </c>
      <c r="K21" s="25">
        <f>IF(K19=0,0,MAX(0,K19+'Datos de Entrada (1)'!$B$18-'LANZ PP'!K20))</f>
        <v>0</v>
      </c>
      <c r="L21" s="25">
        <f>IF(L19=0,0,MAX(0,L19+'Datos de Entrada (1)'!$B$18-'LANZ PP'!L20))</f>
        <v>0</v>
      </c>
      <c r="M21" s="25">
        <f>IF(M19=0,0,MAX(0,M19+'Datos de Entrada (1)'!$B$18-'LANZ PP'!M20))</f>
        <v>0</v>
      </c>
      <c r="N21" s="25">
        <f>IF(N19=0,0,MAX(0,N19+'Datos de Entrada (1)'!$B$18-'LANZ PP'!N20))</f>
        <v>0</v>
      </c>
      <c r="O21" s="25">
        <f>IF(O19=0,0,MAX(0,O19+'Datos de Entrada (1)'!$B$18-'LANZ PP'!O20))</f>
        <v>0</v>
      </c>
      <c r="P21" s="25">
        <f>IF(P19=0,0,MAX(0,P19+'Datos de Entrada (1)'!$B$18-'LANZ PP'!P20))</f>
        <v>0</v>
      </c>
      <c r="Q21" s="25">
        <f>IF(Q19=0,0,MAX(0,Q19+'Datos de Entrada (1)'!$B$18-'LANZ PP'!Q20))</f>
        <v>0</v>
      </c>
      <c r="R21" s="25">
        <f>IF(R19=0,0,MAX(0,R19+'Datos de Entrada (1)'!$B$18-'LANZ PP'!R20))</f>
        <v>80</v>
      </c>
      <c r="S21" s="25">
        <f>IF(S19=0,0,MAX(0,S19+'Datos de Entrada (1)'!$B$18-'LANZ PP'!S20))</f>
        <v>80</v>
      </c>
      <c r="T21" s="25">
        <f>IF(T19=0,0,MAX(0,T19+'Datos de Entrada (1)'!$B$18-'LANZ PP'!T20))</f>
        <v>100</v>
      </c>
      <c r="U21" s="45">
        <f>IF(U19=0,0,MAX(0,U19+'Datos de Entrada (1)'!$B$18-'LANZ PP'!U20))</f>
        <v>120</v>
      </c>
    </row>
    <row r="22" spans="1:21" x14ac:dyDescent="0.3">
      <c r="A22" s="73" t="s">
        <v>45</v>
      </c>
      <c r="B22" s="87">
        <f>ROUNDUP(B21/(1-('Datos de Entrada (1)'!$D$18/100)),0)</f>
        <v>0</v>
      </c>
      <c r="C22" s="25">
        <f>ROUNDUP(C21/(1-('Datos de Entrada (1)'!$D$18/100)),0)</f>
        <v>0</v>
      </c>
      <c r="D22" s="25">
        <f>ROUNDUP(D21/(1-('Datos de Entrada (1)'!$D$18/100)),0)</f>
        <v>0</v>
      </c>
      <c r="E22" s="25">
        <f>ROUNDUP(E21/(1-('Datos de Entrada (1)'!$D$18/100)),0)</f>
        <v>0</v>
      </c>
      <c r="F22" s="25">
        <f>ROUNDUP(F21/(1-('Datos de Entrada (1)'!$D$18/100)),0)</f>
        <v>0</v>
      </c>
      <c r="G22" s="25">
        <f>ROUNDUP(G21/(1-('Datos de Entrada (1)'!$D$18/100)),0)</f>
        <v>0</v>
      </c>
      <c r="H22" s="25">
        <f>ROUNDUP(H21/(1-('Datos de Entrada (1)'!$D$18/100)),0)</f>
        <v>0</v>
      </c>
      <c r="I22" s="25">
        <f>ROUNDUP(I21/(1-('Datos de Entrada (1)'!$D$18/100)),0)</f>
        <v>0</v>
      </c>
      <c r="J22" s="25">
        <f>ROUNDUP(J21/(1-('Datos de Entrada (1)'!$D$18/100)),0)</f>
        <v>0</v>
      </c>
      <c r="K22" s="25">
        <f>ROUNDUP(K21/(1-('Datos de Entrada (1)'!$D$18/100)),0)</f>
        <v>0</v>
      </c>
      <c r="L22" s="25">
        <f>ROUNDUP(L21/(1-('Datos de Entrada (1)'!$D$18/100)),0)</f>
        <v>0</v>
      </c>
      <c r="M22" s="25">
        <f>ROUNDUP(M21/(1-('Datos de Entrada (1)'!$D$18/100)),0)</f>
        <v>0</v>
      </c>
      <c r="N22" s="25">
        <f>ROUNDUP(N21/(1-('Datos de Entrada (1)'!$D$18/100)),0)</f>
        <v>0</v>
      </c>
      <c r="O22" s="25">
        <f>ROUNDUP(O21/(1-('Datos de Entrada (1)'!$D$18/100)),0)</f>
        <v>0</v>
      </c>
      <c r="P22" s="25">
        <f>ROUNDUP(P21/(1-('Datos de Entrada (1)'!$D$18/100)),0)</f>
        <v>0</v>
      </c>
      <c r="Q22" s="25">
        <f>ROUNDUP(Q21/(1-('Datos de Entrada (1)'!$D$18/100)),0)</f>
        <v>0</v>
      </c>
      <c r="R22" s="25">
        <f>ROUNDUP(R21/(1-('Datos de Entrada (1)'!$D$18/100)),0)</f>
        <v>80</v>
      </c>
      <c r="S22" s="25">
        <f>ROUNDUP(S21/(1-('Datos de Entrada (1)'!$D$18/100)),0)</f>
        <v>80</v>
      </c>
      <c r="T22" s="25">
        <f>ROUNDUP(T21/(1-('Datos de Entrada (1)'!$D$18/100)),0)</f>
        <v>100</v>
      </c>
      <c r="U22" s="45">
        <f>ROUNDUP(U21/(1-('Datos de Entrada (1)'!$D$18/100)),0)</f>
        <v>120</v>
      </c>
    </row>
    <row r="23" spans="1:21" x14ac:dyDescent="0.3">
      <c r="A23" s="73" t="s">
        <v>46</v>
      </c>
      <c r="B23" s="87">
        <f>ROUNDUP(B22/'Datos de Entrada (1)'!$F$18,0)*'Datos de Entrada (1)'!$F$18</f>
        <v>0</v>
      </c>
      <c r="C23" s="25">
        <f>ROUNDUP(C22/'Datos de Entrada (1)'!$F$18,0)*'Datos de Entrada (1)'!$F$18</f>
        <v>0</v>
      </c>
      <c r="D23" s="25">
        <f>ROUNDUP(D22/'Datos de Entrada (1)'!$F$18,0)*'Datos de Entrada (1)'!$F$18</f>
        <v>0</v>
      </c>
      <c r="E23" s="25">
        <f>ROUNDUP(E22/'Datos de Entrada (1)'!$F$18,0)*'Datos de Entrada (1)'!$F$18</f>
        <v>0</v>
      </c>
      <c r="F23" s="25">
        <f>ROUNDUP(F22/'Datos de Entrada (1)'!$F$18,0)*'Datos de Entrada (1)'!$F$18</f>
        <v>0</v>
      </c>
      <c r="G23" s="25">
        <f>ROUNDUP(G22/'Datos de Entrada (1)'!$F$18,0)*'Datos de Entrada (1)'!$F$18</f>
        <v>0</v>
      </c>
      <c r="H23" s="25">
        <f>ROUNDUP(H22/'Datos de Entrada (1)'!$F$18,0)*'Datos de Entrada (1)'!$F$18</f>
        <v>0</v>
      </c>
      <c r="I23" s="25">
        <f>ROUNDUP(I22/'Datos de Entrada (1)'!$F$18,0)*'Datos de Entrada (1)'!$F$18</f>
        <v>0</v>
      </c>
      <c r="J23" s="25">
        <f>ROUNDUP(J22/'Datos de Entrada (1)'!$F$18,0)*'Datos de Entrada (1)'!$F$18</f>
        <v>0</v>
      </c>
      <c r="K23" s="25">
        <f>ROUNDUP(K22/'Datos de Entrada (1)'!$F$18,0)*'Datos de Entrada (1)'!$F$18</f>
        <v>0</v>
      </c>
      <c r="L23" s="25">
        <f>ROUNDUP(L22/'Datos de Entrada (1)'!$F$18,0)*'Datos de Entrada (1)'!$F$18</f>
        <v>0</v>
      </c>
      <c r="M23" s="25">
        <f>ROUNDUP(M22/'Datos de Entrada (1)'!$F$18,0)*'Datos de Entrada (1)'!$F$18</f>
        <v>0</v>
      </c>
      <c r="N23" s="25">
        <f>ROUNDUP(N22/'Datos de Entrada (1)'!$F$18,0)*'Datos de Entrada (1)'!$F$18</f>
        <v>0</v>
      </c>
      <c r="O23" s="25">
        <f>ROUNDUP(O22/'Datos de Entrada (1)'!$F$18,0)*'Datos de Entrada (1)'!$F$18</f>
        <v>0</v>
      </c>
      <c r="P23" s="25">
        <f>ROUNDUP(P22/'Datos de Entrada (1)'!$F$18,0)*'Datos de Entrada (1)'!$F$18</f>
        <v>0</v>
      </c>
      <c r="Q23" s="25">
        <f>ROUNDUP(Q22/'Datos de Entrada (1)'!$F$18,0)*'Datos de Entrada (1)'!$F$18</f>
        <v>0</v>
      </c>
      <c r="R23" s="25">
        <f>ROUNDUP(R22/'Datos de Entrada (1)'!$F$18,0)*'Datos de Entrada (1)'!$F$18</f>
        <v>80</v>
      </c>
      <c r="S23" s="25">
        <f>ROUNDUP(S22/'Datos de Entrada (1)'!$F$18,0)*'Datos de Entrada (1)'!$F$18</f>
        <v>80</v>
      </c>
      <c r="T23" s="25">
        <f>ROUNDUP(T22/'Datos de Entrada (1)'!$F$18,0)*'Datos de Entrada (1)'!$F$18</f>
        <v>100</v>
      </c>
      <c r="U23" s="45">
        <f>ROUNDUP(U22/'Datos de Entrada (1)'!$F$18,0)*'Datos de Entrada (1)'!$F$18</f>
        <v>120</v>
      </c>
    </row>
    <row r="24" spans="1:21" x14ac:dyDescent="0.3">
      <c r="A24" s="73" t="s">
        <v>47</v>
      </c>
      <c r="B24" s="87">
        <f>ROUNDDOWN(B23*(1-('Datos de Entrada (1)'!$D$18/100)),0)</f>
        <v>0</v>
      </c>
      <c r="C24" s="25">
        <f>ROUNDDOWN(C23*(1-('Datos de Entrada (1)'!$D$18/100)),0)</f>
        <v>0</v>
      </c>
      <c r="D24" s="25">
        <f>ROUNDDOWN(D23*(1-('Datos de Entrada (1)'!$D$18/100)),0)</f>
        <v>0</v>
      </c>
      <c r="E24" s="25">
        <f>ROUNDDOWN(E23*(1-('Datos de Entrada (1)'!$D$18/100)),0)</f>
        <v>0</v>
      </c>
      <c r="F24" s="25">
        <f>ROUNDDOWN(F23*(1-('Datos de Entrada (1)'!$D$18/100)),0)</f>
        <v>0</v>
      </c>
      <c r="G24" s="25">
        <f>ROUNDDOWN(G23*(1-('Datos de Entrada (1)'!$D$18/100)),0)</f>
        <v>0</v>
      </c>
      <c r="H24" s="25">
        <f>ROUNDDOWN(H23*(1-('Datos de Entrada (1)'!$D$18/100)),0)</f>
        <v>0</v>
      </c>
      <c r="I24" s="25">
        <f>ROUNDDOWN(I23*(1-('Datos de Entrada (1)'!$D$18/100)),0)</f>
        <v>0</v>
      </c>
      <c r="J24" s="25">
        <f>ROUNDDOWN(J23*(1-('Datos de Entrada (1)'!$D$18/100)),0)</f>
        <v>0</v>
      </c>
      <c r="K24" s="25">
        <f>ROUNDDOWN(K23*(1-('Datos de Entrada (1)'!$D$18/100)),0)</f>
        <v>0</v>
      </c>
      <c r="L24" s="25">
        <f>ROUNDDOWN(L23*(1-('Datos de Entrada (1)'!$D$18/100)),0)</f>
        <v>0</v>
      </c>
      <c r="M24" s="25">
        <f>ROUNDDOWN(M23*(1-('Datos de Entrada (1)'!$D$18/100)),0)</f>
        <v>0</v>
      </c>
      <c r="N24" s="25">
        <f>ROUNDDOWN(N23*(1-('Datos de Entrada (1)'!$D$18/100)),0)</f>
        <v>0</v>
      </c>
      <c r="O24" s="25">
        <f>ROUNDDOWN(O23*(1-('Datos de Entrada (1)'!$D$18/100)),0)</f>
        <v>0</v>
      </c>
      <c r="P24" s="25">
        <f>ROUNDDOWN(P23*(1-('Datos de Entrada (1)'!$D$18/100)),0)</f>
        <v>0</v>
      </c>
      <c r="Q24" s="25">
        <f>ROUNDDOWN(Q23*(1-('Datos de Entrada (1)'!$D$18/100)),0)</f>
        <v>0</v>
      </c>
      <c r="R24" s="25">
        <f>ROUNDDOWN(R23*(1-('Datos de Entrada (1)'!$D$18/100)),0)</f>
        <v>80</v>
      </c>
      <c r="S24" s="25">
        <f>ROUNDDOWN(S23*(1-('Datos de Entrada (1)'!$D$18/100)),0)</f>
        <v>80</v>
      </c>
      <c r="T24" s="25">
        <f>ROUNDDOWN(T23*(1-('Datos de Entrada (1)'!$D$18/100)),0)</f>
        <v>100</v>
      </c>
      <c r="U24" s="45">
        <f>ROUNDDOWN(U23*(1-('Datos de Entrada (1)'!$D$18/100)),0)</f>
        <v>120</v>
      </c>
    </row>
    <row r="25" spans="1:21" ht="15" thickBot="1" x14ac:dyDescent="0.35">
      <c r="A25" s="72" t="s">
        <v>48</v>
      </c>
      <c r="B25" s="88">
        <f ca="1">OFFSET(B23,0,'Datos de Entrada (1)'!$C$18)</f>
        <v>0</v>
      </c>
      <c r="C25" s="46">
        <f ca="1">OFFSET(C23,0,'Datos de Entrada (1)'!$C$18)</f>
        <v>0</v>
      </c>
      <c r="D25" s="46">
        <f ca="1">OFFSET(D23,0,'Datos de Entrada (1)'!$C$18)</f>
        <v>0</v>
      </c>
      <c r="E25" s="46">
        <f ca="1">OFFSET(E23,0,'Datos de Entrada (1)'!$C$18)</f>
        <v>0</v>
      </c>
      <c r="F25" s="46">
        <f ca="1">OFFSET(F23,0,'Datos de Entrada (1)'!$C$18)</f>
        <v>0</v>
      </c>
      <c r="G25" s="46">
        <f ca="1">OFFSET(G23,0,'Datos de Entrada (1)'!$C$18)</f>
        <v>0</v>
      </c>
      <c r="H25" s="46">
        <f ca="1">OFFSET(H23,0,'Datos de Entrada (1)'!$C$18)</f>
        <v>0</v>
      </c>
      <c r="I25" s="46">
        <f ca="1">OFFSET(I23,0,'Datos de Entrada (1)'!$C$18)</f>
        <v>0</v>
      </c>
      <c r="J25" s="46">
        <f ca="1">OFFSET(J23,0,'Datos de Entrada (1)'!$C$18)</f>
        <v>0</v>
      </c>
      <c r="K25" s="46">
        <f ca="1">OFFSET(K23,0,'Datos de Entrada (1)'!$C$18)</f>
        <v>0</v>
      </c>
      <c r="L25" s="46">
        <f ca="1">OFFSET(L23,0,'Datos de Entrada (1)'!$C$18)</f>
        <v>0</v>
      </c>
      <c r="M25" s="46">
        <f ca="1">OFFSET(M23,0,'Datos de Entrada (1)'!$C$18)</f>
        <v>0</v>
      </c>
      <c r="N25" s="46">
        <f ca="1">OFFSET(N23,0,'Datos de Entrada (1)'!$C$18)</f>
        <v>0</v>
      </c>
      <c r="O25" s="46">
        <f ca="1">OFFSET(O23,0,'Datos de Entrada (1)'!$C$18)</f>
        <v>0</v>
      </c>
      <c r="P25" s="46">
        <f ca="1">OFFSET(P23,0,'Datos de Entrada (1)'!$C$18)</f>
        <v>0</v>
      </c>
      <c r="Q25" s="46">
        <f ca="1">OFFSET(Q23,0,'Datos de Entrada (1)'!$C$18)</f>
        <v>80</v>
      </c>
      <c r="R25" s="46">
        <f ca="1">OFFSET(R23,0,'Datos de Entrada (1)'!$C$18)</f>
        <v>80</v>
      </c>
      <c r="S25" s="46">
        <f ca="1">OFFSET(S23,0,'Datos de Entrada (1)'!$C$18)</f>
        <v>100</v>
      </c>
      <c r="T25" s="46">
        <f ca="1">OFFSET(T23,0,'Datos de Entrada (1)'!$C$18)</f>
        <v>120</v>
      </c>
      <c r="U25" s="47">
        <f ca="1">OFFSET(U23,0,'Datos de Entrada (1)'!$C$18)</f>
        <v>0</v>
      </c>
    </row>
    <row r="26" spans="1:21" ht="15" thickBot="1" x14ac:dyDescent="0.35"/>
    <row r="27" spans="1:21" ht="15" thickBot="1" x14ac:dyDescent="0.35">
      <c r="A27" s="71" t="s">
        <v>5</v>
      </c>
      <c r="B27" s="74">
        <v>1</v>
      </c>
      <c r="C27" s="39">
        <v>2</v>
      </c>
      <c r="D27" s="39">
        <v>3</v>
      </c>
      <c r="E27" s="39">
        <v>4</v>
      </c>
      <c r="F27" s="39">
        <v>5</v>
      </c>
      <c r="G27" s="39">
        <v>6</v>
      </c>
      <c r="H27" s="39">
        <v>7</v>
      </c>
      <c r="I27" s="39">
        <v>8</v>
      </c>
      <c r="J27" s="39">
        <v>9</v>
      </c>
      <c r="K27" s="39">
        <v>10</v>
      </c>
      <c r="L27" s="39">
        <v>11</v>
      </c>
      <c r="M27" s="39">
        <v>12</v>
      </c>
      <c r="N27" s="39">
        <v>13</v>
      </c>
      <c r="O27" s="39">
        <v>14</v>
      </c>
      <c r="P27" s="39">
        <v>15</v>
      </c>
      <c r="Q27" s="39">
        <v>16</v>
      </c>
      <c r="R27" s="39">
        <v>17</v>
      </c>
      <c r="S27" s="39">
        <v>18</v>
      </c>
      <c r="T27" s="39">
        <v>19</v>
      </c>
      <c r="U27" s="40">
        <v>20</v>
      </c>
    </row>
    <row r="28" spans="1:21" x14ac:dyDescent="0.3">
      <c r="A28" s="41" t="s">
        <v>42</v>
      </c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>
        <f>'Datos de Entrada (1)'!B8</f>
        <v>200</v>
      </c>
      <c r="S28" s="42">
        <f>'Datos de Entrada (1)'!C8</f>
        <v>200</v>
      </c>
      <c r="T28" s="42">
        <f>'Datos de Entrada (1)'!D8</f>
        <v>200</v>
      </c>
      <c r="U28" s="43">
        <f>'Datos de Entrada (1)'!E8</f>
        <v>250</v>
      </c>
    </row>
    <row r="29" spans="1:21" x14ac:dyDescent="0.3">
      <c r="A29" s="73" t="s">
        <v>43</v>
      </c>
      <c r="B29" s="44">
        <f>'Datos de Entrada (1)'!$E$19</f>
        <v>120</v>
      </c>
      <c r="C29" s="25">
        <f>B29+B33-B28</f>
        <v>120</v>
      </c>
      <c r="D29" s="25">
        <f t="shared" ref="D29:T29" si="21">C29+C33-C28</f>
        <v>120</v>
      </c>
      <c r="E29" s="25">
        <f t="shared" si="21"/>
        <v>120</v>
      </c>
      <c r="F29" s="25">
        <f t="shared" si="21"/>
        <v>120</v>
      </c>
      <c r="G29" s="25">
        <f t="shared" si="21"/>
        <v>120</v>
      </c>
      <c r="H29" s="25">
        <f t="shared" si="21"/>
        <v>120</v>
      </c>
      <c r="I29" s="25">
        <f t="shared" si="21"/>
        <v>120</v>
      </c>
      <c r="J29" s="25">
        <f t="shared" si="21"/>
        <v>120</v>
      </c>
      <c r="K29" s="25">
        <f t="shared" si="21"/>
        <v>120</v>
      </c>
      <c r="L29" s="25">
        <f t="shared" si="21"/>
        <v>120</v>
      </c>
      <c r="M29" s="25">
        <f t="shared" si="21"/>
        <v>120</v>
      </c>
      <c r="N29" s="25">
        <f t="shared" si="21"/>
        <v>120</v>
      </c>
      <c r="O29" s="25">
        <f t="shared" si="21"/>
        <v>120</v>
      </c>
      <c r="P29" s="25">
        <f t="shared" si="21"/>
        <v>120</v>
      </c>
      <c r="Q29" s="25">
        <f t="shared" si="21"/>
        <v>120</v>
      </c>
      <c r="R29" s="25">
        <f t="shared" si="21"/>
        <v>120</v>
      </c>
      <c r="S29" s="25">
        <f t="shared" si="21"/>
        <v>100</v>
      </c>
      <c r="T29" s="25">
        <f t="shared" si="21"/>
        <v>100</v>
      </c>
      <c r="U29" s="45">
        <f>T29+T33-T28</f>
        <v>100</v>
      </c>
    </row>
    <row r="30" spans="1:21" x14ac:dyDescent="0.3">
      <c r="A30" s="73" t="s">
        <v>44</v>
      </c>
      <c r="B30" s="87">
        <f>IF(B28=0,0,MAX(0,B28+'Datos de Entrada (1)'!$B$19-'LANZ PP'!B29))</f>
        <v>0</v>
      </c>
      <c r="C30" s="25">
        <f>IF(C28=0,0,MAX(0,C28+'Datos de Entrada (1)'!$B$19-'LANZ PP'!C29))</f>
        <v>0</v>
      </c>
      <c r="D30" s="25">
        <f>IF(D28=0,0,MAX(0,D28+'Datos de Entrada (1)'!$B$19-'LANZ PP'!D29))</f>
        <v>0</v>
      </c>
      <c r="E30" s="25">
        <f>IF(E28=0,0,MAX(0,E28+'Datos de Entrada (1)'!$B$19-'LANZ PP'!E29))</f>
        <v>0</v>
      </c>
      <c r="F30" s="25">
        <f>IF(F28=0,0,MAX(0,F28+'Datos de Entrada (1)'!$B$19-'LANZ PP'!F29))</f>
        <v>0</v>
      </c>
      <c r="G30" s="25">
        <f>IF(G28=0,0,MAX(0,G28+'Datos de Entrada (1)'!$B$19-'LANZ PP'!G29))</f>
        <v>0</v>
      </c>
      <c r="H30" s="25">
        <f>IF(H28=0,0,MAX(0,H28+'Datos de Entrada (1)'!$B$19-'LANZ PP'!H29))</f>
        <v>0</v>
      </c>
      <c r="I30" s="25">
        <f>IF(I28=0,0,MAX(0,I28+'Datos de Entrada (1)'!$B$19-'LANZ PP'!I29))</f>
        <v>0</v>
      </c>
      <c r="J30" s="25">
        <f>IF(J28=0,0,MAX(0,J28+'Datos de Entrada (1)'!$B$19-'LANZ PP'!J29))</f>
        <v>0</v>
      </c>
      <c r="K30" s="25">
        <f>IF(K28=0,0,MAX(0,K28+'Datos de Entrada (1)'!$B$19-'LANZ PP'!K29))</f>
        <v>0</v>
      </c>
      <c r="L30" s="25">
        <f>IF(L28=0,0,MAX(0,L28+'Datos de Entrada (1)'!$B$19-'LANZ PP'!L29))</f>
        <v>0</v>
      </c>
      <c r="M30" s="25">
        <f>IF(M28=0,0,MAX(0,M28+'Datos de Entrada (1)'!$B$19-'LANZ PP'!M29))</f>
        <v>0</v>
      </c>
      <c r="N30" s="25">
        <f>IF(N28=0,0,MAX(0,N28+'Datos de Entrada (1)'!$B$19-'LANZ PP'!N29))</f>
        <v>0</v>
      </c>
      <c r="O30" s="25">
        <f>IF(O28=0,0,MAX(0,O28+'Datos de Entrada (1)'!$B$19-'LANZ PP'!O29))</f>
        <v>0</v>
      </c>
      <c r="P30" s="25">
        <f>IF(P28=0,0,MAX(0,P28+'Datos de Entrada (1)'!$B$19-'LANZ PP'!P29))</f>
        <v>0</v>
      </c>
      <c r="Q30" s="25">
        <f>IF(Q28=0,0,MAX(0,Q28+'Datos de Entrada (1)'!$B$19-'LANZ PP'!Q29))</f>
        <v>0</v>
      </c>
      <c r="R30" s="25">
        <f>IF(R28=0,0,MAX(0,R28+'Datos de Entrada (1)'!$B$19-'LANZ PP'!R29))</f>
        <v>180</v>
      </c>
      <c r="S30" s="25">
        <f>IF(S28=0,0,MAX(0,S28+'Datos de Entrada (1)'!$B$19-'LANZ PP'!S29))</f>
        <v>200</v>
      </c>
      <c r="T30" s="25">
        <f>IF(T28=0,0,MAX(0,T28+'Datos de Entrada (1)'!$B$19-'LANZ PP'!T29))</f>
        <v>200</v>
      </c>
      <c r="U30" s="45">
        <f>IF(U28=0,0,MAX(0,U28+'Datos de Entrada (1)'!$B$19-'LANZ PP'!U29))</f>
        <v>250</v>
      </c>
    </row>
    <row r="31" spans="1:21" x14ac:dyDescent="0.3">
      <c r="A31" s="73" t="s">
        <v>45</v>
      </c>
      <c r="B31" s="87">
        <f>ROUNDUP(B30/(1-('Datos de Entrada (1)'!$D$19/100)),0)</f>
        <v>0</v>
      </c>
      <c r="C31" s="25">
        <f>ROUNDUP(C30/(1-('Datos de Entrada (1)'!$D$19/100)),0)</f>
        <v>0</v>
      </c>
      <c r="D31" s="25">
        <f>ROUNDUP(D30/(1-('Datos de Entrada (1)'!$D$19/100)),0)</f>
        <v>0</v>
      </c>
      <c r="E31" s="25">
        <f>ROUNDUP(E30/(1-('Datos de Entrada (1)'!$D$19/100)),0)</f>
        <v>0</v>
      </c>
      <c r="F31" s="25">
        <f>ROUNDUP(F30/(1-('Datos de Entrada (1)'!$D$19/100)),0)</f>
        <v>0</v>
      </c>
      <c r="G31" s="25">
        <f>ROUNDUP(G30/(1-('Datos de Entrada (1)'!$D$19/100)),0)</f>
        <v>0</v>
      </c>
      <c r="H31" s="25">
        <f>ROUNDUP(H30/(1-('Datos de Entrada (1)'!$D$19/100)),0)</f>
        <v>0</v>
      </c>
      <c r="I31" s="25">
        <f>ROUNDUP(I30/(1-('Datos de Entrada (1)'!$D$19/100)),0)</f>
        <v>0</v>
      </c>
      <c r="J31" s="25">
        <f>ROUNDUP(J30/(1-('Datos de Entrada (1)'!$D$19/100)),0)</f>
        <v>0</v>
      </c>
      <c r="K31" s="25">
        <f>ROUNDUP(K30/(1-('Datos de Entrada (1)'!$D$19/100)),0)</f>
        <v>0</v>
      </c>
      <c r="L31" s="25">
        <f>ROUNDUP(L30/(1-('Datos de Entrada (1)'!$D$19/100)),0)</f>
        <v>0</v>
      </c>
      <c r="M31" s="25">
        <f>ROUNDUP(M30/(1-('Datos de Entrada (1)'!$D$19/100)),0)</f>
        <v>0</v>
      </c>
      <c r="N31" s="25">
        <f>ROUNDUP(N30/(1-('Datos de Entrada (1)'!$D$19/100)),0)</f>
        <v>0</v>
      </c>
      <c r="O31" s="25">
        <f>ROUNDUP(O30/(1-('Datos de Entrada (1)'!$D$19/100)),0)</f>
        <v>0</v>
      </c>
      <c r="P31" s="25">
        <f>ROUNDUP(P30/(1-('Datos de Entrada (1)'!$D$19/100)),0)</f>
        <v>0</v>
      </c>
      <c r="Q31" s="25">
        <f>ROUNDUP(Q30/(1-('Datos de Entrada (1)'!$D$19/100)),0)</f>
        <v>0</v>
      </c>
      <c r="R31" s="25">
        <f>ROUNDUP(R30/(1-('Datos de Entrada (1)'!$D$19/100)),0)</f>
        <v>180</v>
      </c>
      <c r="S31" s="25">
        <f>ROUNDUP(S30/(1-('Datos de Entrada (1)'!$D$19/100)),0)</f>
        <v>200</v>
      </c>
      <c r="T31" s="25">
        <f>ROUNDUP(T30/(1-('Datos de Entrada (1)'!$D$19/100)),0)</f>
        <v>200</v>
      </c>
      <c r="U31" s="45">
        <f>ROUNDUP(U30/(1-('Datos de Entrada (1)'!$D$19/100)),0)</f>
        <v>250</v>
      </c>
    </row>
    <row r="32" spans="1:21" x14ac:dyDescent="0.3">
      <c r="A32" s="73" t="s">
        <v>46</v>
      </c>
      <c r="B32" s="87">
        <f>ROUNDUP(B31/'Datos de Entrada (1)'!$F$19,0)*'Datos de Entrada (1)'!$F$19</f>
        <v>0</v>
      </c>
      <c r="C32" s="25">
        <f>ROUNDUP(C31/'Datos de Entrada (1)'!$F$19,0)*'Datos de Entrada (1)'!$F$19</f>
        <v>0</v>
      </c>
      <c r="D32" s="25">
        <f>ROUNDUP(D31/'Datos de Entrada (1)'!$F$19,0)*'Datos de Entrada (1)'!$F$19</f>
        <v>0</v>
      </c>
      <c r="E32" s="25">
        <f>ROUNDUP(E31/'Datos de Entrada (1)'!$F$19,0)*'Datos de Entrada (1)'!$F$19</f>
        <v>0</v>
      </c>
      <c r="F32" s="25">
        <f>ROUNDUP(F31/'Datos de Entrada (1)'!$F$19,0)*'Datos de Entrada (1)'!$F$19</f>
        <v>0</v>
      </c>
      <c r="G32" s="25">
        <f>ROUNDUP(G31/'Datos de Entrada (1)'!$F$19,0)*'Datos de Entrada (1)'!$F$19</f>
        <v>0</v>
      </c>
      <c r="H32" s="25">
        <f>ROUNDUP(H31/'Datos de Entrada (1)'!$F$19,0)*'Datos de Entrada (1)'!$F$19</f>
        <v>0</v>
      </c>
      <c r="I32" s="25">
        <f>ROUNDUP(I31/'Datos de Entrada (1)'!$F$19,0)*'Datos de Entrada (1)'!$F$19</f>
        <v>0</v>
      </c>
      <c r="J32" s="25">
        <f>ROUNDUP(J31/'Datos de Entrada (1)'!$F$19,0)*'Datos de Entrada (1)'!$F$19</f>
        <v>0</v>
      </c>
      <c r="K32" s="25">
        <f>ROUNDUP(K31/'Datos de Entrada (1)'!$F$19,0)*'Datos de Entrada (1)'!$F$19</f>
        <v>0</v>
      </c>
      <c r="L32" s="25">
        <f>ROUNDUP(L31/'Datos de Entrada (1)'!$F$19,0)*'Datos de Entrada (1)'!$F$19</f>
        <v>0</v>
      </c>
      <c r="M32" s="25">
        <f>ROUNDUP(M31/'Datos de Entrada (1)'!$F$19,0)*'Datos de Entrada (1)'!$F$19</f>
        <v>0</v>
      </c>
      <c r="N32" s="25">
        <f>ROUNDUP(N31/'Datos de Entrada (1)'!$F$19,0)*'Datos de Entrada (1)'!$F$19</f>
        <v>0</v>
      </c>
      <c r="O32" s="25">
        <f>ROUNDUP(O31/'Datos de Entrada (1)'!$F$19,0)*'Datos de Entrada (1)'!$F$19</f>
        <v>0</v>
      </c>
      <c r="P32" s="25">
        <f>ROUNDUP(P31/'Datos de Entrada (1)'!$F$19,0)*'Datos de Entrada (1)'!$F$19</f>
        <v>0</v>
      </c>
      <c r="Q32" s="25">
        <f>ROUNDUP(Q31/'Datos de Entrada (1)'!$F$19,0)*'Datos de Entrada (1)'!$F$19</f>
        <v>0</v>
      </c>
      <c r="R32" s="25">
        <f>ROUNDUP(R31/'Datos de Entrada (1)'!$F$19,0)*'Datos de Entrada (1)'!$F$19</f>
        <v>180</v>
      </c>
      <c r="S32" s="25">
        <f>ROUNDUP(S31/'Datos de Entrada (1)'!$F$19,0)*'Datos de Entrada (1)'!$F$19</f>
        <v>200</v>
      </c>
      <c r="T32" s="25">
        <f>ROUNDUP(T31/'Datos de Entrada (1)'!$F$19,0)*'Datos de Entrada (1)'!$F$19</f>
        <v>200</v>
      </c>
      <c r="U32" s="45">
        <f>ROUNDUP(U31/'Datos de Entrada (1)'!$F$19,0)*'Datos de Entrada (1)'!$F$19</f>
        <v>250</v>
      </c>
    </row>
    <row r="33" spans="1:21" x14ac:dyDescent="0.3">
      <c r="A33" s="73" t="s">
        <v>47</v>
      </c>
      <c r="B33" s="87">
        <f>ROUNDDOWN(B32*(1-('Datos de Entrada (1)'!$D$19/100)),0)</f>
        <v>0</v>
      </c>
      <c r="C33" s="25">
        <f>ROUNDDOWN(C32*(1-('Datos de Entrada (1)'!$D$19/100)),0)</f>
        <v>0</v>
      </c>
      <c r="D33" s="25">
        <f>ROUNDDOWN(D32*(1-('Datos de Entrada (1)'!$D$19/100)),0)</f>
        <v>0</v>
      </c>
      <c r="E33" s="25">
        <f>ROUNDDOWN(E32*(1-('Datos de Entrada (1)'!$D$19/100)),0)</f>
        <v>0</v>
      </c>
      <c r="F33" s="25">
        <f>ROUNDDOWN(F32*(1-('Datos de Entrada (1)'!$D$19/100)),0)</f>
        <v>0</v>
      </c>
      <c r="G33" s="25">
        <f>ROUNDDOWN(G32*(1-('Datos de Entrada (1)'!$D$19/100)),0)</f>
        <v>0</v>
      </c>
      <c r="H33" s="25">
        <f>ROUNDDOWN(H32*(1-('Datos de Entrada (1)'!$D$19/100)),0)</f>
        <v>0</v>
      </c>
      <c r="I33" s="25">
        <f>ROUNDDOWN(I32*(1-('Datos de Entrada (1)'!$D$19/100)),0)</f>
        <v>0</v>
      </c>
      <c r="J33" s="25">
        <f>ROUNDDOWN(J32*(1-('Datos de Entrada (1)'!$D$19/100)),0)</f>
        <v>0</v>
      </c>
      <c r="K33" s="25">
        <f>ROUNDDOWN(K32*(1-('Datos de Entrada (1)'!$D$19/100)),0)</f>
        <v>0</v>
      </c>
      <c r="L33" s="25">
        <f>ROUNDDOWN(L32*(1-('Datos de Entrada (1)'!$D$19/100)),0)</f>
        <v>0</v>
      </c>
      <c r="M33" s="25">
        <f>ROUNDDOWN(M32*(1-('Datos de Entrada (1)'!$D$19/100)),0)</f>
        <v>0</v>
      </c>
      <c r="N33" s="25">
        <f>ROUNDDOWN(N32*(1-('Datos de Entrada (1)'!$D$19/100)),0)</f>
        <v>0</v>
      </c>
      <c r="O33" s="25">
        <f>ROUNDDOWN(O32*(1-('Datos de Entrada (1)'!$D$19/100)),0)</f>
        <v>0</v>
      </c>
      <c r="P33" s="25">
        <f>ROUNDDOWN(P32*(1-('Datos de Entrada (1)'!$D$19/100)),0)</f>
        <v>0</v>
      </c>
      <c r="Q33" s="25">
        <f>ROUNDDOWN(Q32*(1-('Datos de Entrada (1)'!$D$19/100)),0)</f>
        <v>0</v>
      </c>
      <c r="R33" s="25">
        <f>ROUNDDOWN(R32*(1-('Datos de Entrada (1)'!$D$19/100)),0)</f>
        <v>180</v>
      </c>
      <c r="S33" s="25">
        <f>ROUNDDOWN(S32*(1-('Datos de Entrada (1)'!$D$19/100)),0)</f>
        <v>200</v>
      </c>
      <c r="T33" s="25">
        <f>ROUNDDOWN(T32*(1-('Datos de Entrada (1)'!$D$19/100)),0)</f>
        <v>200</v>
      </c>
      <c r="U33" s="45">
        <f>ROUNDDOWN(U32*(1-('Datos de Entrada (1)'!$D$19/100)),0)</f>
        <v>250</v>
      </c>
    </row>
    <row r="34" spans="1:21" ht="15" thickBot="1" x14ac:dyDescent="0.35">
      <c r="A34" s="72" t="s">
        <v>48</v>
      </c>
      <c r="B34" s="88">
        <f ca="1">OFFSET(B32,0,'Datos de Entrada (1)'!$C$19)</f>
        <v>0</v>
      </c>
      <c r="C34" s="46">
        <f ca="1">OFFSET(C32,0,'Datos de Entrada (1)'!$C$19)</f>
        <v>0</v>
      </c>
      <c r="D34" s="46">
        <f ca="1">OFFSET(D32,0,'Datos de Entrada (1)'!$C$19)</f>
        <v>0</v>
      </c>
      <c r="E34" s="46">
        <f ca="1">OFFSET(E32,0,'Datos de Entrada (1)'!$C$19)</f>
        <v>0</v>
      </c>
      <c r="F34" s="46">
        <f ca="1">OFFSET(F32,0,'Datos de Entrada (1)'!$C$19)</f>
        <v>0</v>
      </c>
      <c r="G34" s="46">
        <f ca="1">OFFSET(G32,0,'Datos de Entrada (1)'!$C$19)</f>
        <v>0</v>
      </c>
      <c r="H34" s="46">
        <f ca="1">OFFSET(H32,0,'Datos de Entrada (1)'!$C$19)</f>
        <v>0</v>
      </c>
      <c r="I34" s="46">
        <f ca="1">OFFSET(I32,0,'Datos de Entrada (1)'!$C$19)</f>
        <v>0</v>
      </c>
      <c r="J34" s="46">
        <f ca="1">OFFSET(J32,0,'Datos de Entrada (1)'!$C$19)</f>
        <v>0</v>
      </c>
      <c r="K34" s="46">
        <f ca="1">OFFSET(K32,0,'Datos de Entrada (1)'!$C$19)</f>
        <v>0</v>
      </c>
      <c r="L34" s="46">
        <f ca="1">OFFSET(L32,0,'Datos de Entrada (1)'!$C$19)</f>
        <v>0</v>
      </c>
      <c r="M34" s="46">
        <f ca="1">OFFSET(M32,0,'Datos de Entrada (1)'!$C$19)</f>
        <v>0</v>
      </c>
      <c r="N34" s="46">
        <f ca="1">OFFSET(N32,0,'Datos de Entrada (1)'!$C$19)</f>
        <v>0</v>
      </c>
      <c r="O34" s="46">
        <f ca="1">OFFSET(O32,0,'Datos de Entrada (1)'!$C$19)</f>
        <v>0</v>
      </c>
      <c r="P34" s="46">
        <f ca="1">OFFSET(P32,0,'Datos de Entrada (1)'!$C$19)</f>
        <v>0</v>
      </c>
      <c r="Q34" s="46">
        <f ca="1">OFFSET(Q32,0,'Datos de Entrada (1)'!$C$19)</f>
        <v>180</v>
      </c>
      <c r="R34" s="46">
        <f ca="1">OFFSET(R32,0,'Datos de Entrada (1)'!$C$19)</f>
        <v>200</v>
      </c>
      <c r="S34" s="46">
        <f ca="1">OFFSET(S32,0,'Datos de Entrada (1)'!$C$19)</f>
        <v>200</v>
      </c>
      <c r="T34" s="46">
        <f ca="1">OFFSET(T32,0,'Datos de Entrada (1)'!$C$19)</f>
        <v>250</v>
      </c>
      <c r="U34" s="47">
        <f ca="1">OFFSET(U32,0,'Datos de Entrada (1)'!$C$19)</f>
        <v>0</v>
      </c>
    </row>
    <row r="35" spans="1:21" ht="15" thickBot="1" x14ac:dyDescent="0.35"/>
    <row r="36" spans="1:21" ht="15" thickBot="1" x14ac:dyDescent="0.35">
      <c r="A36" s="75" t="s">
        <v>15</v>
      </c>
      <c r="B36" s="76">
        <v>1</v>
      </c>
      <c r="C36" s="77">
        <v>2</v>
      </c>
      <c r="D36" s="77">
        <v>3</v>
      </c>
      <c r="E36" s="77">
        <v>4</v>
      </c>
      <c r="F36" s="77">
        <v>5</v>
      </c>
      <c r="G36" s="77">
        <v>6</v>
      </c>
      <c r="H36" s="77">
        <v>7</v>
      </c>
      <c r="I36" s="77">
        <v>8</v>
      </c>
      <c r="J36" s="77">
        <v>9</v>
      </c>
      <c r="K36" s="77">
        <v>10</v>
      </c>
      <c r="L36" s="77">
        <v>11</v>
      </c>
      <c r="M36" s="77">
        <v>12</v>
      </c>
      <c r="N36" s="77">
        <v>13</v>
      </c>
      <c r="O36" s="77">
        <v>14</v>
      </c>
      <c r="P36" s="77">
        <v>15</v>
      </c>
      <c r="Q36" s="77">
        <v>16</v>
      </c>
      <c r="R36" s="77">
        <v>17</v>
      </c>
      <c r="S36" s="77">
        <v>18</v>
      </c>
      <c r="T36" s="77">
        <v>19</v>
      </c>
      <c r="U36" s="78">
        <v>20</v>
      </c>
    </row>
    <row r="37" spans="1:21" x14ac:dyDescent="0.3">
      <c r="A37" s="41" t="s">
        <v>42</v>
      </c>
      <c r="B37" s="89">
        <f ca="1">'Datos de Entrada (2)'!$G$5*'LANZ PP'!B25</f>
        <v>0</v>
      </c>
      <c r="C37" s="42">
        <f ca="1">'Datos de Entrada (2)'!$G$5*'LANZ PP'!C25</f>
        <v>0</v>
      </c>
      <c r="D37" s="42">
        <f ca="1">'Datos de Entrada (2)'!$G$5*'LANZ PP'!D25</f>
        <v>0</v>
      </c>
      <c r="E37" s="42">
        <f ca="1">'Datos de Entrada (2)'!$G$5*'LANZ PP'!E25</f>
        <v>0</v>
      </c>
      <c r="F37" s="42">
        <f ca="1">'Datos de Entrada (2)'!$G$5*'LANZ PP'!F25</f>
        <v>0</v>
      </c>
      <c r="G37" s="42">
        <f ca="1">'Datos de Entrada (2)'!$G$5*'LANZ PP'!G25</f>
        <v>0</v>
      </c>
      <c r="H37" s="42">
        <f ca="1">'Datos de Entrada (2)'!$G$5*'LANZ PP'!H25</f>
        <v>0</v>
      </c>
      <c r="I37" s="42">
        <f ca="1">'Datos de Entrada (2)'!$G$5*'LANZ PP'!I25</f>
        <v>0</v>
      </c>
      <c r="J37" s="42">
        <f ca="1">'Datos de Entrada (2)'!$G$5*'LANZ PP'!J25</f>
        <v>0</v>
      </c>
      <c r="K37" s="42">
        <f ca="1">'Datos de Entrada (2)'!$G$5*'LANZ PP'!K25</f>
        <v>0</v>
      </c>
      <c r="L37" s="42">
        <f ca="1">'Datos de Entrada (2)'!$G$5*'LANZ PP'!L25</f>
        <v>0</v>
      </c>
      <c r="M37" s="42">
        <f ca="1">'Datos de Entrada (2)'!$G$5*'LANZ PP'!M25</f>
        <v>0</v>
      </c>
      <c r="N37" s="42">
        <f ca="1">'Datos de Entrada (2)'!$G$5*'LANZ PP'!N25</f>
        <v>0</v>
      </c>
      <c r="O37" s="42">
        <f ca="1">'Datos de Entrada (2)'!$G$5*'LANZ PP'!O25</f>
        <v>0</v>
      </c>
      <c r="P37" s="42">
        <f ca="1">'Datos de Entrada (2)'!$G$5*'LANZ PP'!P25</f>
        <v>0</v>
      </c>
      <c r="Q37" s="42">
        <f ca="1">'Datos de Entrada (2)'!$G$5*'LANZ PP'!Q25</f>
        <v>80</v>
      </c>
      <c r="R37" s="42">
        <f ca="1">'Datos de Entrada (2)'!$G$5*'LANZ PP'!R25</f>
        <v>80</v>
      </c>
      <c r="S37" s="42">
        <f ca="1">'Datos de Entrada (2)'!$G$5*'LANZ PP'!S25</f>
        <v>100</v>
      </c>
      <c r="T37" s="42">
        <f ca="1">'Datos de Entrada (2)'!$G$5*'LANZ PP'!T25</f>
        <v>120</v>
      </c>
      <c r="U37" s="43">
        <f ca="1">'Datos de Entrada (2)'!$G$5*'LANZ PP'!U25</f>
        <v>0</v>
      </c>
    </row>
    <row r="38" spans="1:21" x14ac:dyDescent="0.3">
      <c r="A38" s="73" t="s">
        <v>43</v>
      </c>
      <c r="B38" s="44">
        <f>'Datos de Entrada (1)'!$E$20</f>
        <v>20</v>
      </c>
      <c r="C38" s="25">
        <f ca="1">B38+B42-B37</f>
        <v>20</v>
      </c>
      <c r="D38" s="25">
        <f t="shared" ref="D38:T38" ca="1" si="22">C38+C42-C37</f>
        <v>20</v>
      </c>
      <c r="E38" s="25">
        <f t="shared" ca="1" si="22"/>
        <v>20</v>
      </c>
      <c r="F38" s="25">
        <f t="shared" ca="1" si="22"/>
        <v>20</v>
      </c>
      <c r="G38" s="25">
        <f t="shared" ca="1" si="22"/>
        <v>20</v>
      </c>
      <c r="H38" s="25">
        <f t="shared" ca="1" si="22"/>
        <v>20</v>
      </c>
      <c r="I38" s="25">
        <f t="shared" ca="1" si="22"/>
        <v>20</v>
      </c>
      <c r="J38" s="25">
        <f t="shared" ca="1" si="22"/>
        <v>20</v>
      </c>
      <c r="K38" s="25">
        <f t="shared" ca="1" si="22"/>
        <v>20</v>
      </c>
      <c r="L38" s="25">
        <f t="shared" ca="1" si="22"/>
        <v>20</v>
      </c>
      <c r="M38" s="25">
        <f t="shared" ca="1" si="22"/>
        <v>20</v>
      </c>
      <c r="N38" s="25">
        <f t="shared" ca="1" si="22"/>
        <v>20</v>
      </c>
      <c r="O38" s="25">
        <f t="shared" ca="1" si="22"/>
        <v>20</v>
      </c>
      <c r="P38" s="25">
        <f t="shared" ca="1" si="22"/>
        <v>20</v>
      </c>
      <c r="Q38" s="25">
        <f t="shared" ca="1" si="22"/>
        <v>20</v>
      </c>
      <c r="R38" s="25">
        <f t="shared" ca="1" si="22"/>
        <v>40</v>
      </c>
      <c r="S38" s="25">
        <f t="shared" ca="1" si="22"/>
        <v>60</v>
      </c>
      <c r="T38" s="25">
        <f t="shared" ca="1" si="22"/>
        <v>60</v>
      </c>
      <c r="U38" s="45">
        <f ca="1">T38+T42-T37</f>
        <v>40</v>
      </c>
    </row>
    <row r="39" spans="1:21" x14ac:dyDescent="0.3">
      <c r="A39" s="73" t="s">
        <v>44</v>
      </c>
      <c r="B39" s="87">
        <f ca="1">IF(B37=0,0,MAX(0,B37+'Datos de Entrada (1)'!$B$20-'LANZ PP'!B38))</f>
        <v>0</v>
      </c>
      <c r="C39" s="25">
        <f ca="1">IF(C37=0,0,MAX(0,C37+'Datos de Entrada (1)'!$B$20-'LANZ PP'!C38))</f>
        <v>0</v>
      </c>
      <c r="D39" s="25">
        <f ca="1">IF(D37=0,0,MAX(0,D37+'Datos de Entrada (1)'!$B$20-'LANZ PP'!D38))</f>
        <v>0</v>
      </c>
      <c r="E39" s="25">
        <f ca="1">IF(E37=0,0,MAX(0,E37+'Datos de Entrada (1)'!$B$20-'LANZ PP'!E38))</f>
        <v>0</v>
      </c>
      <c r="F39" s="25">
        <f ca="1">IF(F37=0,0,MAX(0,F37+'Datos de Entrada (1)'!$B$20-'LANZ PP'!F38))</f>
        <v>0</v>
      </c>
      <c r="G39" s="25">
        <f ca="1">IF(G37=0,0,MAX(0,G37+'Datos de Entrada (1)'!$B$20-'LANZ PP'!G38))</f>
        <v>0</v>
      </c>
      <c r="H39" s="25">
        <f ca="1">IF(H37=0,0,MAX(0,H37+'Datos de Entrada (1)'!$B$20-'LANZ PP'!H38))</f>
        <v>0</v>
      </c>
      <c r="I39" s="25">
        <f ca="1">IF(I37=0,0,MAX(0,I37+'Datos de Entrada (1)'!$B$20-'LANZ PP'!I38))</f>
        <v>0</v>
      </c>
      <c r="J39" s="25">
        <f ca="1">IF(J37=0,0,MAX(0,J37+'Datos de Entrada (1)'!$B$20-'LANZ PP'!J38))</f>
        <v>0</v>
      </c>
      <c r="K39" s="25">
        <f ca="1">IF(K37=0,0,MAX(0,K37+'Datos de Entrada (1)'!$B$20-'LANZ PP'!K38))</f>
        <v>0</v>
      </c>
      <c r="L39" s="25">
        <f ca="1">IF(L37=0,0,MAX(0,L37+'Datos de Entrada (1)'!$B$20-'LANZ PP'!L38))</f>
        <v>0</v>
      </c>
      <c r="M39" s="25">
        <f ca="1">IF(M37=0,0,MAX(0,M37+'Datos de Entrada (1)'!$B$20-'LANZ PP'!M38))</f>
        <v>0</v>
      </c>
      <c r="N39" s="25">
        <f ca="1">IF(N37=0,0,MAX(0,N37+'Datos de Entrada (1)'!$B$20-'LANZ PP'!N38))</f>
        <v>0</v>
      </c>
      <c r="O39" s="25">
        <f ca="1">IF(O37=0,0,MAX(0,O37+'Datos de Entrada (1)'!$B$20-'LANZ PP'!O38))</f>
        <v>0</v>
      </c>
      <c r="P39" s="25">
        <f ca="1">IF(P37=0,0,MAX(0,P37+'Datos de Entrada (1)'!$B$20-'LANZ PP'!P38))</f>
        <v>0</v>
      </c>
      <c r="Q39" s="25">
        <f ca="1">IF(Q37=0,0,MAX(0,Q37+'Datos de Entrada (1)'!$B$20-'LANZ PP'!Q38))</f>
        <v>60</v>
      </c>
      <c r="R39" s="25">
        <f ca="1">IF(R37=0,0,MAX(0,R37+'Datos de Entrada (1)'!$B$20-'LANZ PP'!R38))</f>
        <v>40</v>
      </c>
      <c r="S39" s="25">
        <f ca="1">IF(S37=0,0,MAX(0,S37+'Datos de Entrada (1)'!$B$20-'LANZ PP'!S38))</f>
        <v>40</v>
      </c>
      <c r="T39" s="25">
        <f ca="1">IF(T37=0,0,MAX(0,T37+'Datos de Entrada (1)'!$B$20-'LANZ PP'!T38))</f>
        <v>60</v>
      </c>
      <c r="U39" s="45">
        <f ca="1">IF(U37=0,0,MAX(0,U37+'Datos de Entrada (1)'!$B$20-'LANZ PP'!U38))</f>
        <v>0</v>
      </c>
    </row>
    <row r="40" spans="1:21" x14ac:dyDescent="0.3">
      <c r="A40" s="73" t="s">
        <v>45</v>
      </c>
      <c r="B40" s="87">
        <f ca="1">ROUNDUP(B39/(1-('Datos de Entrada (1)'!$D$20/100)),0)</f>
        <v>0</v>
      </c>
      <c r="C40" s="25">
        <f ca="1">ROUNDUP(C39/(1-('Datos de Entrada (1)'!$D$20/100)),0)</f>
        <v>0</v>
      </c>
      <c r="D40" s="25">
        <f ca="1">ROUNDUP(D39/(1-('Datos de Entrada (1)'!$D$20/100)),0)</f>
        <v>0</v>
      </c>
      <c r="E40" s="25">
        <f ca="1">ROUNDUP(E39/(1-('Datos de Entrada (1)'!$D$20/100)),0)</f>
        <v>0</v>
      </c>
      <c r="F40" s="25">
        <f ca="1">ROUNDUP(F39/(1-('Datos de Entrada (1)'!$D$20/100)),0)</f>
        <v>0</v>
      </c>
      <c r="G40" s="25">
        <f ca="1">ROUNDUP(G39/(1-('Datos de Entrada (1)'!$D$20/100)),0)</f>
        <v>0</v>
      </c>
      <c r="H40" s="25">
        <f ca="1">ROUNDUP(H39/(1-('Datos de Entrada (1)'!$D$20/100)),0)</f>
        <v>0</v>
      </c>
      <c r="I40" s="25">
        <f ca="1">ROUNDUP(I39/(1-('Datos de Entrada (1)'!$D$20/100)),0)</f>
        <v>0</v>
      </c>
      <c r="J40" s="25">
        <f ca="1">ROUNDUP(J39/(1-('Datos de Entrada (1)'!$D$20/100)),0)</f>
        <v>0</v>
      </c>
      <c r="K40" s="25">
        <f ca="1">ROUNDUP(K39/(1-('Datos de Entrada (1)'!$D$20/100)),0)</f>
        <v>0</v>
      </c>
      <c r="L40" s="25">
        <f ca="1">ROUNDUP(L39/(1-('Datos de Entrada (1)'!$D$20/100)),0)</f>
        <v>0</v>
      </c>
      <c r="M40" s="25">
        <f ca="1">ROUNDUP(M39/(1-('Datos de Entrada (1)'!$D$20/100)),0)</f>
        <v>0</v>
      </c>
      <c r="N40" s="25">
        <f ca="1">ROUNDUP(N39/(1-('Datos de Entrada (1)'!$D$20/100)),0)</f>
        <v>0</v>
      </c>
      <c r="O40" s="25">
        <f ca="1">ROUNDUP(O39/(1-('Datos de Entrada (1)'!$D$20/100)),0)</f>
        <v>0</v>
      </c>
      <c r="P40" s="25">
        <f ca="1">ROUNDUP(P39/(1-('Datos de Entrada (1)'!$D$20/100)),0)</f>
        <v>0</v>
      </c>
      <c r="Q40" s="25">
        <f ca="1">ROUNDUP(Q39/(1-('Datos de Entrada (1)'!$D$20/100)),0)</f>
        <v>60</v>
      </c>
      <c r="R40" s="25">
        <f ca="1">ROUNDUP(R39/(1-('Datos de Entrada (1)'!$D$20/100)),0)</f>
        <v>40</v>
      </c>
      <c r="S40" s="25">
        <f ca="1">ROUNDUP(S39/(1-('Datos de Entrada (1)'!$D$20/100)),0)</f>
        <v>40</v>
      </c>
      <c r="T40" s="25">
        <f ca="1">ROUNDUP(T39/(1-('Datos de Entrada (1)'!$D$20/100)),0)</f>
        <v>60</v>
      </c>
      <c r="U40" s="45">
        <f ca="1">ROUNDUP(U39/(1-('Datos de Entrada (1)'!$D$20/100)),0)</f>
        <v>0</v>
      </c>
    </row>
    <row r="41" spans="1:21" x14ac:dyDescent="0.3">
      <c r="A41" s="73" t="s">
        <v>46</v>
      </c>
      <c r="B41" s="87">
        <f ca="1">ROUNDUP(B40/'Datos de Entrada (1)'!$F$20,0)*'Datos de Entrada (1)'!$F$20</f>
        <v>0</v>
      </c>
      <c r="C41" s="25">
        <f ca="1">ROUNDUP(C40/'Datos de Entrada (1)'!$F$20,0)*'Datos de Entrada (1)'!$F$20</f>
        <v>0</v>
      </c>
      <c r="D41" s="25">
        <f ca="1">ROUNDUP(D40/'Datos de Entrada (1)'!$F$20,0)*'Datos de Entrada (1)'!$F$20</f>
        <v>0</v>
      </c>
      <c r="E41" s="25">
        <f ca="1">ROUNDUP(E40/'Datos de Entrada (1)'!$F$20,0)*'Datos de Entrada (1)'!$F$20</f>
        <v>0</v>
      </c>
      <c r="F41" s="25">
        <f ca="1">ROUNDUP(F40/'Datos de Entrada (1)'!$F$20,0)*'Datos de Entrada (1)'!$F$20</f>
        <v>0</v>
      </c>
      <c r="G41" s="25">
        <f ca="1">ROUNDUP(G40/'Datos de Entrada (1)'!$F$20,0)*'Datos de Entrada (1)'!$F$20</f>
        <v>0</v>
      </c>
      <c r="H41" s="25">
        <f ca="1">ROUNDUP(H40/'Datos de Entrada (1)'!$F$20,0)*'Datos de Entrada (1)'!$F$20</f>
        <v>0</v>
      </c>
      <c r="I41" s="25">
        <f ca="1">ROUNDUP(I40/'Datos de Entrada (1)'!$F$20,0)*'Datos de Entrada (1)'!$F$20</f>
        <v>0</v>
      </c>
      <c r="J41" s="25">
        <f ca="1">ROUNDUP(J40/'Datos de Entrada (1)'!$F$20,0)*'Datos de Entrada (1)'!$F$20</f>
        <v>0</v>
      </c>
      <c r="K41" s="25">
        <f ca="1">ROUNDUP(K40/'Datos de Entrada (1)'!$F$20,0)*'Datos de Entrada (1)'!$F$20</f>
        <v>0</v>
      </c>
      <c r="L41" s="25">
        <f ca="1">ROUNDUP(L40/'Datos de Entrada (1)'!$F$20,0)*'Datos de Entrada (1)'!$F$20</f>
        <v>0</v>
      </c>
      <c r="M41" s="25">
        <f ca="1">ROUNDUP(M40/'Datos de Entrada (1)'!$F$20,0)*'Datos de Entrada (1)'!$F$20</f>
        <v>0</v>
      </c>
      <c r="N41" s="25">
        <f ca="1">ROUNDUP(N40/'Datos de Entrada (1)'!$F$20,0)*'Datos de Entrada (1)'!$F$20</f>
        <v>0</v>
      </c>
      <c r="O41" s="25">
        <f ca="1">ROUNDUP(O40/'Datos de Entrada (1)'!$F$20,0)*'Datos de Entrada (1)'!$F$20</f>
        <v>0</v>
      </c>
      <c r="P41" s="25">
        <f ca="1">ROUNDUP(P40/'Datos de Entrada (1)'!$F$20,0)*'Datos de Entrada (1)'!$F$20</f>
        <v>0</v>
      </c>
      <c r="Q41" s="25">
        <f ca="1">ROUNDUP(Q40/'Datos de Entrada (1)'!$F$20,0)*'Datos de Entrada (1)'!$F$20</f>
        <v>100</v>
      </c>
      <c r="R41" s="25">
        <f ca="1">ROUNDUP(R40/'Datos de Entrada (1)'!$F$20,0)*'Datos de Entrada (1)'!$F$20</f>
        <v>100</v>
      </c>
      <c r="S41" s="25">
        <f ca="1">ROUNDUP(S40/'Datos de Entrada (1)'!$F$20,0)*'Datos de Entrada (1)'!$F$20</f>
        <v>100</v>
      </c>
      <c r="T41" s="25">
        <f ca="1">ROUNDUP(T40/'Datos de Entrada (1)'!$F$20,0)*'Datos de Entrada (1)'!$F$20</f>
        <v>100</v>
      </c>
      <c r="U41" s="45">
        <f ca="1">ROUNDUP(U40/'Datos de Entrada (1)'!$F$20,0)*'Datos de Entrada (1)'!$F$20</f>
        <v>0</v>
      </c>
    </row>
    <row r="42" spans="1:21" x14ac:dyDescent="0.3">
      <c r="A42" s="73" t="s">
        <v>47</v>
      </c>
      <c r="B42" s="87">
        <f ca="1">ROUNDDOWN(B41*(1-('Datos de Entrada (1)'!$D$20/100)),0)</f>
        <v>0</v>
      </c>
      <c r="C42" s="25">
        <f ca="1">ROUNDDOWN(C41*(1-('Datos de Entrada (1)'!$D$20/100)),0)</f>
        <v>0</v>
      </c>
      <c r="D42" s="25">
        <f ca="1">ROUNDDOWN(D41*(1-('Datos de Entrada (1)'!$D$20/100)),0)</f>
        <v>0</v>
      </c>
      <c r="E42" s="25">
        <f ca="1">ROUNDDOWN(E41*(1-('Datos de Entrada (1)'!$D$20/100)),0)</f>
        <v>0</v>
      </c>
      <c r="F42" s="25">
        <f ca="1">ROUNDDOWN(F41*(1-('Datos de Entrada (1)'!$D$20/100)),0)</f>
        <v>0</v>
      </c>
      <c r="G42" s="25">
        <f ca="1">ROUNDDOWN(G41*(1-('Datos de Entrada (1)'!$D$20/100)),0)</f>
        <v>0</v>
      </c>
      <c r="H42" s="25">
        <f ca="1">ROUNDDOWN(H41*(1-('Datos de Entrada (1)'!$D$20/100)),0)</f>
        <v>0</v>
      </c>
      <c r="I42" s="25">
        <f ca="1">ROUNDDOWN(I41*(1-('Datos de Entrada (1)'!$D$20/100)),0)</f>
        <v>0</v>
      </c>
      <c r="J42" s="25">
        <f ca="1">ROUNDDOWN(J41*(1-('Datos de Entrada (1)'!$D$20/100)),0)</f>
        <v>0</v>
      </c>
      <c r="K42" s="25">
        <f ca="1">ROUNDDOWN(K41*(1-('Datos de Entrada (1)'!$D$20/100)),0)</f>
        <v>0</v>
      </c>
      <c r="L42" s="25">
        <f ca="1">ROUNDDOWN(L41*(1-('Datos de Entrada (1)'!$D$20/100)),0)</f>
        <v>0</v>
      </c>
      <c r="M42" s="25">
        <f ca="1">ROUNDDOWN(M41*(1-('Datos de Entrada (1)'!$D$20/100)),0)</f>
        <v>0</v>
      </c>
      <c r="N42" s="25">
        <f ca="1">ROUNDDOWN(N41*(1-('Datos de Entrada (1)'!$D$20/100)),0)</f>
        <v>0</v>
      </c>
      <c r="O42" s="25">
        <f ca="1">ROUNDDOWN(O41*(1-('Datos de Entrada (1)'!$D$20/100)),0)</f>
        <v>0</v>
      </c>
      <c r="P42" s="25">
        <f ca="1">ROUNDDOWN(P41*(1-('Datos de Entrada (1)'!$D$20/100)),0)</f>
        <v>0</v>
      </c>
      <c r="Q42" s="25">
        <f ca="1">ROUNDDOWN(Q41*(1-('Datos de Entrada (1)'!$D$20/100)),0)</f>
        <v>100</v>
      </c>
      <c r="R42" s="25">
        <f ca="1">ROUNDDOWN(R41*(1-('Datos de Entrada (1)'!$D$20/100)),0)</f>
        <v>100</v>
      </c>
      <c r="S42" s="25">
        <f ca="1">ROUNDDOWN(S41*(1-('Datos de Entrada (1)'!$D$20/100)),0)</f>
        <v>100</v>
      </c>
      <c r="T42" s="25">
        <f ca="1">ROUNDDOWN(T41*(1-('Datos de Entrada (1)'!$D$20/100)),0)</f>
        <v>100</v>
      </c>
      <c r="U42" s="45">
        <f ca="1">ROUNDDOWN(U41*(1-('Datos de Entrada (1)'!$D$20/100)),0)</f>
        <v>0</v>
      </c>
    </row>
    <row r="43" spans="1:21" ht="15" thickBot="1" x14ac:dyDescent="0.35">
      <c r="A43" s="72" t="s">
        <v>48</v>
      </c>
      <c r="B43" s="88">
        <f ca="1">OFFSET(B41,0,'Datos de Entrada (1)'!$C$20)</f>
        <v>0</v>
      </c>
      <c r="C43" s="46">
        <f ca="1">OFFSET(C41,0,'Datos de Entrada (1)'!$C$20)</f>
        <v>0</v>
      </c>
      <c r="D43" s="46">
        <f ca="1">OFFSET(D41,0,'Datos de Entrada (1)'!$C$20)</f>
        <v>0</v>
      </c>
      <c r="E43" s="46">
        <f ca="1">OFFSET(E41,0,'Datos de Entrada (1)'!$C$20)</f>
        <v>0</v>
      </c>
      <c r="F43" s="46">
        <f ca="1">OFFSET(F41,0,'Datos de Entrada (1)'!$C$20)</f>
        <v>0</v>
      </c>
      <c r="G43" s="46">
        <f ca="1">OFFSET(G41,0,'Datos de Entrada (1)'!$C$20)</f>
        <v>0</v>
      </c>
      <c r="H43" s="46">
        <f ca="1">OFFSET(H41,0,'Datos de Entrada (1)'!$C$20)</f>
        <v>0</v>
      </c>
      <c r="I43" s="46">
        <f ca="1">OFFSET(I41,0,'Datos de Entrada (1)'!$C$20)</f>
        <v>0</v>
      </c>
      <c r="J43" s="46">
        <f ca="1">OFFSET(J41,0,'Datos de Entrada (1)'!$C$20)</f>
        <v>0</v>
      </c>
      <c r="K43" s="46">
        <f ca="1">OFFSET(K41,0,'Datos de Entrada (1)'!$C$20)</f>
        <v>0</v>
      </c>
      <c r="L43" s="46">
        <f ca="1">OFFSET(L41,0,'Datos de Entrada (1)'!$C$20)</f>
        <v>0</v>
      </c>
      <c r="M43" s="46">
        <f ca="1">OFFSET(M41,0,'Datos de Entrada (1)'!$C$20)</f>
        <v>0</v>
      </c>
      <c r="N43" s="46">
        <f ca="1">OFFSET(N41,0,'Datos de Entrada (1)'!$C$20)</f>
        <v>0</v>
      </c>
      <c r="O43" s="46">
        <f ca="1">OFFSET(O41,0,'Datos de Entrada (1)'!$C$20)</f>
        <v>100</v>
      </c>
      <c r="P43" s="46">
        <f ca="1">OFFSET(P41,0,'Datos de Entrada (1)'!$C$20)</f>
        <v>100</v>
      </c>
      <c r="Q43" s="46">
        <f ca="1">OFFSET(Q41,0,'Datos de Entrada (1)'!$C$20)</f>
        <v>100</v>
      </c>
      <c r="R43" s="46">
        <f ca="1">OFFSET(R41,0,'Datos de Entrada (1)'!$C$20)</f>
        <v>100</v>
      </c>
      <c r="S43" s="46">
        <f ca="1">OFFSET(S41,0,'Datos de Entrada (1)'!$C$20)</f>
        <v>0</v>
      </c>
      <c r="T43" s="46">
        <f ca="1">OFFSET(T41,0,'Datos de Entrada (1)'!$C$20)</f>
        <v>0</v>
      </c>
      <c r="U43" s="47">
        <f ca="1">OFFSET(U41,0,'Datos de Entrada (1)'!$C$20)</f>
        <v>0</v>
      </c>
    </row>
    <row r="44" spans="1:21" ht="15" thickBot="1" x14ac:dyDescent="0.35"/>
    <row r="45" spans="1:21" ht="15" thickBot="1" x14ac:dyDescent="0.35">
      <c r="A45" s="75" t="s">
        <v>16</v>
      </c>
      <c r="B45" s="76">
        <v>1</v>
      </c>
      <c r="C45" s="77">
        <v>2</v>
      </c>
      <c r="D45" s="77">
        <v>3</v>
      </c>
      <c r="E45" s="77">
        <v>4</v>
      </c>
      <c r="F45" s="77">
        <v>5</v>
      </c>
      <c r="G45" s="77">
        <v>6</v>
      </c>
      <c r="H45" s="77">
        <v>7</v>
      </c>
      <c r="I45" s="77">
        <v>8</v>
      </c>
      <c r="J45" s="77">
        <v>9</v>
      </c>
      <c r="K45" s="77">
        <v>10</v>
      </c>
      <c r="L45" s="77">
        <v>11</v>
      </c>
      <c r="M45" s="77">
        <v>12</v>
      </c>
      <c r="N45" s="77">
        <v>13</v>
      </c>
      <c r="O45" s="77">
        <v>14</v>
      </c>
      <c r="P45" s="77">
        <v>15</v>
      </c>
      <c r="Q45" s="77">
        <v>16</v>
      </c>
      <c r="R45" s="77">
        <v>17</v>
      </c>
      <c r="S45" s="77">
        <v>18</v>
      </c>
      <c r="T45" s="77">
        <v>19</v>
      </c>
      <c r="U45" s="78">
        <v>20</v>
      </c>
    </row>
    <row r="46" spans="1:21" ht="15" customHeight="1" x14ac:dyDescent="0.3">
      <c r="A46" s="41" t="s">
        <v>42</v>
      </c>
      <c r="B46" s="89">
        <f ca="1">'Datos de Entrada (2)'!$D$18*'LANZ PP'!B34</f>
        <v>0</v>
      </c>
      <c r="C46" s="42">
        <f ca="1">'Datos de Entrada (2)'!$D$18*'LANZ PP'!C34</f>
        <v>0</v>
      </c>
      <c r="D46" s="42">
        <f ca="1">'Datos de Entrada (2)'!$D$18*'LANZ PP'!D34</f>
        <v>0</v>
      </c>
      <c r="E46" s="42">
        <f ca="1">'Datos de Entrada (2)'!$D$18*'LANZ PP'!E34</f>
        <v>0</v>
      </c>
      <c r="F46" s="42">
        <f ca="1">'Datos de Entrada (2)'!$D$18*'LANZ PP'!F34</f>
        <v>0</v>
      </c>
      <c r="G46" s="42">
        <f ca="1">'Datos de Entrada (2)'!$D$18*'LANZ PP'!G34</f>
        <v>0</v>
      </c>
      <c r="H46" s="42">
        <f ca="1">'Datos de Entrada (2)'!$D$18*'LANZ PP'!H34</f>
        <v>0</v>
      </c>
      <c r="I46" s="42">
        <f ca="1">'Datos de Entrada (2)'!$D$18*'LANZ PP'!I34</f>
        <v>0</v>
      </c>
      <c r="J46" s="42">
        <f ca="1">'Datos de Entrada (2)'!$D$18*'LANZ PP'!J34</f>
        <v>0</v>
      </c>
      <c r="K46" s="42">
        <f ca="1">'Datos de Entrada (2)'!$D$18*'LANZ PP'!K34</f>
        <v>0</v>
      </c>
      <c r="L46" s="42">
        <f ca="1">'Datos de Entrada (2)'!$D$18*'LANZ PP'!L34</f>
        <v>0</v>
      </c>
      <c r="M46" s="42">
        <f ca="1">'Datos de Entrada (2)'!$D$18*'LANZ PP'!M34</f>
        <v>0</v>
      </c>
      <c r="N46" s="42">
        <f ca="1">'Datos de Entrada (2)'!$D$18*'LANZ PP'!N34</f>
        <v>0</v>
      </c>
      <c r="O46" s="42">
        <f ca="1">'Datos de Entrada (2)'!$D$18*'LANZ PP'!O34</f>
        <v>0</v>
      </c>
      <c r="P46" s="42">
        <f ca="1">'Datos de Entrada (2)'!$D$18*'LANZ PP'!P34</f>
        <v>0</v>
      </c>
      <c r="Q46" s="42">
        <f ca="1">'Datos de Entrada (2)'!$D$18*'LANZ PP'!Q34</f>
        <v>360</v>
      </c>
      <c r="R46" s="42">
        <f ca="1">'Datos de Entrada (2)'!$D$18*'LANZ PP'!R34</f>
        <v>400</v>
      </c>
      <c r="S46" s="42">
        <f ca="1">'Datos de Entrada (2)'!$D$18*'LANZ PP'!S34</f>
        <v>400</v>
      </c>
      <c r="T46" s="42">
        <f ca="1">'Datos de Entrada (2)'!$D$18*'LANZ PP'!T34</f>
        <v>500</v>
      </c>
      <c r="U46" s="43">
        <f ca="1">'Datos de Entrada (2)'!$D$18*'LANZ PP'!U34</f>
        <v>0</v>
      </c>
    </row>
    <row r="47" spans="1:21" ht="15" customHeight="1" x14ac:dyDescent="0.3">
      <c r="A47" s="73" t="s">
        <v>43</v>
      </c>
      <c r="B47" s="44">
        <f>'Datos de Entrada (1)'!$E$21</f>
        <v>20</v>
      </c>
      <c r="C47" s="25">
        <f ca="1">B47+B51-B46</f>
        <v>20</v>
      </c>
      <c r="D47" s="25">
        <f t="shared" ref="D47:T47" ca="1" si="23">C47+C51-C46</f>
        <v>20</v>
      </c>
      <c r="E47" s="25">
        <f t="shared" ca="1" si="23"/>
        <v>20</v>
      </c>
      <c r="F47" s="25">
        <f t="shared" ca="1" si="23"/>
        <v>20</v>
      </c>
      <c r="G47" s="25">
        <f t="shared" ca="1" si="23"/>
        <v>20</v>
      </c>
      <c r="H47" s="25">
        <f t="shared" ca="1" si="23"/>
        <v>20</v>
      </c>
      <c r="I47" s="25">
        <f t="shared" ca="1" si="23"/>
        <v>20</v>
      </c>
      <c r="J47" s="25">
        <f t="shared" ca="1" si="23"/>
        <v>20</v>
      </c>
      <c r="K47" s="25">
        <f t="shared" ca="1" si="23"/>
        <v>20</v>
      </c>
      <c r="L47" s="25">
        <f t="shared" ca="1" si="23"/>
        <v>20</v>
      </c>
      <c r="M47" s="25">
        <f t="shared" ca="1" si="23"/>
        <v>20</v>
      </c>
      <c r="N47" s="25">
        <f t="shared" ca="1" si="23"/>
        <v>20</v>
      </c>
      <c r="O47" s="25">
        <f t="shared" ca="1" si="23"/>
        <v>20</v>
      </c>
      <c r="P47" s="25">
        <f t="shared" ca="1" si="23"/>
        <v>20</v>
      </c>
      <c r="Q47" s="25">
        <f t="shared" ca="1" si="23"/>
        <v>20</v>
      </c>
      <c r="R47" s="25">
        <f t="shared" ca="1" si="23"/>
        <v>40</v>
      </c>
      <c r="S47" s="25">
        <f t="shared" ca="1" si="23"/>
        <v>67</v>
      </c>
      <c r="T47" s="25">
        <f t="shared" ca="1" si="23"/>
        <v>47</v>
      </c>
      <c r="U47" s="45">
        <f ca="1">T47+T51-T46</f>
        <v>69</v>
      </c>
    </row>
    <row r="48" spans="1:21" x14ac:dyDescent="0.3">
      <c r="A48" s="73" t="s">
        <v>44</v>
      </c>
      <c r="B48" s="87">
        <f ca="1">IF(B46=0,0,MAX(0,B46+'Datos de Entrada (1)'!$B$21-'LANZ PP'!B47))</f>
        <v>0</v>
      </c>
      <c r="C48" s="25">
        <f ca="1">IF(C46=0,0,MAX(0,C46+'Datos de Entrada (1)'!$B$21-'LANZ PP'!C47))</f>
        <v>0</v>
      </c>
      <c r="D48" s="25">
        <f ca="1">IF(D46=0,0,MAX(0,D46+'Datos de Entrada (1)'!$B$21-'LANZ PP'!D47))</f>
        <v>0</v>
      </c>
      <c r="E48" s="25">
        <f ca="1">IF(E46=0,0,MAX(0,E46+'Datos de Entrada (1)'!$B$21-'LANZ PP'!E47))</f>
        <v>0</v>
      </c>
      <c r="F48" s="25">
        <f ca="1">IF(F46=0,0,MAX(0,F46+'Datos de Entrada (1)'!$B$21-'LANZ PP'!F47))</f>
        <v>0</v>
      </c>
      <c r="G48" s="25">
        <f ca="1">IF(G46=0,0,MAX(0,G46+'Datos de Entrada (1)'!$B$21-'LANZ PP'!G47))</f>
        <v>0</v>
      </c>
      <c r="H48" s="25">
        <f ca="1">IF(H46=0,0,MAX(0,H46+'Datos de Entrada (1)'!$B$21-'LANZ PP'!H47))</f>
        <v>0</v>
      </c>
      <c r="I48" s="25">
        <f ca="1">IF(I46=0,0,MAX(0,I46+'Datos de Entrada (1)'!$B$21-'LANZ PP'!I47))</f>
        <v>0</v>
      </c>
      <c r="J48" s="25">
        <f ca="1">IF(J46=0,0,MAX(0,J46+'Datos de Entrada (1)'!$B$21-'LANZ PP'!J47))</f>
        <v>0</v>
      </c>
      <c r="K48" s="25">
        <f ca="1">IF(K46=0,0,MAX(0,K46+'Datos de Entrada (1)'!$B$21-'LANZ PP'!K47))</f>
        <v>0</v>
      </c>
      <c r="L48" s="25">
        <f ca="1">IF(L46=0,0,MAX(0,L46+'Datos de Entrada (1)'!$B$21-'LANZ PP'!L47))</f>
        <v>0</v>
      </c>
      <c r="M48" s="25">
        <f ca="1">IF(M46=0,0,MAX(0,M46+'Datos de Entrada (1)'!$B$21-'LANZ PP'!M47))</f>
        <v>0</v>
      </c>
      <c r="N48" s="25">
        <f ca="1">IF(N46=0,0,MAX(0,N46+'Datos de Entrada (1)'!$B$21-'LANZ PP'!N47))</f>
        <v>0</v>
      </c>
      <c r="O48" s="25">
        <f ca="1">IF(O46=0,0,MAX(0,O46+'Datos de Entrada (1)'!$B$21-'LANZ PP'!O47))</f>
        <v>0</v>
      </c>
      <c r="P48" s="25">
        <f ca="1">IF(P46=0,0,MAX(0,P46+'Datos de Entrada (1)'!$B$21-'LANZ PP'!P47))</f>
        <v>0</v>
      </c>
      <c r="Q48" s="25">
        <f ca="1">IF(Q46=0,0,MAX(0,Q46+'Datos de Entrada (1)'!$B$21-'LANZ PP'!Q47))</f>
        <v>370</v>
      </c>
      <c r="R48" s="25">
        <f ca="1">IF(R46=0,0,MAX(0,R46+'Datos de Entrada (1)'!$B$21-'LANZ PP'!R47))</f>
        <v>390</v>
      </c>
      <c r="S48" s="25">
        <f ca="1">IF(S46=0,0,MAX(0,S46+'Datos de Entrada (1)'!$B$21-'LANZ PP'!S47))</f>
        <v>363</v>
      </c>
      <c r="T48" s="25">
        <f ca="1">IF(T46=0,0,MAX(0,T46+'Datos de Entrada (1)'!$B$21-'LANZ PP'!T47))</f>
        <v>483</v>
      </c>
      <c r="U48" s="45">
        <f ca="1">IF(U46=0,0,MAX(0,U46+'Datos de Entrada (1)'!$B$21-'LANZ PP'!U47))</f>
        <v>0</v>
      </c>
    </row>
    <row r="49" spans="1:21" ht="15" customHeight="1" x14ac:dyDescent="0.3">
      <c r="A49" s="73" t="s">
        <v>45</v>
      </c>
      <c r="B49" s="87">
        <f ca="1">ROUNDUP(B48/(1-('Datos de Entrada (1)'!$D$21/100)),0)</f>
        <v>0</v>
      </c>
      <c r="C49" s="25">
        <f ca="1">ROUNDUP(C48/(1-('Datos de Entrada (1)'!$D$21/100)),0)</f>
        <v>0</v>
      </c>
      <c r="D49" s="25">
        <f ca="1">ROUNDUP(D48/(1-('Datos de Entrada (1)'!$D$21/100)),0)</f>
        <v>0</v>
      </c>
      <c r="E49" s="25">
        <f ca="1">ROUNDUP(E48/(1-('Datos de Entrada (1)'!$D$21/100)),0)</f>
        <v>0</v>
      </c>
      <c r="F49" s="25">
        <f ca="1">ROUNDUP(F48/(1-('Datos de Entrada (1)'!$D$21/100)),0)</f>
        <v>0</v>
      </c>
      <c r="G49" s="25">
        <f ca="1">ROUNDUP(G48/(1-('Datos de Entrada (1)'!$D$21/100)),0)</f>
        <v>0</v>
      </c>
      <c r="H49" s="25">
        <f ca="1">ROUNDUP(H48/(1-('Datos de Entrada (1)'!$D$21/100)),0)</f>
        <v>0</v>
      </c>
      <c r="I49" s="25">
        <f ca="1">ROUNDUP(I48/(1-('Datos de Entrada (1)'!$D$21/100)),0)</f>
        <v>0</v>
      </c>
      <c r="J49" s="25">
        <f ca="1">ROUNDUP(J48/(1-('Datos de Entrada (1)'!$D$21/100)),0)</f>
        <v>0</v>
      </c>
      <c r="K49" s="25">
        <f ca="1">ROUNDUP(K48/(1-('Datos de Entrada (1)'!$D$21/100)),0)</f>
        <v>0</v>
      </c>
      <c r="L49" s="25">
        <f ca="1">ROUNDUP(L48/(1-('Datos de Entrada (1)'!$D$21/100)),0)</f>
        <v>0</v>
      </c>
      <c r="M49" s="25">
        <f ca="1">ROUNDUP(M48/(1-('Datos de Entrada (1)'!$D$21/100)),0)</f>
        <v>0</v>
      </c>
      <c r="N49" s="25">
        <f ca="1">ROUNDUP(N48/(1-('Datos de Entrada (1)'!$D$21/100)),0)</f>
        <v>0</v>
      </c>
      <c r="O49" s="25">
        <f ca="1">ROUNDUP(O48/(1-('Datos de Entrada (1)'!$D$21/100)),0)</f>
        <v>0</v>
      </c>
      <c r="P49" s="25">
        <f ca="1">ROUNDUP(P48/(1-('Datos de Entrada (1)'!$D$21/100)),0)</f>
        <v>0</v>
      </c>
      <c r="Q49" s="25">
        <f ca="1">ROUNDUP(Q48/(1-('Datos de Entrada (1)'!$D$21/100)),0)</f>
        <v>390</v>
      </c>
      <c r="R49" s="25">
        <f ca="1">ROUNDUP(R48/(1-('Datos de Entrada (1)'!$D$21/100)),0)</f>
        <v>411</v>
      </c>
      <c r="S49" s="25">
        <f ca="1">ROUNDUP(S48/(1-('Datos de Entrada (1)'!$D$21/100)),0)</f>
        <v>383</v>
      </c>
      <c r="T49" s="25">
        <f ca="1">ROUNDUP(T48/(1-('Datos de Entrada (1)'!$D$21/100)),0)</f>
        <v>509</v>
      </c>
      <c r="U49" s="45">
        <f ca="1">ROUNDUP(U48/(1-('Datos de Entrada (1)'!$D$21/100)),0)</f>
        <v>0</v>
      </c>
    </row>
    <row r="50" spans="1:21" ht="15" customHeight="1" x14ac:dyDescent="0.3">
      <c r="A50" s="73" t="s">
        <v>46</v>
      </c>
      <c r="B50" s="87">
        <f ca="1">ROUNDUP(B49/'Datos de Entrada (1)'!$F$21,0)*'Datos de Entrada (1)'!$F$21</f>
        <v>0</v>
      </c>
      <c r="C50" s="25">
        <f ca="1">ROUNDUP(C49/'Datos de Entrada (1)'!$F$21,0)*'Datos de Entrada (1)'!$F$21</f>
        <v>0</v>
      </c>
      <c r="D50" s="25">
        <f ca="1">ROUNDUP(D49/'Datos de Entrada (1)'!$F$21,0)*'Datos de Entrada (1)'!$F$21</f>
        <v>0</v>
      </c>
      <c r="E50" s="25">
        <f ca="1">ROUNDUP(E49/'Datos de Entrada (1)'!$F$21,0)*'Datos de Entrada (1)'!$F$21</f>
        <v>0</v>
      </c>
      <c r="F50" s="25">
        <f ca="1">ROUNDUP(F49/'Datos de Entrada (1)'!$F$21,0)*'Datos de Entrada (1)'!$F$21</f>
        <v>0</v>
      </c>
      <c r="G50" s="25">
        <f ca="1">ROUNDUP(G49/'Datos de Entrada (1)'!$F$21,0)*'Datos de Entrada (1)'!$F$21</f>
        <v>0</v>
      </c>
      <c r="H50" s="25">
        <f ca="1">ROUNDUP(H49/'Datos de Entrada (1)'!$F$21,0)*'Datos de Entrada (1)'!$F$21</f>
        <v>0</v>
      </c>
      <c r="I50" s="25">
        <f ca="1">ROUNDUP(I49/'Datos de Entrada (1)'!$F$21,0)*'Datos de Entrada (1)'!$F$21</f>
        <v>0</v>
      </c>
      <c r="J50" s="25">
        <f ca="1">ROUNDUP(J49/'Datos de Entrada (1)'!$F$21,0)*'Datos de Entrada (1)'!$F$21</f>
        <v>0</v>
      </c>
      <c r="K50" s="25">
        <f ca="1">ROUNDUP(K49/'Datos de Entrada (1)'!$F$21,0)*'Datos de Entrada (1)'!$F$21</f>
        <v>0</v>
      </c>
      <c r="L50" s="25">
        <f ca="1">ROUNDUP(L49/'Datos de Entrada (1)'!$F$21,0)*'Datos de Entrada (1)'!$F$21</f>
        <v>0</v>
      </c>
      <c r="M50" s="25">
        <f ca="1">ROUNDUP(M49/'Datos de Entrada (1)'!$F$21,0)*'Datos de Entrada (1)'!$F$21</f>
        <v>0</v>
      </c>
      <c r="N50" s="25">
        <f ca="1">ROUNDUP(N49/'Datos de Entrada (1)'!$F$21,0)*'Datos de Entrada (1)'!$F$21</f>
        <v>0</v>
      </c>
      <c r="O50" s="25">
        <f ca="1">ROUNDUP(O49/'Datos de Entrada (1)'!$F$21,0)*'Datos de Entrada (1)'!$F$21</f>
        <v>0</v>
      </c>
      <c r="P50" s="25">
        <f ca="1">ROUNDUP(P49/'Datos de Entrada (1)'!$F$21,0)*'Datos de Entrada (1)'!$F$21</f>
        <v>0</v>
      </c>
      <c r="Q50" s="25">
        <f ca="1">ROUNDUP(Q49/'Datos de Entrada (1)'!$F$21,0)*'Datos de Entrada (1)'!$F$21</f>
        <v>400</v>
      </c>
      <c r="R50" s="25">
        <f ca="1">ROUNDUP(R49/'Datos de Entrada (1)'!$F$21,0)*'Datos de Entrada (1)'!$F$21</f>
        <v>450</v>
      </c>
      <c r="S50" s="25">
        <f ca="1">ROUNDUP(S49/'Datos de Entrada (1)'!$F$21,0)*'Datos de Entrada (1)'!$F$21</f>
        <v>400</v>
      </c>
      <c r="T50" s="25">
        <f ca="1">ROUNDUP(T49/'Datos de Entrada (1)'!$F$21,0)*'Datos de Entrada (1)'!$F$21</f>
        <v>550</v>
      </c>
      <c r="U50" s="45">
        <f ca="1">ROUNDUP(U49/'Datos de Entrada (1)'!$F$21,0)*'Datos de Entrada (1)'!$F$21</f>
        <v>0</v>
      </c>
    </row>
    <row r="51" spans="1:21" ht="15" customHeight="1" x14ac:dyDescent="0.3">
      <c r="A51" s="73" t="s">
        <v>47</v>
      </c>
      <c r="B51" s="87">
        <f ca="1">ROUNDDOWN(B50*(1-('Datos de Entrada (1)'!$D$21/100)),0)</f>
        <v>0</v>
      </c>
      <c r="C51" s="25">
        <f ca="1">ROUNDDOWN(C50*(1-('Datos de Entrada (1)'!$D$21/100)),0)</f>
        <v>0</v>
      </c>
      <c r="D51" s="25">
        <f ca="1">ROUNDDOWN(D50*(1-('Datos de Entrada (1)'!$D$21/100)),0)</f>
        <v>0</v>
      </c>
      <c r="E51" s="25">
        <f ca="1">ROUNDDOWN(E50*(1-('Datos de Entrada (1)'!$D$21/100)),0)</f>
        <v>0</v>
      </c>
      <c r="F51" s="25">
        <f ca="1">ROUNDDOWN(F50*(1-('Datos de Entrada (1)'!$D$21/100)),0)</f>
        <v>0</v>
      </c>
      <c r="G51" s="25">
        <f ca="1">ROUNDDOWN(G50*(1-('Datos de Entrada (1)'!$D$21/100)),0)</f>
        <v>0</v>
      </c>
      <c r="H51" s="25">
        <f ca="1">ROUNDDOWN(H50*(1-('Datos de Entrada (1)'!$D$21/100)),0)</f>
        <v>0</v>
      </c>
      <c r="I51" s="25">
        <f ca="1">ROUNDDOWN(I50*(1-('Datos de Entrada (1)'!$D$21/100)),0)</f>
        <v>0</v>
      </c>
      <c r="J51" s="25">
        <f ca="1">ROUNDDOWN(J50*(1-('Datos de Entrada (1)'!$D$21/100)),0)</f>
        <v>0</v>
      </c>
      <c r="K51" s="25">
        <f ca="1">ROUNDDOWN(K50*(1-('Datos de Entrada (1)'!$D$21/100)),0)</f>
        <v>0</v>
      </c>
      <c r="L51" s="25">
        <f ca="1">ROUNDDOWN(L50*(1-('Datos de Entrada (1)'!$D$21/100)),0)</f>
        <v>0</v>
      </c>
      <c r="M51" s="25">
        <f ca="1">ROUNDDOWN(M50*(1-('Datos de Entrada (1)'!$D$21/100)),0)</f>
        <v>0</v>
      </c>
      <c r="N51" s="25">
        <f ca="1">ROUNDDOWN(N50*(1-('Datos de Entrada (1)'!$D$21/100)),0)</f>
        <v>0</v>
      </c>
      <c r="O51" s="25">
        <f ca="1">ROUNDDOWN(O50*(1-('Datos de Entrada (1)'!$D$21/100)),0)</f>
        <v>0</v>
      </c>
      <c r="P51" s="25">
        <f ca="1">ROUNDDOWN(P50*(1-('Datos de Entrada (1)'!$D$21/100)),0)</f>
        <v>0</v>
      </c>
      <c r="Q51" s="25">
        <f ca="1">ROUNDDOWN(Q50*(1-('Datos de Entrada (1)'!$D$21/100)),0)</f>
        <v>380</v>
      </c>
      <c r="R51" s="25">
        <f ca="1">ROUNDDOWN(R50*(1-('Datos de Entrada (1)'!$D$21/100)),0)</f>
        <v>427</v>
      </c>
      <c r="S51" s="25">
        <f ca="1">ROUNDDOWN(S50*(1-('Datos de Entrada (1)'!$D$21/100)),0)</f>
        <v>380</v>
      </c>
      <c r="T51" s="25">
        <f ca="1">ROUNDDOWN(T50*(1-('Datos de Entrada (1)'!$D$21/100)),0)</f>
        <v>522</v>
      </c>
      <c r="U51" s="45">
        <f ca="1">ROUNDDOWN(U50*(1-('Datos de Entrada (1)'!$D$21/100)),0)</f>
        <v>0</v>
      </c>
    </row>
    <row r="52" spans="1:21" ht="15" thickBot="1" x14ac:dyDescent="0.35">
      <c r="A52" s="72" t="s">
        <v>48</v>
      </c>
      <c r="B52" s="88">
        <f ca="1">OFFSET(B50,0,'Datos de Entrada (1)'!$C$21)</f>
        <v>0</v>
      </c>
      <c r="C52" s="46">
        <f ca="1">OFFSET(C50,0,'Datos de Entrada (1)'!$C$21)</f>
        <v>0</v>
      </c>
      <c r="D52" s="46">
        <f ca="1">OFFSET(D50,0,'Datos de Entrada (1)'!$C$21)</f>
        <v>0</v>
      </c>
      <c r="E52" s="46">
        <f ca="1">OFFSET(E50,0,'Datos de Entrada (1)'!$C$21)</f>
        <v>0</v>
      </c>
      <c r="F52" s="46">
        <f ca="1">OFFSET(F50,0,'Datos de Entrada (1)'!$C$21)</f>
        <v>0</v>
      </c>
      <c r="G52" s="46">
        <f ca="1">OFFSET(G50,0,'Datos de Entrada (1)'!$C$21)</f>
        <v>0</v>
      </c>
      <c r="H52" s="46">
        <f ca="1">OFFSET(H50,0,'Datos de Entrada (1)'!$C$21)</f>
        <v>0</v>
      </c>
      <c r="I52" s="46">
        <f ca="1">OFFSET(I50,0,'Datos de Entrada (1)'!$C$21)</f>
        <v>0</v>
      </c>
      <c r="J52" s="46">
        <f ca="1">OFFSET(J50,0,'Datos de Entrada (1)'!$C$21)</f>
        <v>0</v>
      </c>
      <c r="K52" s="46">
        <f ca="1">OFFSET(K50,0,'Datos de Entrada (1)'!$C$21)</f>
        <v>0</v>
      </c>
      <c r="L52" s="46">
        <f ca="1">OFFSET(L50,0,'Datos de Entrada (1)'!$C$21)</f>
        <v>0</v>
      </c>
      <c r="M52" s="46">
        <f ca="1">OFFSET(M50,0,'Datos de Entrada (1)'!$C$21)</f>
        <v>0</v>
      </c>
      <c r="N52" s="46">
        <f ca="1">OFFSET(N50,0,'Datos de Entrada (1)'!$C$21)</f>
        <v>0</v>
      </c>
      <c r="O52" s="46">
        <f ca="1">OFFSET(O50,0,'Datos de Entrada (1)'!$C$21)</f>
        <v>400</v>
      </c>
      <c r="P52" s="46">
        <f ca="1">OFFSET(P50,0,'Datos de Entrada (1)'!$C$21)</f>
        <v>450</v>
      </c>
      <c r="Q52" s="46">
        <f ca="1">OFFSET(Q50,0,'Datos de Entrada (1)'!$C$21)</f>
        <v>400</v>
      </c>
      <c r="R52" s="46">
        <f ca="1">OFFSET(R50,0,'Datos de Entrada (1)'!$C$21)</f>
        <v>550</v>
      </c>
      <c r="S52" s="46">
        <f ca="1">OFFSET(S50,0,'Datos de Entrada (1)'!$C$21)</f>
        <v>0</v>
      </c>
      <c r="T52" s="46">
        <f ca="1">OFFSET(T50,0,'Datos de Entrada (1)'!$C$21)</f>
        <v>0</v>
      </c>
      <c r="U52" s="47">
        <f ca="1">OFFSET(U50,0,'Datos de Entrada (1)'!$C$21)</f>
        <v>0</v>
      </c>
    </row>
    <row r="53" spans="1:21" ht="15" customHeight="1" thickBot="1" x14ac:dyDescent="0.35"/>
    <row r="54" spans="1:21" ht="15" customHeight="1" thickBot="1" x14ac:dyDescent="0.35">
      <c r="A54" s="75" t="s">
        <v>36</v>
      </c>
      <c r="B54" s="76">
        <v>1</v>
      </c>
      <c r="C54" s="77">
        <v>2</v>
      </c>
      <c r="D54" s="77">
        <v>3</v>
      </c>
      <c r="E54" s="77">
        <v>4</v>
      </c>
      <c r="F54" s="77">
        <v>5</v>
      </c>
      <c r="G54" s="77">
        <v>6</v>
      </c>
      <c r="H54" s="77">
        <v>7</v>
      </c>
      <c r="I54" s="77">
        <v>8</v>
      </c>
      <c r="J54" s="77">
        <v>9</v>
      </c>
      <c r="K54" s="77">
        <v>10</v>
      </c>
      <c r="L54" s="77">
        <v>11</v>
      </c>
      <c r="M54" s="77">
        <v>12</v>
      </c>
      <c r="N54" s="77">
        <v>13</v>
      </c>
      <c r="O54" s="77">
        <v>14</v>
      </c>
      <c r="P54" s="77">
        <v>15</v>
      </c>
      <c r="Q54" s="77">
        <v>16</v>
      </c>
      <c r="R54" s="77">
        <v>17</v>
      </c>
      <c r="S54" s="77">
        <v>18</v>
      </c>
      <c r="T54" s="77">
        <v>19</v>
      </c>
      <c r="U54" s="78">
        <v>20</v>
      </c>
    </row>
    <row r="55" spans="1:21" x14ac:dyDescent="0.3">
      <c r="A55" s="41" t="s">
        <v>42</v>
      </c>
      <c r="B55" s="89">
        <f ca="1">'Datos de Entrada (2)'!$H$18*'LANZ PP'!B34</f>
        <v>0</v>
      </c>
      <c r="C55" s="42">
        <f ca="1">'Datos de Entrada (2)'!$H$18*'LANZ PP'!C34</f>
        <v>0</v>
      </c>
      <c r="D55" s="42">
        <f ca="1">'Datos de Entrada (2)'!$H$18*'LANZ PP'!D34</f>
        <v>0</v>
      </c>
      <c r="E55" s="42">
        <f ca="1">'Datos de Entrada (2)'!$H$18*'LANZ PP'!E34</f>
        <v>0</v>
      </c>
      <c r="F55" s="42">
        <f ca="1">'Datos de Entrada (2)'!$H$18*'LANZ PP'!F34</f>
        <v>0</v>
      </c>
      <c r="G55" s="42">
        <f ca="1">'Datos de Entrada (2)'!$H$18*'LANZ PP'!G34</f>
        <v>0</v>
      </c>
      <c r="H55" s="42">
        <f ca="1">'Datos de Entrada (2)'!$H$18*'LANZ PP'!H34</f>
        <v>0</v>
      </c>
      <c r="I55" s="42">
        <f ca="1">'Datos de Entrada (2)'!$H$18*'LANZ PP'!I34</f>
        <v>0</v>
      </c>
      <c r="J55" s="42">
        <f ca="1">'Datos de Entrada (2)'!$H$18*'LANZ PP'!J34</f>
        <v>0</v>
      </c>
      <c r="K55" s="42">
        <f ca="1">'Datos de Entrada (2)'!$H$18*'LANZ PP'!K34</f>
        <v>0</v>
      </c>
      <c r="L55" s="42">
        <f ca="1">'Datos de Entrada (2)'!$H$18*'LANZ PP'!L34</f>
        <v>0</v>
      </c>
      <c r="M55" s="42">
        <f ca="1">'Datos de Entrada (2)'!$H$18*'LANZ PP'!M34</f>
        <v>0</v>
      </c>
      <c r="N55" s="42">
        <f ca="1">'Datos de Entrada (2)'!$H$18*'LANZ PP'!N34</f>
        <v>0</v>
      </c>
      <c r="O55" s="42">
        <f ca="1">'Datos de Entrada (2)'!$H$18*'LANZ PP'!O34</f>
        <v>0</v>
      </c>
      <c r="P55" s="42">
        <f ca="1">'Datos de Entrada (2)'!$H$18*'LANZ PP'!P34</f>
        <v>0</v>
      </c>
      <c r="Q55" s="42">
        <f ca="1">'Datos de Entrada (2)'!$H$18*'LANZ PP'!Q34</f>
        <v>180</v>
      </c>
      <c r="R55" s="42">
        <f ca="1">'Datos de Entrada (2)'!$H$18*'LANZ PP'!R34</f>
        <v>200</v>
      </c>
      <c r="S55" s="42">
        <f ca="1">'Datos de Entrada (2)'!$H$18*'LANZ PP'!S34</f>
        <v>200</v>
      </c>
      <c r="T55" s="42">
        <f ca="1">'Datos de Entrada (2)'!$H$18*'LANZ PP'!T34</f>
        <v>250</v>
      </c>
      <c r="U55" s="43">
        <f ca="1">'Datos de Entrada (2)'!$H$18*'LANZ PP'!U34</f>
        <v>0</v>
      </c>
    </row>
    <row r="56" spans="1:21" ht="15" customHeight="1" x14ac:dyDescent="0.3">
      <c r="A56" s="73" t="s">
        <v>43</v>
      </c>
      <c r="B56" s="44">
        <f>'Datos de Entrada (1)'!$E$22</f>
        <v>50</v>
      </c>
      <c r="C56" s="25">
        <f ca="1">B56+C59-B55</f>
        <v>50</v>
      </c>
      <c r="D56" s="25">
        <f t="shared" ref="D56:T56" ca="1" si="24">C56+C60-C55</f>
        <v>50</v>
      </c>
      <c r="E56" s="25">
        <f t="shared" ca="1" si="24"/>
        <v>50</v>
      </c>
      <c r="F56" s="25">
        <f t="shared" ca="1" si="24"/>
        <v>50</v>
      </c>
      <c r="G56" s="25">
        <f t="shared" ca="1" si="24"/>
        <v>50</v>
      </c>
      <c r="H56" s="25">
        <f t="shared" ca="1" si="24"/>
        <v>50</v>
      </c>
      <c r="I56" s="25">
        <f t="shared" ca="1" si="24"/>
        <v>50</v>
      </c>
      <c r="J56" s="25">
        <f t="shared" ca="1" si="24"/>
        <v>50</v>
      </c>
      <c r="K56" s="25">
        <f t="shared" ca="1" si="24"/>
        <v>50</v>
      </c>
      <c r="L56" s="25">
        <f t="shared" ca="1" si="24"/>
        <v>50</v>
      </c>
      <c r="M56" s="25">
        <f t="shared" ca="1" si="24"/>
        <v>50</v>
      </c>
      <c r="N56" s="25">
        <f t="shared" ca="1" si="24"/>
        <v>50</v>
      </c>
      <c r="O56" s="25">
        <f t="shared" ca="1" si="24"/>
        <v>50</v>
      </c>
      <c r="P56" s="25">
        <f t="shared" ca="1" si="24"/>
        <v>50</v>
      </c>
      <c r="Q56" s="25">
        <f t="shared" ca="1" si="24"/>
        <v>50</v>
      </c>
      <c r="R56" s="25">
        <f t="shared" ca="1" si="24"/>
        <v>5</v>
      </c>
      <c r="S56" s="25">
        <f t="shared" ca="1" si="24"/>
        <v>7</v>
      </c>
      <c r="T56" s="25">
        <f t="shared" ca="1" si="24"/>
        <v>9</v>
      </c>
      <c r="U56" s="45">
        <f ca="1">T56+T60-T55</f>
        <v>29</v>
      </c>
    </row>
    <row r="57" spans="1:21" x14ac:dyDescent="0.3">
      <c r="A57" s="73" t="s">
        <v>44</v>
      </c>
      <c r="B57" s="87">
        <f ca="1">IF(B55=0,0,MAX(0,B55+'Datos de Entrada (1)'!$B$22-'LANZ PP'!B56))</f>
        <v>0</v>
      </c>
      <c r="C57" s="25">
        <f ca="1">IF(C55=0,0,MAX(0,C55+'Datos de Entrada (1)'!$B$22-'LANZ PP'!C56))</f>
        <v>0</v>
      </c>
      <c r="D57" s="25">
        <f ca="1">IF(D55=0,0,MAX(0,D55+'Datos de Entrada (1)'!$B$22-'LANZ PP'!D56))</f>
        <v>0</v>
      </c>
      <c r="E57" s="25">
        <f ca="1">IF(E55=0,0,MAX(0,E55+'Datos de Entrada (1)'!$B$22-'LANZ PP'!E56))</f>
        <v>0</v>
      </c>
      <c r="F57" s="25">
        <f ca="1">IF(F55=0,0,MAX(0,F55+'Datos de Entrada (1)'!$B$22-'LANZ PP'!F56))</f>
        <v>0</v>
      </c>
      <c r="G57" s="25">
        <f ca="1">IF(G55=0,0,MAX(0,G55+'Datos de Entrada (1)'!$B$22-'LANZ PP'!G56))</f>
        <v>0</v>
      </c>
      <c r="H57" s="25">
        <f ca="1">IF(H55=0,0,MAX(0,H55+'Datos de Entrada (1)'!$B$22-'LANZ PP'!H56))</f>
        <v>0</v>
      </c>
      <c r="I57" s="25">
        <f ca="1">IF(I55=0,0,MAX(0,I55+'Datos de Entrada (1)'!$B$22-'LANZ PP'!I56))</f>
        <v>0</v>
      </c>
      <c r="J57" s="25">
        <f ca="1">IF(J55=0,0,MAX(0,J55+'Datos de Entrada (1)'!$B$22-'LANZ PP'!J56))</f>
        <v>0</v>
      </c>
      <c r="K57" s="25">
        <f ca="1">IF(K55=0,0,MAX(0,K55+'Datos de Entrada (1)'!$B$22-'LANZ PP'!K56))</f>
        <v>0</v>
      </c>
      <c r="L57" s="25">
        <f ca="1">IF(L55=0,0,MAX(0,L55+'Datos de Entrada (1)'!$B$22-'LANZ PP'!L56))</f>
        <v>0</v>
      </c>
      <c r="M57" s="25">
        <f ca="1">IF(M55=0,0,MAX(0,M55+'Datos de Entrada (1)'!$B$22-'LANZ PP'!M56))</f>
        <v>0</v>
      </c>
      <c r="N57" s="25">
        <f ca="1">IF(N55=0,0,MAX(0,N55+'Datos de Entrada (1)'!$B$22-'LANZ PP'!N56))</f>
        <v>0</v>
      </c>
      <c r="O57" s="25">
        <f ca="1">IF(O55=0,0,MAX(0,O55+'Datos de Entrada (1)'!$B$22-'LANZ PP'!O56))</f>
        <v>0</v>
      </c>
      <c r="P57" s="25">
        <f ca="1">IF(P55=0,0,MAX(0,P55+'Datos de Entrada (1)'!$B$22-'LANZ PP'!P56))</f>
        <v>0</v>
      </c>
      <c r="Q57" s="25">
        <f ca="1">IF(Q55=0,0,MAX(0,Q55+'Datos de Entrada (1)'!$B$22-'LANZ PP'!Q56))</f>
        <v>130</v>
      </c>
      <c r="R57" s="25">
        <f ca="1">IF(R55=0,0,MAX(0,R55+'Datos de Entrada (1)'!$B$22-'LANZ PP'!R56))</f>
        <v>195</v>
      </c>
      <c r="S57" s="25">
        <f ca="1">IF(S55=0,0,MAX(0,S55+'Datos de Entrada (1)'!$B$22-'LANZ PP'!S56))</f>
        <v>193</v>
      </c>
      <c r="T57" s="25">
        <f ca="1">IF(T55=0,0,MAX(0,T55+'Datos de Entrada (1)'!$B$22-'LANZ PP'!T56))</f>
        <v>241</v>
      </c>
      <c r="U57" s="45">
        <f ca="1">IF(U55=0,0,MAX(0,U55+'Datos de Entrada (1)'!$B$22-'LANZ PP'!U56))</f>
        <v>0</v>
      </c>
    </row>
    <row r="58" spans="1:21" x14ac:dyDescent="0.3">
      <c r="A58" s="73" t="s">
        <v>45</v>
      </c>
      <c r="B58" s="87">
        <f ca="1">ROUNDUP(B57/(1-('Datos de Entrada (1)'!$D$22/100)),0)</f>
        <v>0</v>
      </c>
      <c r="C58" s="25">
        <f ca="1">ROUNDUP(C57/(1-('Datos de Entrada (1)'!$D$22/100)),0)</f>
        <v>0</v>
      </c>
      <c r="D58" s="25">
        <f ca="1">ROUNDUP(D57/(1-('Datos de Entrada (1)'!$D$22/100)),0)</f>
        <v>0</v>
      </c>
      <c r="E58" s="25">
        <f ca="1">ROUNDUP(E57/(1-('Datos de Entrada (1)'!$D$22/100)),0)</f>
        <v>0</v>
      </c>
      <c r="F58" s="25">
        <f ca="1">ROUNDUP(F57/(1-('Datos de Entrada (1)'!$D$22/100)),0)</f>
        <v>0</v>
      </c>
      <c r="G58" s="25">
        <f ca="1">ROUNDUP(G57/(1-('Datos de Entrada (1)'!$D$22/100)),0)</f>
        <v>0</v>
      </c>
      <c r="H58" s="25">
        <f ca="1">ROUNDUP(H57/(1-('Datos de Entrada (1)'!$D$22/100)),0)</f>
        <v>0</v>
      </c>
      <c r="I58" s="25">
        <f ca="1">ROUNDUP(I57/(1-('Datos de Entrada (1)'!$D$22/100)),0)</f>
        <v>0</v>
      </c>
      <c r="J58" s="25">
        <f ca="1">ROUNDUP(J57/(1-('Datos de Entrada (1)'!$D$22/100)),0)</f>
        <v>0</v>
      </c>
      <c r="K58" s="25">
        <f ca="1">ROUNDUP(K57/(1-('Datos de Entrada (1)'!$D$22/100)),0)</f>
        <v>0</v>
      </c>
      <c r="L58" s="25">
        <f ca="1">ROUNDUP(L57/(1-('Datos de Entrada (1)'!$D$22/100)),0)</f>
        <v>0</v>
      </c>
      <c r="M58" s="25">
        <f ca="1">ROUNDUP(M57/(1-('Datos de Entrada (1)'!$D$22/100)),0)</f>
        <v>0</v>
      </c>
      <c r="N58" s="25">
        <f ca="1">ROUNDUP(N57/(1-('Datos de Entrada (1)'!$D$22/100)),0)</f>
        <v>0</v>
      </c>
      <c r="O58" s="25">
        <f ca="1">ROUNDUP(O57/(1-('Datos de Entrada (1)'!$D$22/100)),0)</f>
        <v>0</v>
      </c>
      <c r="P58" s="25">
        <f ca="1">ROUNDUP(P57/(1-('Datos de Entrada (1)'!$D$22/100)),0)</f>
        <v>0</v>
      </c>
      <c r="Q58" s="25">
        <f ca="1">ROUNDUP(Q57/(1-('Datos de Entrada (1)'!$D$22/100)),0)</f>
        <v>145</v>
      </c>
      <c r="R58" s="25">
        <f ca="1">ROUNDUP(R57/(1-('Datos de Entrada (1)'!$D$22/100)),0)</f>
        <v>217</v>
      </c>
      <c r="S58" s="25">
        <f ca="1">ROUNDUP(S57/(1-('Datos de Entrada (1)'!$D$22/100)),0)</f>
        <v>215</v>
      </c>
      <c r="T58" s="25">
        <f ca="1">ROUNDUP(T57/(1-('Datos de Entrada (1)'!$D$22/100)),0)</f>
        <v>268</v>
      </c>
      <c r="U58" s="45">
        <f ca="1">ROUNDUP(U57/(1-('Datos de Entrada (1)'!$D$22/100)),0)</f>
        <v>0</v>
      </c>
    </row>
    <row r="59" spans="1:21" x14ac:dyDescent="0.3">
      <c r="A59" s="73" t="s">
        <v>46</v>
      </c>
      <c r="B59" s="87">
        <f ca="1">ROUNDUP(B58/'Datos de Entrada (1)'!$F$22,0)*'Datos de Entrada (1)'!$F$22</f>
        <v>0</v>
      </c>
      <c r="C59" s="25">
        <f ca="1">ROUNDUP(C58/'Datos de Entrada (1)'!$F$22,0)*'Datos de Entrada (1)'!$F$22</f>
        <v>0</v>
      </c>
      <c r="D59" s="25">
        <f ca="1">ROUNDUP(D58/'Datos de Entrada (1)'!$F$22,0)*'Datos de Entrada (1)'!$F$22</f>
        <v>0</v>
      </c>
      <c r="E59" s="25">
        <f ca="1">ROUNDUP(E58/'Datos de Entrada (1)'!$F$22,0)*'Datos de Entrada (1)'!$F$22</f>
        <v>0</v>
      </c>
      <c r="F59" s="25">
        <f ca="1">ROUNDUP(F58/'Datos de Entrada (1)'!$F$22,0)*'Datos de Entrada (1)'!$F$22</f>
        <v>0</v>
      </c>
      <c r="G59" s="25">
        <f ca="1">ROUNDUP(G58/'Datos de Entrada (1)'!$F$22,0)*'Datos de Entrada (1)'!$F$22</f>
        <v>0</v>
      </c>
      <c r="H59" s="25">
        <f ca="1">ROUNDUP(H58/'Datos de Entrada (1)'!$F$22,0)*'Datos de Entrada (1)'!$F$22</f>
        <v>0</v>
      </c>
      <c r="I59" s="25">
        <f ca="1">ROUNDUP(I58/'Datos de Entrada (1)'!$F$22,0)*'Datos de Entrada (1)'!$F$22</f>
        <v>0</v>
      </c>
      <c r="J59" s="25">
        <f ca="1">ROUNDUP(J58/'Datos de Entrada (1)'!$F$22,0)*'Datos de Entrada (1)'!$F$22</f>
        <v>0</v>
      </c>
      <c r="K59" s="25">
        <f ca="1">ROUNDUP(K58/'Datos de Entrada (1)'!$F$22,0)*'Datos de Entrada (1)'!$F$22</f>
        <v>0</v>
      </c>
      <c r="L59" s="25">
        <f ca="1">ROUNDUP(L58/'Datos de Entrada (1)'!$F$22,0)*'Datos de Entrada (1)'!$F$22</f>
        <v>0</v>
      </c>
      <c r="M59" s="25">
        <f ca="1">ROUNDUP(M58/'Datos de Entrada (1)'!$F$22,0)*'Datos de Entrada (1)'!$F$22</f>
        <v>0</v>
      </c>
      <c r="N59" s="25">
        <f ca="1">ROUNDUP(N58/'Datos de Entrada (1)'!$F$22,0)*'Datos de Entrada (1)'!$F$22</f>
        <v>0</v>
      </c>
      <c r="O59" s="25">
        <f ca="1">ROUNDUP(O58/'Datos de Entrada (1)'!$F$22,0)*'Datos de Entrada (1)'!$F$22</f>
        <v>0</v>
      </c>
      <c r="P59" s="25">
        <f ca="1">ROUNDUP(P58/'Datos de Entrada (1)'!$F$22,0)*'Datos de Entrada (1)'!$F$22</f>
        <v>0</v>
      </c>
      <c r="Q59" s="25">
        <f ca="1">ROUNDUP(Q58/'Datos de Entrada (1)'!$F$22,0)*'Datos de Entrada (1)'!$F$22</f>
        <v>150</v>
      </c>
      <c r="R59" s="25">
        <f ca="1">ROUNDUP(R58/'Datos de Entrada (1)'!$F$22,0)*'Datos de Entrada (1)'!$F$22</f>
        <v>225</v>
      </c>
      <c r="S59" s="25">
        <f ca="1">ROUNDUP(S58/'Datos de Entrada (1)'!$F$22,0)*'Datos de Entrada (1)'!$F$22</f>
        <v>225</v>
      </c>
      <c r="T59" s="25">
        <f ca="1">ROUNDUP(T58/'Datos de Entrada (1)'!$F$22,0)*'Datos de Entrada (1)'!$F$22</f>
        <v>300</v>
      </c>
      <c r="U59" s="45">
        <f ca="1">ROUNDUP(U58/'Datos de Entrada (1)'!$F$22,0)*'Datos de Entrada (1)'!$F$22</f>
        <v>0</v>
      </c>
    </row>
    <row r="60" spans="1:21" x14ac:dyDescent="0.3">
      <c r="A60" s="73" t="s">
        <v>47</v>
      </c>
      <c r="B60">
        <f ca="1">ROUNDDOWN(B59*(1-('Datos de Entrada (1)'!$D$22/100)),0)</f>
        <v>0</v>
      </c>
      <c r="C60" s="25">
        <f ca="1">ROUNDDOWN(C59*(1-('Datos de Entrada (1)'!$D$22/100)),0)</f>
        <v>0</v>
      </c>
      <c r="D60" s="25">
        <f ca="1">ROUNDDOWN(D59*(1-('Datos de Entrada (1)'!$D$22/100)),0)</f>
        <v>0</v>
      </c>
      <c r="E60" s="25">
        <f ca="1">ROUNDDOWN(E59*(1-('Datos de Entrada (1)'!$D$22/100)),0)</f>
        <v>0</v>
      </c>
      <c r="F60" s="25">
        <f ca="1">ROUNDDOWN(F59*(1-('Datos de Entrada (1)'!$D$22/100)),0)</f>
        <v>0</v>
      </c>
      <c r="G60" s="25">
        <f ca="1">ROUNDDOWN(G59*(1-('Datos de Entrada (1)'!$D$22/100)),0)</f>
        <v>0</v>
      </c>
      <c r="H60" s="25">
        <f ca="1">ROUNDDOWN(H59*(1-('Datos de Entrada (1)'!$D$22/100)),0)</f>
        <v>0</v>
      </c>
      <c r="I60" s="25">
        <f ca="1">ROUNDDOWN(I59*(1-('Datos de Entrada (1)'!$D$22/100)),0)</f>
        <v>0</v>
      </c>
      <c r="J60" s="25">
        <f ca="1">ROUNDDOWN(J59*(1-('Datos de Entrada (1)'!$D$22/100)),0)</f>
        <v>0</v>
      </c>
      <c r="K60" s="25">
        <f ca="1">ROUNDDOWN(K59*(1-('Datos de Entrada (1)'!$D$22/100)),0)</f>
        <v>0</v>
      </c>
      <c r="L60" s="25">
        <f ca="1">ROUNDDOWN(L59*(1-('Datos de Entrada (1)'!$D$22/100)),0)</f>
        <v>0</v>
      </c>
      <c r="M60" s="25">
        <f ca="1">ROUNDDOWN(M59*(1-('Datos de Entrada (1)'!$D$22/100)),0)</f>
        <v>0</v>
      </c>
      <c r="N60" s="25">
        <f ca="1">ROUNDDOWN(N59*(1-('Datos de Entrada (1)'!$D$22/100)),0)</f>
        <v>0</v>
      </c>
      <c r="O60" s="25">
        <f ca="1">ROUNDDOWN(O59*(1-('Datos de Entrada (1)'!$D$22/100)),0)</f>
        <v>0</v>
      </c>
      <c r="P60" s="25">
        <f ca="1">ROUNDDOWN(P59*(1-('Datos de Entrada (1)'!$D$22/100)),0)</f>
        <v>0</v>
      </c>
      <c r="Q60" s="25">
        <f ca="1">ROUNDDOWN(Q59*(1-('Datos de Entrada (1)'!$D$22/100)),0)</f>
        <v>135</v>
      </c>
      <c r="R60" s="25">
        <f ca="1">ROUNDDOWN(R59*(1-('Datos de Entrada (1)'!$D$22/100)),0)</f>
        <v>202</v>
      </c>
      <c r="S60" s="25">
        <f ca="1">ROUNDDOWN(S59*(1-('Datos de Entrada (1)'!$D$22/100)),0)</f>
        <v>202</v>
      </c>
      <c r="T60" s="25">
        <f ca="1">ROUNDDOWN(T59*(1-('Datos de Entrada (1)'!$D$22/100)),0)</f>
        <v>270</v>
      </c>
      <c r="U60" s="45">
        <f ca="1">ROUNDDOWN(U59*(1-('Datos de Entrada (1)'!$D$22/100)),0)</f>
        <v>0</v>
      </c>
    </row>
    <row r="61" spans="1:21" ht="15" thickBot="1" x14ac:dyDescent="0.35">
      <c r="A61" s="72" t="s">
        <v>48</v>
      </c>
      <c r="B61" s="88">
        <f ca="1">OFFSET(B59,0,'Datos de Entrada (1)'!$C$22)</f>
        <v>0</v>
      </c>
      <c r="C61" s="46">
        <f ca="1">OFFSET(C59,0,'Datos de Entrada (1)'!$C$22)</f>
        <v>0</v>
      </c>
      <c r="D61" s="46">
        <f ca="1">OFFSET(D59,0,'Datos de Entrada (1)'!$C$22)</f>
        <v>0</v>
      </c>
      <c r="E61" s="46">
        <f ca="1">OFFSET(E59,0,'Datos de Entrada (1)'!$C$22)</f>
        <v>0</v>
      </c>
      <c r="F61" s="46">
        <f ca="1">OFFSET(F59,0,'Datos de Entrada (1)'!$C$22)</f>
        <v>0</v>
      </c>
      <c r="G61" s="46">
        <f ca="1">OFFSET(G59,0,'Datos de Entrada (1)'!$C$22)</f>
        <v>0</v>
      </c>
      <c r="H61" s="46">
        <f ca="1">OFFSET(H59,0,'Datos de Entrada (1)'!$C$22)</f>
        <v>0</v>
      </c>
      <c r="I61" s="46">
        <f ca="1">OFFSET(I59,0,'Datos de Entrada (1)'!$C$22)</f>
        <v>0</v>
      </c>
      <c r="J61" s="46">
        <f ca="1">OFFSET(J59,0,'Datos de Entrada (1)'!$C$22)</f>
        <v>0</v>
      </c>
      <c r="K61" s="46">
        <f ca="1">OFFSET(K59,0,'Datos de Entrada (1)'!$C$22)</f>
        <v>0</v>
      </c>
      <c r="L61" s="46">
        <f ca="1">OFFSET(L59,0,'Datos de Entrada (1)'!$C$22)</f>
        <v>0</v>
      </c>
      <c r="M61" s="46">
        <f ca="1">OFFSET(M59,0,'Datos de Entrada (1)'!$C$22)</f>
        <v>0</v>
      </c>
      <c r="N61" s="46">
        <f ca="1">OFFSET(N59,0,'Datos de Entrada (1)'!$C$22)</f>
        <v>0</v>
      </c>
      <c r="O61" s="46">
        <f ca="1">OFFSET(O59,0,'Datos de Entrada (1)'!$C$22)</f>
        <v>0</v>
      </c>
      <c r="P61" s="46">
        <f ca="1">OFFSET(P59,0,'Datos de Entrada (1)'!$C$22)</f>
        <v>150</v>
      </c>
      <c r="Q61" s="46">
        <f ca="1">OFFSET(Q59,0,'Datos de Entrada (1)'!$C$22)</f>
        <v>225</v>
      </c>
      <c r="R61" s="46">
        <f ca="1">OFFSET(R59,0,'Datos de Entrada (1)'!$C$22)</f>
        <v>225</v>
      </c>
      <c r="S61" s="46">
        <f ca="1">OFFSET(S59,0,'Datos de Entrada (1)'!$C$22)</f>
        <v>300</v>
      </c>
      <c r="T61" s="46">
        <f ca="1">OFFSET(T59,0,'Datos de Entrada (1)'!$C$22)</f>
        <v>0</v>
      </c>
      <c r="U61" s="47">
        <f ca="1">OFFSET(U59,0,'Datos de Entrada (1)'!$C$22)</f>
        <v>0</v>
      </c>
    </row>
    <row r="62" spans="1:21" ht="15" thickBot="1" x14ac:dyDescent="0.35"/>
    <row r="63" spans="1:21" ht="15" thickBot="1" x14ac:dyDescent="0.35">
      <c r="A63" s="79" t="s">
        <v>17</v>
      </c>
      <c r="B63" s="80">
        <v>1</v>
      </c>
      <c r="C63" s="81">
        <v>2</v>
      </c>
      <c r="D63" s="81">
        <v>3</v>
      </c>
      <c r="E63" s="81">
        <v>4</v>
      </c>
      <c r="F63" s="81">
        <v>5</v>
      </c>
      <c r="G63" s="81">
        <v>6</v>
      </c>
      <c r="H63" s="81">
        <v>7</v>
      </c>
      <c r="I63" s="81">
        <v>8</v>
      </c>
      <c r="J63" s="81">
        <v>9</v>
      </c>
      <c r="K63" s="81">
        <v>10</v>
      </c>
      <c r="L63" s="81">
        <v>11</v>
      </c>
      <c r="M63" s="81">
        <v>12</v>
      </c>
      <c r="N63" s="81">
        <v>13</v>
      </c>
      <c r="O63" s="81">
        <v>14</v>
      </c>
      <c r="P63" s="81">
        <v>15</v>
      </c>
      <c r="Q63" s="81">
        <v>16</v>
      </c>
      <c r="R63" s="81">
        <v>17</v>
      </c>
      <c r="S63" s="81">
        <v>18</v>
      </c>
      <c r="T63" s="81">
        <v>19</v>
      </c>
      <c r="U63" s="82">
        <v>20</v>
      </c>
    </row>
    <row r="64" spans="1:21" x14ac:dyDescent="0.3">
      <c r="A64" s="41" t="s">
        <v>42</v>
      </c>
      <c r="B64" s="89">
        <f ca="1">'Datos de Entrada (2)'!$E$8*'LANZ PP'!B43</f>
        <v>0</v>
      </c>
      <c r="C64" s="42">
        <f ca="1">'Datos de Entrada (2)'!$E$8*'LANZ PP'!C43</f>
        <v>0</v>
      </c>
      <c r="D64" s="42">
        <f ca="1">'Datos de Entrada (2)'!$E$8*'LANZ PP'!D43</f>
        <v>0</v>
      </c>
      <c r="E64" s="42">
        <f ca="1">'Datos de Entrada (2)'!$E$8*'LANZ PP'!E43</f>
        <v>0</v>
      </c>
      <c r="F64" s="42">
        <f ca="1">'Datos de Entrada (2)'!$E$8*'LANZ PP'!F43</f>
        <v>0</v>
      </c>
      <c r="G64" s="42">
        <f ca="1">'Datos de Entrada (2)'!$E$8*'LANZ PP'!G43</f>
        <v>0</v>
      </c>
      <c r="H64" s="42">
        <f ca="1">'Datos de Entrada (2)'!$E$8*'LANZ PP'!H43</f>
        <v>0</v>
      </c>
      <c r="I64" s="42">
        <f ca="1">'Datos de Entrada (2)'!$E$8*'LANZ PP'!I43</f>
        <v>0</v>
      </c>
      <c r="J64" s="42">
        <f ca="1">'Datos de Entrada (2)'!$E$8*'LANZ PP'!J43</f>
        <v>0</v>
      </c>
      <c r="K64" s="42">
        <f ca="1">'Datos de Entrada (2)'!$E$8*'LANZ PP'!K43</f>
        <v>0</v>
      </c>
      <c r="L64" s="42">
        <f ca="1">'Datos de Entrada (2)'!$E$8*'LANZ PP'!L43</f>
        <v>0</v>
      </c>
      <c r="M64" s="42">
        <f ca="1">'Datos de Entrada (2)'!$E$8*'LANZ PP'!M43</f>
        <v>0</v>
      </c>
      <c r="N64" s="42">
        <f ca="1">'Datos de Entrada (2)'!$E$8*'LANZ PP'!N43</f>
        <v>0</v>
      </c>
      <c r="O64" s="42">
        <f ca="1">'Datos de Entrada (2)'!$E$8*'LANZ PP'!O43</f>
        <v>100</v>
      </c>
      <c r="P64" s="42">
        <f ca="1">'Datos de Entrada (2)'!$E$8*'LANZ PP'!P43</f>
        <v>100</v>
      </c>
      <c r="Q64" s="42">
        <f ca="1">'Datos de Entrada (2)'!$E$8*'LANZ PP'!Q43</f>
        <v>100</v>
      </c>
      <c r="R64" s="42">
        <f ca="1">'Datos de Entrada (2)'!$E$8*'LANZ PP'!R43</f>
        <v>100</v>
      </c>
      <c r="S64" s="42">
        <f ca="1">'Datos de Entrada (2)'!$E$8*'LANZ PP'!S43</f>
        <v>0</v>
      </c>
      <c r="T64" s="42">
        <f ca="1">'Datos de Entrada (2)'!$E$8*'LANZ PP'!T43</f>
        <v>0</v>
      </c>
      <c r="U64" s="43">
        <f ca="1">'Datos de Entrada (2)'!$E$8*'LANZ PP'!U43</f>
        <v>0</v>
      </c>
    </row>
    <row r="65" spans="1:21" x14ac:dyDescent="0.3">
      <c r="A65" s="73" t="s">
        <v>43</v>
      </c>
      <c r="B65" s="44">
        <f>'Datos de Entrada (1)'!$E$23</f>
        <v>50</v>
      </c>
      <c r="C65" s="25">
        <f ca="1">B65+B69-B64</f>
        <v>50</v>
      </c>
      <c r="D65" s="25">
        <f t="shared" ref="D65:T65" ca="1" si="25">C65+C69-C64</f>
        <v>50</v>
      </c>
      <c r="E65" s="25">
        <f t="shared" ca="1" si="25"/>
        <v>50</v>
      </c>
      <c r="F65" s="25">
        <f t="shared" ca="1" si="25"/>
        <v>50</v>
      </c>
      <c r="G65" s="25">
        <f t="shared" ca="1" si="25"/>
        <v>50</v>
      </c>
      <c r="H65" s="25">
        <f t="shared" ca="1" si="25"/>
        <v>50</v>
      </c>
      <c r="I65" s="25">
        <f t="shared" ca="1" si="25"/>
        <v>50</v>
      </c>
      <c r="J65" s="25">
        <f t="shared" ca="1" si="25"/>
        <v>50</v>
      </c>
      <c r="K65" s="25">
        <f t="shared" ca="1" si="25"/>
        <v>50</v>
      </c>
      <c r="L65" s="25">
        <f t="shared" ca="1" si="25"/>
        <v>50</v>
      </c>
      <c r="M65" s="25">
        <f t="shared" ca="1" si="25"/>
        <v>50</v>
      </c>
      <c r="N65" s="25">
        <f t="shared" ca="1" si="25"/>
        <v>50</v>
      </c>
      <c r="O65" s="25">
        <f t="shared" ca="1" si="25"/>
        <v>50</v>
      </c>
      <c r="P65" s="25">
        <f t="shared" ca="1" si="25"/>
        <v>101</v>
      </c>
      <c r="Q65" s="25">
        <f t="shared" ca="1" si="25"/>
        <v>101</v>
      </c>
      <c r="R65" s="25">
        <f t="shared" ca="1" si="25"/>
        <v>101</v>
      </c>
      <c r="S65" s="25">
        <f t="shared" ca="1" si="25"/>
        <v>101</v>
      </c>
      <c r="T65" s="25">
        <f t="shared" ca="1" si="25"/>
        <v>101</v>
      </c>
      <c r="U65" s="45">
        <f ca="1">T65+T69-T64</f>
        <v>101</v>
      </c>
    </row>
    <row r="66" spans="1:21" x14ac:dyDescent="0.3">
      <c r="A66" s="73" t="s">
        <v>44</v>
      </c>
      <c r="B66" s="87">
        <f ca="1">IF(B64=0,0,MAX(0,B64+'Datos de Entrada (1)'!$B$23-'LANZ PP'!B65))</f>
        <v>0</v>
      </c>
      <c r="C66" s="25">
        <f ca="1">IF(C64=0,0,MAX(0,C64+'Datos de Entrada (1)'!$B$23-'LANZ PP'!C65))</f>
        <v>0</v>
      </c>
      <c r="D66" s="25">
        <f ca="1">IF(D64=0,0,MAX(0,D64+'Datos de Entrada (1)'!$B$23-'LANZ PP'!D65))</f>
        <v>0</v>
      </c>
      <c r="E66" s="25">
        <f ca="1">IF(E64=0,0,MAX(0,E64+'Datos de Entrada (1)'!$B$23-'LANZ PP'!E65))</f>
        <v>0</v>
      </c>
      <c r="F66" s="25">
        <f ca="1">IF(F64=0,0,MAX(0,F64+'Datos de Entrada (1)'!$B$23-'LANZ PP'!F65))</f>
        <v>0</v>
      </c>
      <c r="G66" s="25">
        <f ca="1">IF(G64=0,0,MAX(0,G64+'Datos de Entrada (1)'!$B$23-'LANZ PP'!G65))</f>
        <v>0</v>
      </c>
      <c r="H66" s="25">
        <f ca="1">IF(H64=0,0,MAX(0,H64+'Datos de Entrada (1)'!$B$23-'LANZ PP'!H65))</f>
        <v>0</v>
      </c>
      <c r="I66" s="25">
        <f ca="1">IF(I64=0,0,MAX(0,I64+'Datos de Entrada (1)'!$B$23-'LANZ PP'!I65))</f>
        <v>0</v>
      </c>
      <c r="J66" s="25">
        <f ca="1">IF(J64=0,0,MAX(0,J64+'Datos de Entrada (1)'!$B$23-'LANZ PP'!J65))</f>
        <v>0</v>
      </c>
      <c r="K66" s="25">
        <f ca="1">IF(K64=0,0,MAX(0,K64+'Datos de Entrada (1)'!$B$23-'LANZ PP'!K65))</f>
        <v>0</v>
      </c>
      <c r="L66" s="25">
        <f ca="1">IF(L64=0,0,MAX(0,L64+'Datos de Entrada (1)'!$B$23-'LANZ PP'!L65))</f>
        <v>0</v>
      </c>
      <c r="M66" s="25">
        <f ca="1">IF(M64=0,0,MAX(0,M64+'Datos de Entrada (1)'!$B$23-'LANZ PP'!M65))</f>
        <v>0</v>
      </c>
      <c r="N66" s="25">
        <f ca="1">IF(N64=0,0,MAX(0,N64+'Datos de Entrada (1)'!$B$23-'LANZ PP'!N65))</f>
        <v>0</v>
      </c>
      <c r="O66" s="25">
        <f ca="1">IF(O64=0,0,MAX(0,O64+'Datos de Entrada (1)'!$B$23-'LANZ PP'!O65))</f>
        <v>150</v>
      </c>
      <c r="P66" s="25">
        <f ca="1">IF(P64=0,0,MAX(0,P64+'Datos de Entrada (1)'!$B$23-'LANZ PP'!P65))</f>
        <v>99</v>
      </c>
      <c r="Q66" s="25">
        <f ca="1">IF(Q64=0,0,MAX(0,Q64+'Datos de Entrada (1)'!$B$23-'LANZ PP'!Q65))</f>
        <v>99</v>
      </c>
      <c r="R66" s="25">
        <f ca="1">IF(R64=0,0,MAX(0,R64+'Datos de Entrada (1)'!$B$23-'LANZ PP'!R65))</f>
        <v>99</v>
      </c>
      <c r="S66" s="25">
        <f ca="1">IF(S64=0,0,MAX(0,S64+'Datos de Entrada (1)'!$B$23-'LANZ PP'!S65))</f>
        <v>0</v>
      </c>
      <c r="T66" s="25">
        <f ca="1">IF(T64=0,0,MAX(0,T64+'Datos de Entrada (1)'!$B$23-'LANZ PP'!T65))</f>
        <v>0</v>
      </c>
      <c r="U66" s="45">
        <f ca="1">IF(U64=0,0,MAX(0,U64+'Datos de Entrada (1)'!$B$23-'LANZ PP'!U65))</f>
        <v>0</v>
      </c>
    </row>
    <row r="67" spans="1:21" x14ac:dyDescent="0.3">
      <c r="A67" s="73" t="s">
        <v>45</v>
      </c>
      <c r="B67" s="87">
        <f ca="1">ROUNDUP(B66/(1-('Datos de Entrada (1)'!$D$23/100)),0)</f>
        <v>0</v>
      </c>
      <c r="C67" s="25">
        <f ca="1">ROUNDUP(C66/(1-('Datos de Entrada (1)'!$D$23/100)),0)</f>
        <v>0</v>
      </c>
      <c r="D67" s="25">
        <f ca="1">ROUNDUP(D66/(1-('Datos de Entrada (1)'!$D$23/100)),0)</f>
        <v>0</v>
      </c>
      <c r="E67" s="25">
        <f ca="1">ROUNDUP(E66/(1-('Datos de Entrada (1)'!$D$23/100)),0)</f>
        <v>0</v>
      </c>
      <c r="F67" s="25">
        <f ca="1">ROUNDUP(F66/(1-('Datos de Entrada (1)'!$D$23/100)),0)</f>
        <v>0</v>
      </c>
      <c r="G67" s="25">
        <f ca="1">ROUNDUP(G66/(1-('Datos de Entrada (1)'!$D$23/100)),0)</f>
        <v>0</v>
      </c>
      <c r="H67" s="25">
        <f ca="1">ROUNDUP(H66/(1-('Datos de Entrada (1)'!$D$23/100)),0)</f>
        <v>0</v>
      </c>
      <c r="I67" s="25">
        <f ca="1">ROUNDUP(I66/(1-('Datos de Entrada (1)'!$D$23/100)),0)</f>
        <v>0</v>
      </c>
      <c r="J67" s="25">
        <f ca="1">ROUNDUP(J66/(1-('Datos de Entrada (1)'!$D$23/100)),0)</f>
        <v>0</v>
      </c>
      <c r="K67" s="25">
        <f ca="1">ROUNDUP(K66/(1-('Datos de Entrada (1)'!$D$23/100)),0)</f>
        <v>0</v>
      </c>
      <c r="L67" s="25">
        <f ca="1">ROUNDUP(L66/(1-('Datos de Entrada (1)'!$D$23/100)),0)</f>
        <v>0</v>
      </c>
      <c r="M67" s="25">
        <f ca="1">ROUNDUP(M66/(1-('Datos de Entrada (1)'!$D$23/100)),0)</f>
        <v>0</v>
      </c>
      <c r="N67" s="25">
        <f ca="1">ROUNDUP(N66/(1-('Datos de Entrada (1)'!$D$23/100)),0)</f>
        <v>0</v>
      </c>
      <c r="O67" s="25">
        <f ca="1">ROUNDUP(O66/(1-('Datos de Entrada (1)'!$D$23/100)),0)</f>
        <v>167</v>
      </c>
      <c r="P67" s="25">
        <f ca="1">ROUNDUP(P66/(1-('Datos de Entrada (1)'!$D$23/100)),0)</f>
        <v>110</v>
      </c>
      <c r="Q67" s="25">
        <f ca="1">ROUNDUP(Q66/(1-('Datos de Entrada (1)'!$D$23/100)),0)</f>
        <v>110</v>
      </c>
      <c r="R67" s="25">
        <f ca="1">ROUNDUP(R66/(1-('Datos de Entrada (1)'!$D$23/100)),0)</f>
        <v>110</v>
      </c>
      <c r="S67" s="25">
        <f ca="1">ROUNDUP(S66/(1-('Datos de Entrada (1)'!$D$23/100)),0)</f>
        <v>0</v>
      </c>
      <c r="T67" s="25">
        <f ca="1">ROUNDUP(T66/(1-('Datos de Entrada (1)'!$D$23/100)),0)</f>
        <v>0</v>
      </c>
      <c r="U67" s="45">
        <f ca="1">ROUNDUP(U66/(1-('Datos de Entrada (1)'!$D$23/100)),0)</f>
        <v>0</v>
      </c>
    </row>
    <row r="68" spans="1:21" x14ac:dyDescent="0.3">
      <c r="A68" s="73" t="s">
        <v>46</v>
      </c>
      <c r="B68" s="87">
        <f ca="1">ROUNDUP(B67/'Datos de Entrada (1)'!$F$23,0)*'Datos de Entrada (1)'!$F$23</f>
        <v>0</v>
      </c>
      <c r="C68" s="25">
        <f ca="1">ROUNDUP(C67/'Datos de Entrada (1)'!$F$23,0)*'Datos de Entrada (1)'!$F$23</f>
        <v>0</v>
      </c>
      <c r="D68" s="25">
        <f ca="1">ROUNDUP(D67/'Datos de Entrada (1)'!$F$23,0)*'Datos de Entrada (1)'!$F$23</f>
        <v>0</v>
      </c>
      <c r="E68" s="25">
        <f ca="1">ROUNDUP(E67/'Datos de Entrada (1)'!$F$23,0)*'Datos de Entrada (1)'!$F$23</f>
        <v>0</v>
      </c>
      <c r="F68" s="25">
        <f ca="1">ROUNDUP(F67/'Datos de Entrada (1)'!$F$23,0)*'Datos de Entrada (1)'!$F$23</f>
        <v>0</v>
      </c>
      <c r="G68" s="25">
        <f ca="1">ROUNDUP(G67/'Datos de Entrada (1)'!$F$23,0)*'Datos de Entrada (1)'!$F$23</f>
        <v>0</v>
      </c>
      <c r="H68" s="25">
        <f ca="1">ROUNDUP(H67/'Datos de Entrada (1)'!$F$23,0)*'Datos de Entrada (1)'!$F$23</f>
        <v>0</v>
      </c>
      <c r="I68" s="25">
        <f ca="1">ROUNDUP(I67/'Datos de Entrada (1)'!$F$23,0)*'Datos de Entrada (1)'!$F$23</f>
        <v>0</v>
      </c>
      <c r="J68" s="25">
        <f ca="1">ROUNDUP(J67/'Datos de Entrada (1)'!$F$23,0)*'Datos de Entrada (1)'!$F$23</f>
        <v>0</v>
      </c>
      <c r="K68" s="25">
        <f ca="1">ROUNDUP(K67/'Datos de Entrada (1)'!$F$23,0)*'Datos de Entrada (1)'!$F$23</f>
        <v>0</v>
      </c>
      <c r="L68" s="25">
        <f ca="1">ROUNDUP(L67/'Datos de Entrada (1)'!$F$23,0)*'Datos de Entrada (1)'!$F$23</f>
        <v>0</v>
      </c>
      <c r="M68" s="25">
        <f ca="1">ROUNDUP(M67/'Datos de Entrada (1)'!$F$23,0)*'Datos de Entrada (1)'!$F$23</f>
        <v>0</v>
      </c>
      <c r="N68" s="25">
        <f ca="1">ROUNDUP(N67/'Datos de Entrada (1)'!$F$23,0)*'Datos de Entrada (1)'!$F$23</f>
        <v>0</v>
      </c>
      <c r="O68" s="25">
        <f ca="1">ROUNDUP(O67/'Datos de Entrada (1)'!$F$23,0)*'Datos de Entrada (1)'!$F$23</f>
        <v>168</v>
      </c>
      <c r="P68" s="25">
        <f ca="1">ROUNDUP(P67/'Datos de Entrada (1)'!$F$23,0)*'Datos de Entrada (1)'!$F$23</f>
        <v>112</v>
      </c>
      <c r="Q68" s="25">
        <f ca="1">ROUNDUP(Q67/'Datos de Entrada (1)'!$F$23,0)*'Datos de Entrada (1)'!$F$23</f>
        <v>112</v>
      </c>
      <c r="R68" s="25">
        <f ca="1">ROUNDUP(R67/'Datos de Entrada (1)'!$F$23,0)*'Datos de Entrada (1)'!$F$23</f>
        <v>112</v>
      </c>
      <c r="S68" s="25">
        <f ca="1">ROUNDUP(S67/'Datos de Entrada (1)'!$F$23,0)*'Datos de Entrada (1)'!$F$23</f>
        <v>0</v>
      </c>
      <c r="T68" s="25">
        <f ca="1">ROUNDUP(T67/'Datos de Entrada (1)'!$F$23,0)*'Datos de Entrada (1)'!$F$23</f>
        <v>0</v>
      </c>
      <c r="U68" s="45">
        <f ca="1">ROUNDUP(U67/'Datos de Entrada (1)'!$F$23,0)*'Datos de Entrada (1)'!$F$23</f>
        <v>0</v>
      </c>
    </row>
    <row r="69" spans="1:21" x14ac:dyDescent="0.3">
      <c r="A69" s="73" t="s">
        <v>47</v>
      </c>
      <c r="B69" s="87">
        <f ca="1">ROUNDDOWN(B68*(1-('Datos de Entrada (1)'!$D$23/100)),0)</f>
        <v>0</v>
      </c>
      <c r="C69" s="25">
        <f ca="1">ROUNDDOWN(C68*(1-('Datos de Entrada (1)'!$D$23/100)),0)</f>
        <v>0</v>
      </c>
      <c r="D69" s="25">
        <f ca="1">ROUNDDOWN(D68*(1-('Datos de Entrada (1)'!$D$23/100)),0)</f>
        <v>0</v>
      </c>
      <c r="E69" s="25">
        <f ca="1">ROUNDDOWN(E68*(1-('Datos de Entrada (1)'!$D$23/100)),0)</f>
        <v>0</v>
      </c>
      <c r="F69" s="25">
        <f ca="1">ROUNDDOWN(F68*(1-('Datos de Entrada (1)'!$D$23/100)),0)</f>
        <v>0</v>
      </c>
      <c r="G69" s="25">
        <f ca="1">ROUNDDOWN(G68*(1-('Datos de Entrada (1)'!$D$23/100)),0)</f>
        <v>0</v>
      </c>
      <c r="H69" s="25">
        <f ca="1">ROUNDDOWN(H68*(1-('Datos de Entrada (1)'!$D$23/100)),0)</f>
        <v>0</v>
      </c>
      <c r="I69" s="25">
        <f ca="1">ROUNDDOWN(I68*(1-('Datos de Entrada (1)'!$D$23/100)),0)</f>
        <v>0</v>
      </c>
      <c r="J69" s="25">
        <f ca="1">ROUNDDOWN(J68*(1-('Datos de Entrada (1)'!$D$23/100)),0)</f>
        <v>0</v>
      </c>
      <c r="K69" s="25">
        <f ca="1">ROUNDDOWN(K68*(1-('Datos de Entrada (1)'!$D$23/100)),0)</f>
        <v>0</v>
      </c>
      <c r="L69" s="25">
        <f ca="1">ROUNDDOWN(L68*(1-('Datos de Entrada (1)'!$D$23/100)),0)</f>
        <v>0</v>
      </c>
      <c r="M69" s="25">
        <f ca="1">ROUNDDOWN(M68*(1-('Datos de Entrada (1)'!$D$23/100)),0)</f>
        <v>0</v>
      </c>
      <c r="N69" s="25">
        <f ca="1">ROUNDDOWN(N68*(1-('Datos de Entrada (1)'!$D$23/100)),0)</f>
        <v>0</v>
      </c>
      <c r="O69" s="25">
        <f ca="1">ROUNDDOWN(O68*(1-('Datos de Entrada (1)'!$D$23/100)),0)</f>
        <v>151</v>
      </c>
      <c r="P69" s="25">
        <f ca="1">ROUNDDOWN(P68*(1-('Datos de Entrada (1)'!$D$23/100)),0)</f>
        <v>100</v>
      </c>
      <c r="Q69" s="25">
        <f ca="1">ROUNDDOWN(Q68*(1-('Datos de Entrada (1)'!$D$23/100)),0)</f>
        <v>100</v>
      </c>
      <c r="R69" s="25">
        <f ca="1">ROUNDDOWN(R68*(1-('Datos de Entrada (1)'!$D$23/100)),0)</f>
        <v>100</v>
      </c>
      <c r="S69" s="25">
        <f ca="1">ROUNDDOWN(S68*(1-('Datos de Entrada (1)'!$D$23/100)),0)</f>
        <v>0</v>
      </c>
      <c r="T69" s="25">
        <f ca="1">ROUNDDOWN(T68*(1-('Datos de Entrada (1)'!$D$23/100)),0)</f>
        <v>0</v>
      </c>
      <c r="U69" s="45">
        <f ca="1">ROUNDDOWN(U68*(1-('Datos de Entrada (1)'!$D$23/100)),0)</f>
        <v>0</v>
      </c>
    </row>
    <row r="70" spans="1:21" ht="15" thickBot="1" x14ac:dyDescent="0.35">
      <c r="A70" s="72" t="s">
        <v>48</v>
      </c>
      <c r="B70" s="88">
        <f ca="1">OFFSET(B68,0,'Datos de Entrada (1)'!$C$23)</f>
        <v>0</v>
      </c>
      <c r="C70" s="46">
        <f ca="1">OFFSET(C68,0,'Datos de Entrada (1)'!$C$23)</f>
        <v>0</v>
      </c>
      <c r="D70" s="46">
        <f ca="1">OFFSET(D68,0,'Datos de Entrada (1)'!$C$23)</f>
        <v>0</v>
      </c>
      <c r="E70" s="46">
        <f ca="1">OFFSET(E68,0,'Datos de Entrada (1)'!$C$23)</f>
        <v>0</v>
      </c>
      <c r="F70" s="46">
        <f ca="1">OFFSET(F68,0,'Datos de Entrada (1)'!$C$23)</f>
        <v>0</v>
      </c>
      <c r="G70" s="46">
        <f ca="1">OFFSET(G68,0,'Datos de Entrada (1)'!$C$23)</f>
        <v>0</v>
      </c>
      <c r="H70" s="46">
        <f ca="1">OFFSET(H68,0,'Datos de Entrada (1)'!$C$23)</f>
        <v>0</v>
      </c>
      <c r="I70" s="46">
        <f ca="1">OFFSET(I68,0,'Datos de Entrada (1)'!$C$23)</f>
        <v>0</v>
      </c>
      <c r="J70" s="46">
        <f ca="1">OFFSET(J68,0,'Datos de Entrada (1)'!$C$23)</f>
        <v>0</v>
      </c>
      <c r="K70" s="46">
        <f ca="1">OFFSET(K68,0,'Datos de Entrada (1)'!$C$23)</f>
        <v>0</v>
      </c>
      <c r="L70" s="46">
        <f ca="1">OFFSET(L68,0,'Datos de Entrada (1)'!$C$23)</f>
        <v>0</v>
      </c>
      <c r="M70" s="46">
        <f ca="1">OFFSET(M68,0,'Datos de Entrada (1)'!$C$23)</f>
        <v>0</v>
      </c>
      <c r="N70" s="46">
        <f ca="1">OFFSET(N68,0,'Datos de Entrada (1)'!$C$23)</f>
        <v>168</v>
      </c>
      <c r="O70" s="46">
        <f ca="1">OFFSET(O68,0,'Datos de Entrada (1)'!$C$23)</f>
        <v>112</v>
      </c>
      <c r="P70" s="46">
        <f ca="1">OFFSET(P68,0,'Datos de Entrada (1)'!$C$23)</f>
        <v>112</v>
      </c>
      <c r="Q70" s="46">
        <f ca="1">OFFSET(Q68,0,'Datos de Entrada (1)'!$C$23)</f>
        <v>112</v>
      </c>
      <c r="R70" s="46">
        <f ca="1">OFFSET(R68,0,'Datos de Entrada (1)'!$C$23)</f>
        <v>0</v>
      </c>
      <c r="S70" s="46">
        <f ca="1">OFFSET(S68,0,'Datos de Entrada (1)'!$C$23)</f>
        <v>0</v>
      </c>
      <c r="T70" s="46">
        <f ca="1">OFFSET(T68,0,'Datos de Entrada (1)'!$C$23)</f>
        <v>0</v>
      </c>
      <c r="U70" s="47">
        <f ca="1">OFFSET(U68,0,'Datos de Entrada (1)'!$C$23)</f>
        <v>0</v>
      </c>
    </row>
    <row r="71" spans="1:21" ht="15" thickBot="1" x14ac:dyDescent="0.35"/>
    <row r="72" spans="1:21" ht="15" thickBot="1" x14ac:dyDescent="0.35">
      <c r="A72" s="79" t="s">
        <v>18</v>
      </c>
      <c r="B72" s="80">
        <v>1</v>
      </c>
      <c r="C72" s="81">
        <v>2</v>
      </c>
      <c r="D72" s="81">
        <v>3</v>
      </c>
      <c r="E72" s="81">
        <v>4</v>
      </c>
      <c r="F72" s="81">
        <v>5</v>
      </c>
      <c r="G72" s="81">
        <v>6</v>
      </c>
      <c r="H72" s="81">
        <v>7</v>
      </c>
      <c r="I72" s="81">
        <v>8</v>
      </c>
      <c r="J72" s="81">
        <v>9</v>
      </c>
      <c r="K72" s="81">
        <v>10</v>
      </c>
      <c r="L72" s="81">
        <v>11</v>
      </c>
      <c r="M72" s="81">
        <v>12</v>
      </c>
      <c r="N72" s="81">
        <v>13</v>
      </c>
      <c r="O72" s="81">
        <v>14</v>
      </c>
      <c r="P72" s="81">
        <v>15</v>
      </c>
      <c r="Q72" s="81">
        <v>16</v>
      </c>
      <c r="R72" s="81">
        <v>17</v>
      </c>
      <c r="S72" s="81">
        <v>18</v>
      </c>
      <c r="T72" s="81">
        <v>19</v>
      </c>
      <c r="U72" s="82">
        <v>20</v>
      </c>
    </row>
    <row r="73" spans="1:21" x14ac:dyDescent="0.3">
      <c r="A73" s="41" t="s">
        <v>42</v>
      </c>
      <c r="B73" s="89">
        <f ca="1">'Datos de Entrada (2)'!$L$21*'LANZ PP'!B34</f>
        <v>0</v>
      </c>
      <c r="C73" s="42">
        <f ca="1">'Datos de Entrada (2)'!$L$21*'LANZ PP'!C34</f>
        <v>0</v>
      </c>
      <c r="D73" s="42">
        <f ca="1">'Datos de Entrada (2)'!$L$21*'LANZ PP'!D34</f>
        <v>0</v>
      </c>
      <c r="E73" s="42">
        <f ca="1">'Datos de Entrada (2)'!$L$21*'LANZ PP'!E34</f>
        <v>0</v>
      </c>
      <c r="F73" s="42">
        <f ca="1">'Datos de Entrada (2)'!$L$21*'LANZ PP'!F34</f>
        <v>0</v>
      </c>
      <c r="G73" s="42">
        <f ca="1">'Datos de Entrada (2)'!$L$21*'LANZ PP'!G34</f>
        <v>0</v>
      </c>
      <c r="H73" s="42">
        <f ca="1">'Datos de Entrada (2)'!$L$21*'LANZ PP'!H34</f>
        <v>0</v>
      </c>
      <c r="I73" s="42">
        <f ca="1">'Datos de Entrada (2)'!$L$21*'LANZ PP'!I34</f>
        <v>0</v>
      </c>
      <c r="J73" s="42">
        <f ca="1">'Datos de Entrada (2)'!$L$21*'LANZ PP'!J34</f>
        <v>0</v>
      </c>
      <c r="K73" s="42">
        <f ca="1">'Datos de Entrada (2)'!$L$21*'LANZ PP'!K34</f>
        <v>0</v>
      </c>
      <c r="L73" s="42">
        <f ca="1">'Datos de Entrada (2)'!$L$21*'LANZ PP'!L34</f>
        <v>0</v>
      </c>
      <c r="M73" s="42">
        <f ca="1">'Datos de Entrada (2)'!$L$21*'LANZ PP'!M34</f>
        <v>0</v>
      </c>
      <c r="N73" s="42">
        <f ca="1">'Datos de Entrada (2)'!$L$21*'LANZ PP'!N34</f>
        <v>0</v>
      </c>
      <c r="O73" s="42">
        <f ca="1">'Datos de Entrada (2)'!$L$21*'LANZ PP'!O34</f>
        <v>0</v>
      </c>
      <c r="P73" s="42">
        <f ca="1">'Datos de Entrada (2)'!$L$21*'LANZ PP'!P34</f>
        <v>0</v>
      </c>
      <c r="Q73" s="42">
        <f ca="1">'Datos de Entrada (2)'!$L$21*'LANZ PP'!Q34</f>
        <v>180</v>
      </c>
      <c r="R73" s="42">
        <f ca="1">'Datos de Entrada (2)'!$L$21*'LANZ PP'!R34</f>
        <v>200</v>
      </c>
      <c r="S73" s="42">
        <f ca="1">'Datos de Entrada (2)'!$L$21*'LANZ PP'!S34</f>
        <v>200</v>
      </c>
      <c r="T73" s="42">
        <f ca="1">'Datos de Entrada (2)'!$L$21*'LANZ PP'!T34</f>
        <v>250</v>
      </c>
      <c r="U73" s="43">
        <f ca="1">'Datos de Entrada (2)'!$L$21*'LANZ PP'!U34</f>
        <v>0</v>
      </c>
    </row>
    <row r="74" spans="1:21" x14ac:dyDescent="0.3">
      <c r="A74" s="73" t="s">
        <v>43</v>
      </c>
      <c r="B74" s="44">
        <f>'Datos de Entrada (1)'!$E$24</f>
        <v>50</v>
      </c>
      <c r="C74" s="25">
        <f ca="1">B74+B78-B73</f>
        <v>50</v>
      </c>
      <c r="D74" s="25">
        <f t="shared" ref="D74:T74" ca="1" si="26">C74+C78-C73</f>
        <v>50</v>
      </c>
      <c r="E74" s="25">
        <f t="shared" ca="1" si="26"/>
        <v>50</v>
      </c>
      <c r="F74" s="25">
        <f t="shared" ca="1" si="26"/>
        <v>50</v>
      </c>
      <c r="G74" s="25">
        <f t="shared" ca="1" si="26"/>
        <v>50</v>
      </c>
      <c r="H74" s="25">
        <f t="shared" ca="1" si="26"/>
        <v>50</v>
      </c>
      <c r="I74" s="25">
        <f t="shared" ca="1" si="26"/>
        <v>50</v>
      </c>
      <c r="J74" s="25">
        <f t="shared" ca="1" si="26"/>
        <v>50</v>
      </c>
      <c r="K74" s="25">
        <f t="shared" ca="1" si="26"/>
        <v>50</v>
      </c>
      <c r="L74" s="25">
        <f t="shared" ca="1" si="26"/>
        <v>50</v>
      </c>
      <c r="M74" s="25">
        <f t="shared" ca="1" si="26"/>
        <v>50</v>
      </c>
      <c r="N74" s="25">
        <f t="shared" ca="1" si="26"/>
        <v>50</v>
      </c>
      <c r="O74" s="25">
        <f t="shared" ca="1" si="26"/>
        <v>50</v>
      </c>
      <c r="P74" s="25">
        <f t="shared" ca="1" si="26"/>
        <v>50</v>
      </c>
      <c r="Q74" s="25">
        <f t="shared" ca="1" si="26"/>
        <v>50</v>
      </c>
      <c r="R74" s="25">
        <f t="shared" ca="1" si="26"/>
        <v>107</v>
      </c>
      <c r="S74" s="25">
        <f t="shared" ca="1" si="26"/>
        <v>101</v>
      </c>
      <c r="T74" s="25">
        <f t="shared" ca="1" si="26"/>
        <v>106</v>
      </c>
      <c r="U74" s="45">
        <f ca="1">T74+T78-T73</f>
        <v>104</v>
      </c>
    </row>
    <row r="75" spans="1:21" x14ac:dyDescent="0.3">
      <c r="A75" s="73" t="s">
        <v>44</v>
      </c>
      <c r="B75" s="87">
        <f ca="1">IF(B73=0,0,MAX(0,B73+'Datos de Entrada (1)'!$B$24-'LANZ PP'!B74))</f>
        <v>0</v>
      </c>
      <c r="C75" s="25">
        <f ca="1">IF(C73=0,0,MAX(0,C73+'Datos de Entrada (1)'!$B$24-'LANZ PP'!C74))</f>
        <v>0</v>
      </c>
      <c r="D75" s="25">
        <f ca="1">IF(D73=0,0,MAX(0,D73+'Datos de Entrada (1)'!$B$24-'LANZ PP'!D74))</f>
        <v>0</v>
      </c>
      <c r="E75" s="25">
        <f ca="1">IF(E73=0,0,MAX(0,E73+'Datos de Entrada (1)'!$B$24-'LANZ PP'!E74))</f>
        <v>0</v>
      </c>
      <c r="F75" s="25">
        <f ca="1">IF(F73=0,0,MAX(0,F73+'Datos de Entrada (1)'!$B$24-'LANZ PP'!F74))</f>
        <v>0</v>
      </c>
      <c r="G75" s="25">
        <f ca="1">IF(G73=0,0,MAX(0,G73+'Datos de Entrada (1)'!$B$24-'LANZ PP'!G74))</f>
        <v>0</v>
      </c>
      <c r="H75" s="25">
        <f ca="1">IF(H73=0,0,MAX(0,H73+'Datos de Entrada (1)'!$B$24-'LANZ PP'!H74))</f>
        <v>0</v>
      </c>
      <c r="I75" s="25">
        <f ca="1">IF(I73=0,0,MAX(0,I73+'Datos de Entrada (1)'!$B$24-'LANZ PP'!I74))</f>
        <v>0</v>
      </c>
      <c r="J75" s="25">
        <f ca="1">IF(J73=0,0,MAX(0,J73+'Datos de Entrada (1)'!$B$24-'LANZ PP'!J74))</f>
        <v>0</v>
      </c>
      <c r="K75" s="25">
        <f ca="1">IF(K73=0,0,MAX(0,K73+'Datos de Entrada (1)'!$B$24-'LANZ PP'!K74))</f>
        <v>0</v>
      </c>
      <c r="L75" s="25">
        <f ca="1">IF(L73=0,0,MAX(0,L73+'Datos de Entrada (1)'!$B$24-'LANZ PP'!L74))</f>
        <v>0</v>
      </c>
      <c r="M75" s="25">
        <f ca="1">IF(M73=0,0,MAX(0,M73+'Datos de Entrada (1)'!$B$24-'LANZ PP'!M74))</f>
        <v>0</v>
      </c>
      <c r="N75" s="25">
        <f ca="1">IF(N73=0,0,MAX(0,N73+'Datos de Entrada (1)'!$B$24-'LANZ PP'!N74))</f>
        <v>0</v>
      </c>
      <c r="O75" s="25">
        <f ca="1">IF(O73=0,0,MAX(0,O73+'Datos de Entrada (1)'!$B$24-'LANZ PP'!O74))</f>
        <v>0</v>
      </c>
      <c r="P75" s="25">
        <f ca="1">IF(P73=0,0,MAX(0,P73+'Datos de Entrada (1)'!$B$24-'LANZ PP'!P74))</f>
        <v>0</v>
      </c>
      <c r="Q75" s="25">
        <f ca="1">IF(Q73=0,0,MAX(0,Q73+'Datos de Entrada (1)'!$B$24-'LANZ PP'!Q74))</f>
        <v>230</v>
      </c>
      <c r="R75" s="25">
        <f ca="1">IF(R73=0,0,MAX(0,R73+'Datos de Entrada (1)'!$B$24-'LANZ PP'!R74))</f>
        <v>193</v>
      </c>
      <c r="S75" s="25">
        <f ca="1">IF(S73=0,0,MAX(0,S73+'Datos de Entrada (1)'!$B$24-'LANZ PP'!S74))</f>
        <v>199</v>
      </c>
      <c r="T75" s="25">
        <f ca="1">IF(T73=0,0,MAX(0,T73+'Datos de Entrada (1)'!$B$24-'LANZ PP'!T74))</f>
        <v>244</v>
      </c>
      <c r="U75" s="45">
        <f ca="1">IF(U73=0,0,MAX(0,U73+'Datos de Entrada (1)'!$B$24-'LANZ PP'!U74))</f>
        <v>0</v>
      </c>
    </row>
    <row r="76" spans="1:21" x14ac:dyDescent="0.3">
      <c r="A76" s="73" t="s">
        <v>45</v>
      </c>
      <c r="B76" s="87">
        <f ca="1">ROUNDUP(B75/(1-('Datos de Entrada (1)'!$D$24/100)),0)</f>
        <v>0</v>
      </c>
      <c r="C76" s="25">
        <f ca="1">ROUNDUP(C75/(1-('Datos de Entrada (1)'!$D$24/100)),0)</f>
        <v>0</v>
      </c>
      <c r="D76" s="25">
        <f ca="1">ROUNDUP(D75/(1-('Datos de Entrada (1)'!$D$24/100)),0)</f>
        <v>0</v>
      </c>
      <c r="E76" s="25">
        <f ca="1">ROUNDUP(E75/(1-('Datos de Entrada (1)'!$D$24/100)),0)</f>
        <v>0</v>
      </c>
      <c r="F76" s="25">
        <f ca="1">ROUNDUP(F75/(1-('Datos de Entrada (1)'!$D$24/100)),0)</f>
        <v>0</v>
      </c>
      <c r="G76" s="25">
        <f ca="1">ROUNDUP(G75/(1-('Datos de Entrada (1)'!$D$24/100)),0)</f>
        <v>0</v>
      </c>
      <c r="H76" s="25">
        <f ca="1">ROUNDUP(H75/(1-('Datos de Entrada (1)'!$D$24/100)),0)</f>
        <v>0</v>
      </c>
      <c r="I76" s="25">
        <f ca="1">ROUNDUP(I75/(1-('Datos de Entrada (1)'!$D$24/100)),0)</f>
        <v>0</v>
      </c>
      <c r="J76" s="25">
        <f ca="1">ROUNDUP(J75/(1-('Datos de Entrada (1)'!$D$24/100)),0)</f>
        <v>0</v>
      </c>
      <c r="K76" s="25">
        <f ca="1">ROUNDUP(K75/(1-('Datos de Entrada (1)'!$D$24/100)),0)</f>
        <v>0</v>
      </c>
      <c r="L76" s="25">
        <f ca="1">ROUNDUP(L75/(1-('Datos de Entrada (1)'!$D$24/100)),0)</f>
        <v>0</v>
      </c>
      <c r="M76" s="25">
        <f ca="1">ROUNDUP(M75/(1-('Datos de Entrada (1)'!$D$24/100)),0)</f>
        <v>0</v>
      </c>
      <c r="N76" s="25">
        <f ca="1">ROUNDUP(N75/(1-('Datos de Entrada (1)'!$D$24/100)),0)</f>
        <v>0</v>
      </c>
      <c r="O76" s="25">
        <f ca="1">ROUNDUP(O75/(1-('Datos de Entrada (1)'!$D$24/100)),0)</f>
        <v>0</v>
      </c>
      <c r="P76" s="25">
        <f ca="1">ROUNDUP(P75/(1-('Datos de Entrada (1)'!$D$24/100)),0)</f>
        <v>0</v>
      </c>
      <c r="Q76" s="25">
        <f ca="1">ROUNDUP(Q75/(1-('Datos de Entrada (1)'!$D$24/100)),0)</f>
        <v>256</v>
      </c>
      <c r="R76" s="25">
        <f ca="1">ROUNDUP(R75/(1-('Datos de Entrada (1)'!$D$24/100)),0)</f>
        <v>215</v>
      </c>
      <c r="S76" s="25">
        <f ca="1">ROUNDUP(S75/(1-('Datos de Entrada (1)'!$D$24/100)),0)</f>
        <v>222</v>
      </c>
      <c r="T76" s="25">
        <f ca="1">ROUNDUP(T75/(1-('Datos de Entrada (1)'!$D$24/100)),0)</f>
        <v>272</v>
      </c>
      <c r="U76" s="45">
        <f ca="1">ROUNDUP(U75/(1-('Datos de Entrada (1)'!$D$24/100)),0)</f>
        <v>0</v>
      </c>
    </row>
    <row r="77" spans="1:21" x14ac:dyDescent="0.3">
      <c r="A77" s="73" t="s">
        <v>46</v>
      </c>
      <c r="B77" s="87">
        <f ca="1">ROUNDUP(B76/'Datos de Entrada (1)'!$F$24,0)*'Datos de Entrada (1)'!$F$24</f>
        <v>0</v>
      </c>
      <c r="C77" s="25">
        <f ca="1">ROUNDUP(C76/'Datos de Entrada (1)'!$F$24,0)*'Datos de Entrada (1)'!$F$24</f>
        <v>0</v>
      </c>
      <c r="D77" s="25">
        <f ca="1">ROUNDUP(D76/'Datos de Entrada (1)'!$F$24,0)*'Datos de Entrada (1)'!$F$24</f>
        <v>0</v>
      </c>
      <c r="E77" s="25">
        <f ca="1">ROUNDUP(E76/'Datos de Entrada (1)'!$F$24,0)*'Datos de Entrada (1)'!$F$24</f>
        <v>0</v>
      </c>
      <c r="F77" s="25">
        <f ca="1">ROUNDUP(F76/'Datos de Entrada (1)'!$F$24,0)*'Datos de Entrada (1)'!$F$24</f>
        <v>0</v>
      </c>
      <c r="G77" s="25">
        <f ca="1">ROUNDUP(G76/'Datos de Entrada (1)'!$F$24,0)*'Datos de Entrada (1)'!$F$24</f>
        <v>0</v>
      </c>
      <c r="H77" s="25">
        <f ca="1">ROUNDUP(H76/'Datos de Entrada (1)'!$F$24,0)*'Datos de Entrada (1)'!$F$24</f>
        <v>0</v>
      </c>
      <c r="I77" s="25">
        <f ca="1">ROUNDUP(I76/'Datos de Entrada (1)'!$F$24,0)*'Datos de Entrada (1)'!$F$24</f>
        <v>0</v>
      </c>
      <c r="J77" s="25">
        <f ca="1">ROUNDUP(J76/'Datos de Entrada (1)'!$F$24,0)*'Datos de Entrada (1)'!$F$24</f>
        <v>0</v>
      </c>
      <c r="K77" s="25">
        <f ca="1">ROUNDUP(K76/'Datos de Entrada (1)'!$F$24,0)*'Datos de Entrada (1)'!$F$24</f>
        <v>0</v>
      </c>
      <c r="L77" s="25">
        <f ca="1">ROUNDUP(L76/'Datos de Entrada (1)'!$F$24,0)*'Datos de Entrada (1)'!$F$24</f>
        <v>0</v>
      </c>
      <c r="M77" s="25">
        <f ca="1">ROUNDUP(M76/'Datos de Entrada (1)'!$F$24,0)*'Datos de Entrada (1)'!$F$24</f>
        <v>0</v>
      </c>
      <c r="N77" s="25">
        <f ca="1">ROUNDUP(N76/'Datos de Entrada (1)'!$F$24,0)*'Datos de Entrada (1)'!$F$24</f>
        <v>0</v>
      </c>
      <c r="O77" s="25">
        <f ca="1">ROUNDUP(O76/'Datos de Entrada (1)'!$F$24,0)*'Datos de Entrada (1)'!$F$24</f>
        <v>0</v>
      </c>
      <c r="P77" s="25">
        <f ca="1">ROUNDUP(P76/'Datos de Entrada (1)'!$F$24,0)*'Datos de Entrada (1)'!$F$24</f>
        <v>0</v>
      </c>
      <c r="Q77" s="25">
        <f ca="1">ROUNDUP(Q76/'Datos de Entrada (1)'!$F$24,0)*'Datos de Entrada (1)'!$F$24</f>
        <v>264</v>
      </c>
      <c r="R77" s="25">
        <f ca="1">ROUNDUP(R76/'Datos de Entrada (1)'!$F$24,0)*'Datos de Entrada (1)'!$F$24</f>
        <v>216</v>
      </c>
      <c r="S77" s="25">
        <f ca="1">ROUNDUP(S76/'Datos de Entrada (1)'!$F$24,0)*'Datos de Entrada (1)'!$F$24</f>
        <v>228</v>
      </c>
      <c r="T77" s="25">
        <f ca="1">ROUNDUP(T76/'Datos de Entrada (1)'!$F$24,0)*'Datos de Entrada (1)'!$F$24</f>
        <v>276</v>
      </c>
      <c r="U77" s="45">
        <f ca="1">ROUNDUP(U76/'Datos de Entrada (1)'!$F$24,0)*'Datos de Entrada (1)'!$F$24</f>
        <v>0</v>
      </c>
    </row>
    <row r="78" spans="1:21" x14ac:dyDescent="0.3">
      <c r="A78" s="73" t="s">
        <v>47</v>
      </c>
      <c r="B78" s="87">
        <f ca="1">ROUNDDOWN(B77*(1-('Datos de Entrada (1)'!$D$24/100)),0)</f>
        <v>0</v>
      </c>
      <c r="C78" s="25">
        <f ca="1">ROUNDDOWN(C77*(1-('Datos de Entrada (1)'!$D$24/100)),0)</f>
        <v>0</v>
      </c>
      <c r="D78" s="25">
        <f ca="1">ROUNDDOWN(D77*(1-('Datos de Entrada (1)'!$D$24/100)),0)</f>
        <v>0</v>
      </c>
      <c r="E78" s="25">
        <f ca="1">ROUNDDOWN(E77*(1-('Datos de Entrada (1)'!$D$24/100)),0)</f>
        <v>0</v>
      </c>
      <c r="F78" s="25">
        <f ca="1">ROUNDDOWN(F77*(1-('Datos de Entrada (1)'!$D$24/100)),0)</f>
        <v>0</v>
      </c>
      <c r="G78" s="25">
        <f ca="1">ROUNDDOWN(G77*(1-('Datos de Entrada (1)'!$D$24/100)),0)</f>
        <v>0</v>
      </c>
      <c r="H78" s="25">
        <f ca="1">ROUNDDOWN(H77*(1-('Datos de Entrada (1)'!$D$24/100)),0)</f>
        <v>0</v>
      </c>
      <c r="I78" s="25">
        <f ca="1">ROUNDDOWN(I77*(1-('Datos de Entrada (1)'!$D$24/100)),0)</f>
        <v>0</v>
      </c>
      <c r="J78" s="25">
        <f ca="1">ROUNDDOWN(J77*(1-('Datos de Entrada (1)'!$D$24/100)),0)</f>
        <v>0</v>
      </c>
      <c r="K78" s="25">
        <f ca="1">ROUNDDOWN(K77*(1-('Datos de Entrada (1)'!$D$24/100)),0)</f>
        <v>0</v>
      </c>
      <c r="L78" s="25">
        <f ca="1">ROUNDDOWN(L77*(1-('Datos de Entrada (1)'!$D$24/100)),0)</f>
        <v>0</v>
      </c>
      <c r="M78" s="25">
        <f ca="1">ROUNDDOWN(M77*(1-('Datos de Entrada (1)'!$D$24/100)),0)</f>
        <v>0</v>
      </c>
      <c r="N78" s="25">
        <f ca="1">ROUNDDOWN(N77*(1-('Datos de Entrada (1)'!$D$24/100)),0)</f>
        <v>0</v>
      </c>
      <c r="O78" s="25">
        <f ca="1">ROUNDDOWN(O77*(1-('Datos de Entrada (1)'!$D$24/100)),0)</f>
        <v>0</v>
      </c>
      <c r="P78" s="25">
        <f ca="1">ROUNDDOWN(P77*(1-('Datos de Entrada (1)'!$D$24/100)),0)</f>
        <v>0</v>
      </c>
      <c r="Q78" s="25">
        <f ca="1">ROUNDDOWN(Q77*(1-('Datos de Entrada (1)'!$D$24/100)),0)</f>
        <v>237</v>
      </c>
      <c r="R78" s="25">
        <f ca="1">ROUNDDOWN(R77*(1-('Datos de Entrada (1)'!$D$24/100)),0)</f>
        <v>194</v>
      </c>
      <c r="S78" s="25">
        <f ca="1">ROUNDDOWN(S77*(1-('Datos de Entrada (1)'!$D$24/100)),0)</f>
        <v>205</v>
      </c>
      <c r="T78" s="25">
        <f ca="1">ROUNDDOWN(T77*(1-('Datos de Entrada (1)'!$D$24/100)),0)</f>
        <v>248</v>
      </c>
      <c r="U78" s="45">
        <f ca="1">ROUNDDOWN(U77*(1-('Datos de Entrada (1)'!$D$24/100)),0)</f>
        <v>0</v>
      </c>
    </row>
    <row r="79" spans="1:21" ht="15" thickBot="1" x14ac:dyDescent="0.35">
      <c r="A79" s="72" t="s">
        <v>48</v>
      </c>
      <c r="B79" s="88">
        <f ca="1">OFFSET(B77,0,'Datos de Entrada (1)'!$C$24)</f>
        <v>0</v>
      </c>
      <c r="C79" s="46">
        <f ca="1">OFFSET(C77,0,'Datos de Entrada (1)'!$C$24)</f>
        <v>0</v>
      </c>
      <c r="D79" s="46">
        <f ca="1">OFFSET(D77,0,'Datos de Entrada (1)'!$C$24)</f>
        <v>0</v>
      </c>
      <c r="E79" s="46">
        <f ca="1">OFFSET(E77,0,'Datos de Entrada (1)'!$C$24)</f>
        <v>0</v>
      </c>
      <c r="F79" s="46">
        <f ca="1">OFFSET(F77,0,'Datos de Entrada (1)'!$C$24)</f>
        <v>0</v>
      </c>
      <c r="G79" s="46">
        <f ca="1">OFFSET(G77,0,'Datos de Entrada (1)'!$C$24)</f>
        <v>0</v>
      </c>
      <c r="H79" s="46">
        <f ca="1">OFFSET(H77,0,'Datos de Entrada (1)'!$C$24)</f>
        <v>0</v>
      </c>
      <c r="I79" s="46">
        <f ca="1">OFFSET(I77,0,'Datos de Entrada (1)'!$C$24)</f>
        <v>0</v>
      </c>
      <c r="J79" s="46">
        <f ca="1">OFFSET(J77,0,'Datos de Entrada (1)'!$C$24)</f>
        <v>0</v>
      </c>
      <c r="K79" s="46">
        <f ca="1">OFFSET(K77,0,'Datos de Entrada (1)'!$C$24)</f>
        <v>0</v>
      </c>
      <c r="L79" s="46">
        <f ca="1">OFFSET(L77,0,'Datos de Entrada (1)'!$C$24)</f>
        <v>0</v>
      </c>
      <c r="M79" s="46">
        <f ca="1">OFFSET(M77,0,'Datos de Entrada (1)'!$C$24)</f>
        <v>0</v>
      </c>
      <c r="N79" s="46">
        <f ca="1">OFFSET(N77,0,'Datos de Entrada (1)'!$C$24)</f>
        <v>0</v>
      </c>
      <c r="O79" s="46">
        <f ca="1">OFFSET(O77,0,'Datos de Entrada (1)'!$C$24)</f>
        <v>264</v>
      </c>
      <c r="P79" s="46">
        <f ca="1">OFFSET(P77,0,'Datos de Entrada (1)'!$C$24)</f>
        <v>216</v>
      </c>
      <c r="Q79" s="46">
        <f ca="1">OFFSET(Q77,0,'Datos de Entrada (1)'!$C$24)</f>
        <v>228</v>
      </c>
      <c r="R79" s="46">
        <f ca="1">OFFSET(R77,0,'Datos de Entrada (1)'!$C$24)</f>
        <v>276</v>
      </c>
      <c r="S79" s="46">
        <f ca="1">OFFSET(S77,0,'Datos de Entrada (1)'!$C$24)</f>
        <v>0</v>
      </c>
      <c r="T79" s="46">
        <f ca="1">OFFSET(T77,0,'Datos de Entrada (1)'!$C$24)</f>
        <v>0</v>
      </c>
      <c r="U79" s="47">
        <f ca="1">OFFSET(U77,0,'Datos de Entrada (1)'!$C$24)</f>
        <v>0</v>
      </c>
    </row>
    <row r="80" spans="1:21" ht="15" thickBot="1" x14ac:dyDescent="0.35"/>
    <row r="81" spans="1:21" ht="15" thickBot="1" x14ac:dyDescent="0.35">
      <c r="A81" s="79" t="s">
        <v>6</v>
      </c>
      <c r="B81" s="80">
        <v>1</v>
      </c>
      <c r="C81" s="81">
        <v>2</v>
      </c>
      <c r="D81" s="81">
        <v>3</v>
      </c>
      <c r="E81" s="81">
        <v>4</v>
      </c>
      <c r="F81" s="81">
        <v>5</v>
      </c>
      <c r="G81" s="81">
        <v>6</v>
      </c>
      <c r="H81" s="81">
        <v>7</v>
      </c>
      <c r="I81" s="81">
        <v>8</v>
      </c>
      <c r="J81" s="81">
        <v>9</v>
      </c>
      <c r="K81" s="81">
        <v>10</v>
      </c>
      <c r="L81" s="81">
        <v>11</v>
      </c>
      <c r="M81" s="81">
        <v>12</v>
      </c>
      <c r="N81" s="81">
        <v>13</v>
      </c>
      <c r="O81" s="81">
        <v>14</v>
      </c>
      <c r="P81" s="81">
        <v>15</v>
      </c>
      <c r="Q81" s="81">
        <v>16</v>
      </c>
      <c r="R81" s="81">
        <v>17</v>
      </c>
      <c r="S81" s="81">
        <v>18</v>
      </c>
      <c r="T81" s="81">
        <v>19</v>
      </c>
      <c r="U81" s="82">
        <v>20</v>
      </c>
    </row>
    <row r="82" spans="1:21" x14ac:dyDescent="0.3">
      <c r="A82" s="41" t="s">
        <v>42</v>
      </c>
      <c r="B82" s="89">
        <f ca="1">'Datos de Entrada (2)'!$K$8*'LANZ PP'!B25+'Datos de Entrada (2)'!$F$21*'LANZ PP'!B61</f>
        <v>0</v>
      </c>
      <c r="C82" s="42">
        <f ca="1">'Datos de Entrada (2)'!$K$8*'LANZ PP'!C25+'Datos de Entrada (2)'!$F$21*'LANZ PP'!C61</f>
        <v>0</v>
      </c>
      <c r="D82" s="42">
        <f ca="1">'Datos de Entrada (2)'!$K$8*'LANZ PP'!D25+'Datos de Entrada (2)'!$F$21*'LANZ PP'!D61</f>
        <v>0</v>
      </c>
      <c r="E82" s="42">
        <f ca="1">'Datos de Entrada (2)'!$K$8*'LANZ PP'!E25+'Datos de Entrada (2)'!$F$21*'LANZ PP'!E61</f>
        <v>0</v>
      </c>
      <c r="F82" s="42">
        <f ca="1">'Datos de Entrada (2)'!$K$8*'LANZ PP'!F25+'Datos de Entrada (2)'!$F$21*'LANZ PP'!F61</f>
        <v>0</v>
      </c>
      <c r="G82" s="42">
        <f ca="1">'Datos de Entrada (2)'!$K$8*'LANZ PP'!G25+'Datos de Entrada (2)'!$F$21*'LANZ PP'!G61</f>
        <v>0</v>
      </c>
      <c r="H82" s="42">
        <f ca="1">'Datos de Entrada (2)'!$K$8*'LANZ PP'!H25+'Datos de Entrada (2)'!$F$21*'LANZ PP'!H61</f>
        <v>0</v>
      </c>
      <c r="I82" s="42">
        <f ca="1">'Datos de Entrada (2)'!$K$8*'LANZ PP'!I25+'Datos de Entrada (2)'!$F$21*'LANZ PP'!I61</f>
        <v>0</v>
      </c>
      <c r="J82" s="42">
        <f ca="1">'Datos de Entrada (2)'!$K$8*'LANZ PP'!J25+'Datos de Entrada (2)'!$F$21*'LANZ PP'!J61</f>
        <v>0</v>
      </c>
      <c r="K82" s="42">
        <f ca="1">'Datos de Entrada (2)'!$K$8*'LANZ PP'!K25+'Datos de Entrada (2)'!$F$21*'LANZ PP'!K61</f>
        <v>0</v>
      </c>
      <c r="L82" s="42">
        <f ca="1">'Datos de Entrada (2)'!$K$8*'LANZ PP'!L25+'Datos de Entrada (2)'!$F$21*'LANZ PP'!L61</f>
        <v>0</v>
      </c>
      <c r="M82" s="42">
        <f ca="1">'Datos de Entrada (2)'!$K$8*'LANZ PP'!M25+'Datos de Entrada (2)'!$F$21*'LANZ PP'!M61</f>
        <v>0</v>
      </c>
      <c r="N82" s="42">
        <f ca="1">'Datos de Entrada (2)'!$K$8*'LANZ PP'!N25+'Datos de Entrada (2)'!$F$21*'LANZ PP'!N61</f>
        <v>0</v>
      </c>
      <c r="O82" s="42">
        <f ca="1">'Datos de Entrada (2)'!$K$8*'LANZ PP'!O25+'Datos de Entrada (2)'!$F$21*'LANZ PP'!O61</f>
        <v>0</v>
      </c>
      <c r="P82" s="42">
        <f ca="1">'Datos de Entrada (2)'!$K$8*'LANZ PP'!P25+'Datos de Entrada (2)'!$F$21*'LANZ PP'!P61</f>
        <v>450</v>
      </c>
      <c r="Q82" s="42">
        <f ca="1">'Datos de Entrada (2)'!$K$8*'LANZ PP'!Q25+'Datos de Entrada (2)'!$F$21*'LANZ PP'!Q61</f>
        <v>755</v>
      </c>
      <c r="R82" s="42">
        <f ca="1">'Datos de Entrada (2)'!$K$8*'LANZ PP'!R25+'Datos de Entrada (2)'!$F$21*'LANZ PP'!R61+'Datos de Entrada (1)'!B9</f>
        <v>755</v>
      </c>
      <c r="S82" s="42">
        <f ca="1">'Datos de Entrada (2)'!$K$8*'LANZ PP'!S25+'Datos de Entrada (2)'!$F$21*'LANZ PP'!S61+'Datos de Entrada (1)'!C9</f>
        <v>1100</v>
      </c>
      <c r="T82" s="42">
        <f ca="1">'Datos de Entrada (2)'!$K$8*'LANZ PP'!T25+'Datos de Entrada (2)'!$F$21*'LANZ PP'!T61+'Datos de Entrada (1)'!D9</f>
        <v>220</v>
      </c>
      <c r="U82" s="43">
        <f ca="1">'Datos de Entrada (2)'!$K$8*'LANZ PP'!U25+'Datos de Entrada (2)'!$F$21*'LANZ PP'!U61+'Datos de Entrada (1)'!E9</f>
        <v>0</v>
      </c>
    </row>
    <row r="83" spans="1:21" x14ac:dyDescent="0.3">
      <c r="A83" s="73" t="s">
        <v>43</v>
      </c>
      <c r="B83" s="44">
        <f>'Datos de Entrada (1)'!$E$25</f>
        <v>150</v>
      </c>
      <c r="C83" s="25">
        <f ca="1">B83+B87-B82</f>
        <v>150</v>
      </c>
      <c r="D83" s="25">
        <f t="shared" ref="D83:T83" ca="1" si="27">C83+C87-C82</f>
        <v>150</v>
      </c>
      <c r="E83" s="25">
        <f t="shared" ca="1" si="27"/>
        <v>150</v>
      </c>
      <c r="F83" s="25">
        <f t="shared" ca="1" si="27"/>
        <v>150</v>
      </c>
      <c r="G83" s="25">
        <f t="shared" ca="1" si="27"/>
        <v>150</v>
      </c>
      <c r="H83" s="25">
        <f t="shared" ca="1" si="27"/>
        <v>150</v>
      </c>
      <c r="I83" s="25">
        <f t="shared" ca="1" si="27"/>
        <v>150</v>
      </c>
      <c r="J83" s="25">
        <f t="shared" ca="1" si="27"/>
        <v>150</v>
      </c>
      <c r="K83" s="25">
        <f t="shared" ca="1" si="27"/>
        <v>150</v>
      </c>
      <c r="L83" s="25">
        <f t="shared" ca="1" si="27"/>
        <v>150</v>
      </c>
      <c r="M83" s="25">
        <f t="shared" ca="1" si="27"/>
        <v>150</v>
      </c>
      <c r="N83" s="25">
        <f t="shared" ca="1" si="27"/>
        <v>150</v>
      </c>
      <c r="O83" s="25">
        <f t="shared" ca="1" si="27"/>
        <v>150</v>
      </c>
      <c r="P83" s="25">
        <f t="shared" ca="1" si="27"/>
        <v>150</v>
      </c>
      <c r="Q83" s="25">
        <f t="shared" ca="1" si="27"/>
        <v>80</v>
      </c>
      <c r="R83" s="25">
        <f t="shared" ca="1" si="27"/>
        <v>85</v>
      </c>
      <c r="S83" s="25">
        <f t="shared" ca="1" si="27"/>
        <v>90</v>
      </c>
      <c r="T83" s="25">
        <f t="shared" ca="1" si="27"/>
        <v>130</v>
      </c>
      <c r="U83" s="45">
        <f ca="1">T83+T87-T82</f>
        <v>100</v>
      </c>
    </row>
    <row r="84" spans="1:21" x14ac:dyDescent="0.3">
      <c r="A84" s="73" t="s">
        <v>44</v>
      </c>
      <c r="B84" s="87">
        <f ca="1">IF(B82=0,0,MAX(0,B82+'Datos de Entrada (1)'!$B$25-'LANZ PP'!B83))</f>
        <v>0</v>
      </c>
      <c r="C84" s="25">
        <f ca="1">IF(C82=0,0,MAX(0,C82+'Datos de Entrada (1)'!$B$25-'LANZ PP'!C83))</f>
        <v>0</v>
      </c>
      <c r="D84" s="25">
        <f ca="1">IF(D82=0,0,MAX(0,D82+'Datos de Entrada (1)'!$B$25-'LANZ PP'!D83))</f>
        <v>0</v>
      </c>
      <c r="E84" s="25">
        <f ca="1">IF(E82=0,0,MAX(0,E82+'Datos de Entrada (1)'!$B$25-'LANZ PP'!E83))</f>
        <v>0</v>
      </c>
      <c r="F84" s="25">
        <f ca="1">IF(F82=0,0,MAX(0,F82+'Datos de Entrada (1)'!$B$25-'LANZ PP'!F83))</f>
        <v>0</v>
      </c>
      <c r="G84" s="25">
        <f ca="1">IF(G82=0,0,MAX(0,G82+'Datos de Entrada (1)'!$B$25-'LANZ PP'!G83))</f>
        <v>0</v>
      </c>
      <c r="H84" s="25">
        <f ca="1">IF(H82=0,0,MAX(0,H82+'Datos de Entrada (1)'!$B$25-'LANZ PP'!H83))</f>
        <v>0</v>
      </c>
      <c r="I84" s="25">
        <f ca="1">IF(I82=0,0,MAX(0,I82+'Datos de Entrada (1)'!$B$25-'LANZ PP'!I83))</f>
        <v>0</v>
      </c>
      <c r="J84" s="25">
        <f ca="1">IF(J82=0,0,MAX(0,J82+'Datos de Entrada (1)'!$B$25-'LANZ PP'!J83))</f>
        <v>0</v>
      </c>
      <c r="K84" s="25">
        <f ca="1">IF(K82=0,0,MAX(0,K82+'Datos de Entrada (1)'!$B$25-'LANZ PP'!K83))</f>
        <v>0</v>
      </c>
      <c r="L84" s="25">
        <f ca="1">IF(L82=0,0,MAX(0,L82+'Datos de Entrada (1)'!$B$25-'LANZ PP'!L83))</f>
        <v>0</v>
      </c>
      <c r="M84" s="25">
        <f ca="1">IF(M82=0,0,MAX(0,M82+'Datos de Entrada (1)'!$B$25-'LANZ PP'!M83))</f>
        <v>0</v>
      </c>
      <c r="N84" s="25">
        <f ca="1">IF(N82=0,0,MAX(0,N82+'Datos de Entrada (1)'!$B$25-'LANZ PP'!N83))</f>
        <v>0</v>
      </c>
      <c r="O84" s="25">
        <f ca="1">IF(O82=0,0,MAX(0,O82+'Datos de Entrada (1)'!$B$25-'LANZ PP'!O83))</f>
        <v>0</v>
      </c>
      <c r="P84" s="25">
        <f ca="1">IF(P82=0,0,MAX(0,P82+'Datos de Entrada (1)'!$B$25-'LANZ PP'!P83))</f>
        <v>350</v>
      </c>
      <c r="Q84" s="25">
        <f ca="1">IF(Q82=0,0,MAX(0,Q82+'Datos de Entrada (1)'!$B$25-'LANZ PP'!Q83))</f>
        <v>725</v>
      </c>
      <c r="R84" s="25">
        <f ca="1">IF(R82=0,0,MAX(0,R82+'Datos de Entrada (1)'!$B$25-'LANZ PP'!R83))</f>
        <v>720</v>
      </c>
      <c r="S84" s="25">
        <f ca="1">IF(S82=0,0,MAX(0,S82+'Datos de Entrada (1)'!$B$25-'LANZ PP'!S83))</f>
        <v>1060</v>
      </c>
      <c r="T84" s="25">
        <f ca="1">IF(T82=0,0,MAX(0,T82+'Datos de Entrada (1)'!$B$25-'LANZ PP'!T83))</f>
        <v>140</v>
      </c>
      <c r="U84" s="45">
        <f ca="1">IF(U82=0,0,MAX(0,U82+'Datos de Entrada (1)'!$B$25-'LANZ PP'!U83))</f>
        <v>0</v>
      </c>
    </row>
    <row r="85" spans="1:21" x14ac:dyDescent="0.3">
      <c r="A85" s="73" t="s">
        <v>45</v>
      </c>
      <c r="B85" s="87">
        <f ca="1">ROUNDUP(B84/(1-('Datos de Entrada (1)'!$D$25/100)),0)</f>
        <v>0</v>
      </c>
      <c r="C85" s="25">
        <f ca="1">ROUNDUP(C84/(1-('Datos de Entrada (1)'!$D$25/100)),0)</f>
        <v>0</v>
      </c>
      <c r="D85" s="25">
        <f ca="1">ROUNDUP(D84/(1-('Datos de Entrada (1)'!$D$25/100)),0)</f>
        <v>0</v>
      </c>
      <c r="E85" s="25">
        <f ca="1">ROUNDUP(E84/(1-('Datos de Entrada (1)'!$D$25/100)),0)</f>
        <v>0</v>
      </c>
      <c r="F85" s="25">
        <f ca="1">ROUNDUP(F84/(1-('Datos de Entrada (1)'!$D$25/100)),0)</f>
        <v>0</v>
      </c>
      <c r="G85" s="25">
        <f ca="1">ROUNDUP(G84/(1-('Datos de Entrada (1)'!$D$25/100)),0)</f>
        <v>0</v>
      </c>
      <c r="H85" s="25">
        <f ca="1">ROUNDUP(H84/(1-('Datos de Entrada (1)'!$D$25/100)),0)</f>
        <v>0</v>
      </c>
      <c r="I85" s="25">
        <f ca="1">ROUNDUP(I84/(1-('Datos de Entrada (1)'!$D$25/100)),0)</f>
        <v>0</v>
      </c>
      <c r="J85" s="25">
        <f ca="1">ROUNDUP(J84/(1-('Datos de Entrada (1)'!$D$25/100)),0)</f>
        <v>0</v>
      </c>
      <c r="K85" s="25">
        <f ca="1">ROUNDUP(K84/(1-('Datos de Entrada (1)'!$D$25/100)),0)</f>
        <v>0</v>
      </c>
      <c r="L85" s="25">
        <f ca="1">ROUNDUP(L84/(1-('Datos de Entrada (1)'!$D$25/100)),0)</f>
        <v>0</v>
      </c>
      <c r="M85" s="25">
        <f ca="1">ROUNDUP(M84/(1-('Datos de Entrada (1)'!$D$25/100)),0)</f>
        <v>0</v>
      </c>
      <c r="N85" s="25">
        <f ca="1">ROUNDUP(N84/(1-('Datos de Entrada (1)'!$D$25/100)),0)</f>
        <v>0</v>
      </c>
      <c r="O85" s="25">
        <f ca="1">ROUNDUP(O84/(1-('Datos de Entrada (1)'!$D$25/100)),0)</f>
        <v>0</v>
      </c>
      <c r="P85" s="25">
        <f ca="1">ROUNDUP(P84/(1-('Datos de Entrada (1)'!$D$25/100)),0)</f>
        <v>369</v>
      </c>
      <c r="Q85" s="25">
        <f ca="1">ROUNDUP(Q84/(1-('Datos de Entrada (1)'!$D$25/100)),0)</f>
        <v>764</v>
      </c>
      <c r="R85" s="25">
        <f ca="1">ROUNDUP(R84/(1-('Datos de Entrada (1)'!$D$25/100)),0)</f>
        <v>758</v>
      </c>
      <c r="S85" s="25">
        <f ca="1">ROUNDUP(S84/(1-('Datos de Entrada (1)'!$D$25/100)),0)</f>
        <v>1116</v>
      </c>
      <c r="T85" s="25">
        <f ca="1">ROUNDUP(T84/(1-('Datos de Entrada (1)'!$D$25/100)),0)</f>
        <v>148</v>
      </c>
      <c r="U85" s="45">
        <f ca="1">ROUNDUP(U84/(1-('Datos de Entrada (1)'!$D$25/100)),0)</f>
        <v>0</v>
      </c>
    </row>
    <row r="86" spans="1:21" x14ac:dyDescent="0.3">
      <c r="A86" s="73" t="s">
        <v>46</v>
      </c>
      <c r="B86" s="87">
        <f ca="1">ROUNDUP(B85/'Datos de Entrada (1)'!$F$25,0)*'Datos de Entrada (1)'!$F$25</f>
        <v>0</v>
      </c>
      <c r="C86" s="25">
        <f ca="1">ROUNDUP(C85/'Datos de Entrada (1)'!$F$25,0)*'Datos de Entrada (1)'!$F$25</f>
        <v>0</v>
      </c>
      <c r="D86" s="25">
        <f ca="1">ROUNDUP(D85/'Datos de Entrada (1)'!$F$25,0)*'Datos de Entrada (1)'!$F$25</f>
        <v>0</v>
      </c>
      <c r="E86" s="25">
        <f ca="1">ROUNDUP(E85/'Datos de Entrada (1)'!$F$25,0)*'Datos de Entrada (1)'!$F$25</f>
        <v>0</v>
      </c>
      <c r="F86" s="25">
        <f ca="1">ROUNDUP(F85/'Datos de Entrada (1)'!$F$25,0)*'Datos de Entrada (1)'!$F$25</f>
        <v>0</v>
      </c>
      <c r="G86" s="25">
        <f ca="1">ROUNDUP(G85/'Datos de Entrada (1)'!$F$25,0)*'Datos de Entrada (1)'!$F$25</f>
        <v>0</v>
      </c>
      <c r="H86" s="25">
        <f ca="1">ROUNDUP(H85/'Datos de Entrada (1)'!$F$25,0)*'Datos de Entrada (1)'!$F$25</f>
        <v>0</v>
      </c>
      <c r="I86" s="25">
        <f ca="1">ROUNDUP(I85/'Datos de Entrada (1)'!$F$25,0)*'Datos de Entrada (1)'!$F$25</f>
        <v>0</v>
      </c>
      <c r="J86" s="25">
        <f ca="1">ROUNDUP(J85/'Datos de Entrada (1)'!$F$25,0)*'Datos de Entrada (1)'!$F$25</f>
        <v>0</v>
      </c>
      <c r="K86" s="25">
        <f ca="1">ROUNDUP(K85/'Datos de Entrada (1)'!$F$25,0)*'Datos de Entrada (1)'!$F$25</f>
        <v>0</v>
      </c>
      <c r="L86" s="25">
        <f ca="1">ROUNDUP(L85/'Datos de Entrada (1)'!$F$25,0)*'Datos de Entrada (1)'!$F$25</f>
        <v>0</v>
      </c>
      <c r="M86" s="25">
        <f ca="1">ROUNDUP(M85/'Datos de Entrada (1)'!$F$25,0)*'Datos de Entrada (1)'!$F$25</f>
        <v>0</v>
      </c>
      <c r="N86" s="25">
        <f ca="1">ROUNDUP(N85/'Datos de Entrada (1)'!$F$25,0)*'Datos de Entrada (1)'!$F$25</f>
        <v>0</v>
      </c>
      <c r="O86" s="25">
        <f ca="1">ROUNDUP(O85/'Datos de Entrada (1)'!$F$25,0)*'Datos de Entrada (1)'!$F$25</f>
        <v>0</v>
      </c>
      <c r="P86" s="25">
        <f ca="1">ROUNDUP(P85/'Datos de Entrada (1)'!$F$25,0)*'Datos de Entrada (1)'!$F$25</f>
        <v>400</v>
      </c>
      <c r="Q86" s="25">
        <f ca="1">ROUNDUP(Q85/'Datos de Entrada (1)'!$F$25,0)*'Datos de Entrada (1)'!$F$25</f>
        <v>800</v>
      </c>
      <c r="R86" s="25">
        <f ca="1">ROUNDUP(R85/'Datos de Entrada (1)'!$F$25,0)*'Datos de Entrada (1)'!$F$25</f>
        <v>800</v>
      </c>
      <c r="S86" s="25">
        <f ca="1">ROUNDUP(S85/'Datos de Entrada (1)'!$F$25,0)*'Datos de Entrada (1)'!$F$25</f>
        <v>1200</v>
      </c>
      <c r="T86" s="25">
        <f ca="1">ROUNDUP(T85/'Datos de Entrada (1)'!$F$25,0)*'Datos de Entrada (1)'!$F$25</f>
        <v>200</v>
      </c>
      <c r="U86" s="45">
        <f ca="1">ROUNDUP(U85/'Datos de Entrada (1)'!$F$25,0)*'Datos de Entrada (1)'!$F$25</f>
        <v>0</v>
      </c>
    </row>
    <row r="87" spans="1:21" x14ac:dyDescent="0.3">
      <c r="A87" s="73" t="s">
        <v>47</v>
      </c>
      <c r="B87" s="87">
        <f ca="1">ROUNDDOWN(B86*(1-('Datos de Entrada (1)'!$D$25/100)),0)</f>
        <v>0</v>
      </c>
      <c r="C87" s="25">
        <f ca="1">ROUNDDOWN(C86*(1-('Datos de Entrada (1)'!$D$25/100)),0)</f>
        <v>0</v>
      </c>
      <c r="D87" s="25">
        <f ca="1">ROUNDDOWN(D86*(1-('Datos de Entrada (1)'!$D$25/100)),0)</f>
        <v>0</v>
      </c>
      <c r="E87" s="25">
        <f ca="1">ROUNDDOWN(E86*(1-('Datos de Entrada (1)'!$D$25/100)),0)</f>
        <v>0</v>
      </c>
      <c r="F87" s="25">
        <f ca="1">ROUNDDOWN(F86*(1-('Datos de Entrada (1)'!$D$25/100)),0)</f>
        <v>0</v>
      </c>
      <c r="G87" s="25">
        <f ca="1">ROUNDDOWN(G86*(1-('Datos de Entrada (1)'!$D$25/100)),0)</f>
        <v>0</v>
      </c>
      <c r="H87" s="25">
        <f ca="1">ROUNDDOWN(H86*(1-('Datos de Entrada (1)'!$D$25/100)),0)</f>
        <v>0</v>
      </c>
      <c r="I87" s="25">
        <f ca="1">ROUNDDOWN(I86*(1-('Datos de Entrada (1)'!$D$25/100)),0)</f>
        <v>0</v>
      </c>
      <c r="J87" s="25">
        <f ca="1">ROUNDDOWN(J86*(1-('Datos de Entrada (1)'!$D$25/100)),0)</f>
        <v>0</v>
      </c>
      <c r="K87" s="25">
        <f ca="1">ROUNDDOWN(K86*(1-('Datos de Entrada (1)'!$D$25/100)),0)</f>
        <v>0</v>
      </c>
      <c r="L87" s="25">
        <f ca="1">ROUNDDOWN(L86*(1-('Datos de Entrada (1)'!$D$25/100)),0)</f>
        <v>0</v>
      </c>
      <c r="M87" s="25">
        <f ca="1">ROUNDDOWN(M86*(1-('Datos de Entrada (1)'!$D$25/100)),0)</f>
        <v>0</v>
      </c>
      <c r="N87" s="25">
        <f ca="1">ROUNDDOWN(N86*(1-('Datos de Entrada (1)'!$D$25/100)),0)</f>
        <v>0</v>
      </c>
      <c r="O87" s="25">
        <f ca="1">ROUNDDOWN(O86*(1-('Datos de Entrada (1)'!$D$25/100)),0)</f>
        <v>0</v>
      </c>
      <c r="P87" s="25">
        <f ca="1">ROUNDDOWN(P86*(1-('Datos de Entrada (1)'!$D$25/100)),0)</f>
        <v>380</v>
      </c>
      <c r="Q87" s="25">
        <f ca="1">ROUNDDOWN(Q86*(1-('Datos de Entrada (1)'!$D$25/100)),0)</f>
        <v>760</v>
      </c>
      <c r="R87" s="25">
        <f ca="1">ROUNDDOWN(R86*(1-('Datos de Entrada (1)'!$D$25/100)),0)</f>
        <v>760</v>
      </c>
      <c r="S87" s="25">
        <f ca="1">ROUNDDOWN(S86*(1-('Datos de Entrada (1)'!$D$25/100)),0)</f>
        <v>1140</v>
      </c>
      <c r="T87" s="25">
        <f ca="1">ROUNDDOWN(T86*(1-('Datos de Entrada (1)'!$D$25/100)),0)</f>
        <v>190</v>
      </c>
      <c r="U87" s="45">
        <f ca="1">ROUNDDOWN(U86*(1-('Datos de Entrada (1)'!$D$25/100)),0)</f>
        <v>0</v>
      </c>
    </row>
    <row r="88" spans="1:21" ht="15" thickBot="1" x14ac:dyDescent="0.35">
      <c r="A88" s="72" t="s">
        <v>48</v>
      </c>
      <c r="B88" s="88">
        <f ca="1">OFFSET(B86,0,'Datos de Entrada (1)'!$C$25)</f>
        <v>0</v>
      </c>
      <c r="C88" s="46">
        <f ca="1">OFFSET(C86,0,'Datos de Entrada (1)'!$C$25)</f>
        <v>0</v>
      </c>
      <c r="D88" s="46">
        <f ca="1">OFFSET(D86,0,'Datos de Entrada (1)'!$C$25)</f>
        <v>0</v>
      </c>
      <c r="E88" s="46">
        <f ca="1">OFFSET(E86,0,'Datos de Entrada (1)'!$C$25)</f>
        <v>0</v>
      </c>
      <c r="F88" s="46">
        <f ca="1">OFFSET(F86,0,'Datos de Entrada (1)'!$C$25)</f>
        <v>0</v>
      </c>
      <c r="G88" s="46">
        <f ca="1">OFFSET(G86,0,'Datos de Entrada (1)'!$C$25)</f>
        <v>0</v>
      </c>
      <c r="H88" s="46">
        <f ca="1">OFFSET(H86,0,'Datos de Entrada (1)'!$C$25)</f>
        <v>0</v>
      </c>
      <c r="I88" s="46">
        <f ca="1">OFFSET(I86,0,'Datos de Entrada (1)'!$C$25)</f>
        <v>0</v>
      </c>
      <c r="J88" s="46">
        <f ca="1">OFFSET(J86,0,'Datos de Entrada (1)'!$C$25)</f>
        <v>0</v>
      </c>
      <c r="K88" s="46">
        <f ca="1">OFFSET(K86,0,'Datos de Entrada (1)'!$C$25)</f>
        <v>0</v>
      </c>
      <c r="L88" s="46">
        <f ca="1">OFFSET(L86,0,'Datos de Entrada (1)'!$C$25)</f>
        <v>0</v>
      </c>
      <c r="M88" s="46">
        <f ca="1">OFFSET(M86,0,'Datos de Entrada (1)'!$C$25)</f>
        <v>0</v>
      </c>
      <c r="N88" s="46">
        <f ca="1">OFFSET(N86,0,'Datos de Entrada (1)'!$C$25)</f>
        <v>0</v>
      </c>
      <c r="O88" s="46">
        <f ca="1">OFFSET(O86,0,'Datos de Entrada (1)'!$C$25)</f>
        <v>400</v>
      </c>
      <c r="P88" s="46">
        <f ca="1">OFFSET(P86,0,'Datos de Entrada (1)'!$C$25)</f>
        <v>800</v>
      </c>
      <c r="Q88" s="46">
        <f ca="1">OFFSET(Q86,0,'Datos de Entrada (1)'!$C$25)</f>
        <v>800</v>
      </c>
      <c r="R88" s="46">
        <f ca="1">OFFSET(R86,0,'Datos de Entrada (1)'!$C$25)</f>
        <v>1200</v>
      </c>
      <c r="S88" s="46">
        <f ca="1">OFFSET(S86,0,'Datos de Entrada (1)'!$C$25)</f>
        <v>200</v>
      </c>
      <c r="T88" s="46">
        <f ca="1">OFFSET(T86,0,'Datos de Entrada (1)'!$C$25)</f>
        <v>0</v>
      </c>
      <c r="U88" s="47">
        <f ca="1">OFFSET(U86,0,'Datos de Entrada (1)'!$C$25)</f>
        <v>0</v>
      </c>
    </row>
    <row r="89" spans="1:21" ht="15" thickBot="1" x14ac:dyDescent="0.35"/>
    <row r="90" spans="1:21" ht="15" thickBot="1" x14ac:dyDescent="0.35">
      <c r="A90" s="79" t="s">
        <v>34</v>
      </c>
      <c r="B90" s="80">
        <v>1</v>
      </c>
      <c r="C90" s="81">
        <v>2</v>
      </c>
      <c r="D90" s="81">
        <v>3</v>
      </c>
      <c r="E90" s="81">
        <v>4</v>
      </c>
      <c r="F90" s="81">
        <v>5</v>
      </c>
      <c r="G90" s="81">
        <v>6</v>
      </c>
      <c r="H90" s="81">
        <v>7</v>
      </c>
      <c r="I90" s="81">
        <v>8</v>
      </c>
      <c r="J90" s="81">
        <v>9</v>
      </c>
      <c r="K90" s="81">
        <v>10</v>
      </c>
      <c r="L90" s="81">
        <v>11</v>
      </c>
      <c r="M90" s="81">
        <v>12</v>
      </c>
      <c r="N90" s="81">
        <v>13</v>
      </c>
      <c r="O90" s="81">
        <v>14</v>
      </c>
      <c r="P90" s="81">
        <v>15</v>
      </c>
      <c r="Q90" s="81">
        <v>16</v>
      </c>
      <c r="R90" s="81">
        <v>17</v>
      </c>
      <c r="S90" s="81">
        <v>18</v>
      </c>
      <c r="T90" s="81">
        <v>19</v>
      </c>
      <c r="U90" s="82">
        <v>20</v>
      </c>
    </row>
    <row r="91" spans="1:21" x14ac:dyDescent="0.3">
      <c r="A91" s="41" t="s">
        <v>42</v>
      </c>
      <c r="B91" s="89">
        <f ca="1">'Datos de Entrada (2)'!$H$8*'LANZ PP'!B43+'Datos de Entrada (2)'!$I$21*'LANZ PP'!B61</f>
        <v>0</v>
      </c>
      <c r="C91" s="42">
        <f ca="1">'Datos de Entrada (2)'!$H$8*'LANZ PP'!C43+'Datos de Entrada (2)'!$I$21*'LANZ PP'!C61</f>
        <v>0</v>
      </c>
      <c r="D91" s="42">
        <f ca="1">'Datos de Entrada (2)'!$H$8*'LANZ PP'!D43+'Datos de Entrada (2)'!$I$21*'LANZ PP'!D61</f>
        <v>0</v>
      </c>
      <c r="E91" s="42">
        <f ca="1">'Datos de Entrada (2)'!$H$8*'LANZ PP'!E43+'Datos de Entrada (2)'!$I$21*'LANZ PP'!E61</f>
        <v>0</v>
      </c>
      <c r="F91" s="42">
        <f ca="1">'Datos de Entrada (2)'!$H$8*'LANZ PP'!F43+'Datos de Entrada (2)'!$I$21*'LANZ PP'!F61</f>
        <v>0</v>
      </c>
      <c r="G91" s="42">
        <f ca="1">'Datos de Entrada (2)'!$H$8*'LANZ PP'!G43+'Datos de Entrada (2)'!$I$21*'LANZ PP'!G61</f>
        <v>0</v>
      </c>
      <c r="H91" s="42">
        <f ca="1">'Datos de Entrada (2)'!$H$8*'LANZ PP'!H43+'Datos de Entrada (2)'!$I$21*'LANZ PP'!H61</f>
        <v>0</v>
      </c>
      <c r="I91" s="42">
        <f ca="1">'Datos de Entrada (2)'!$H$8*'LANZ PP'!I43+'Datos de Entrada (2)'!$I$21*'LANZ PP'!I61</f>
        <v>0</v>
      </c>
      <c r="J91" s="42">
        <f ca="1">'Datos de Entrada (2)'!$H$8*'LANZ PP'!J43+'Datos de Entrada (2)'!$I$21*'LANZ PP'!J61</f>
        <v>0</v>
      </c>
      <c r="K91" s="42">
        <f ca="1">'Datos de Entrada (2)'!$H$8*'LANZ PP'!K43+'Datos de Entrada (2)'!$I$21*'LANZ PP'!K61</f>
        <v>0</v>
      </c>
      <c r="L91" s="42">
        <f ca="1">'Datos de Entrada (2)'!$H$8*'LANZ PP'!L43+'Datos de Entrada (2)'!$I$21*'LANZ PP'!L61</f>
        <v>0</v>
      </c>
      <c r="M91" s="42">
        <f ca="1">'Datos de Entrada (2)'!$H$8*'LANZ PP'!M43+'Datos de Entrada (2)'!$I$21*'LANZ PP'!M61</f>
        <v>0</v>
      </c>
      <c r="N91" s="42">
        <f ca="1">'Datos de Entrada (2)'!$H$8*'LANZ PP'!N43+'Datos de Entrada (2)'!$I$21*'LANZ PP'!N61</f>
        <v>0</v>
      </c>
      <c r="O91" s="42">
        <f ca="1">'Datos de Entrada (2)'!$H$8*'LANZ PP'!O43+'Datos de Entrada (2)'!$I$21*'LANZ PP'!O61</f>
        <v>200</v>
      </c>
      <c r="P91" s="42">
        <f ca="1">'Datos de Entrada (2)'!$H$8*'LANZ PP'!P43+'Datos de Entrada (2)'!$I$21*'LANZ PP'!P61</f>
        <v>500</v>
      </c>
      <c r="Q91" s="42">
        <f ca="1">'Datos de Entrada (2)'!$H$8*'LANZ PP'!Q43+'Datos de Entrada (2)'!$I$21*'LANZ PP'!Q61</f>
        <v>650</v>
      </c>
      <c r="R91" s="42">
        <f ca="1">'Datos de Entrada (2)'!$H$8*'LANZ PP'!R43+'Datos de Entrada (2)'!$I$21*'LANZ PP'!R61</f>
        <v>650</v>
      </c>
      <c r="S91" s="42">
        <f ca="1">'Datos de Entrada (2)'!$H$8*'LANZ PP'!S43+'Datos de Entrada (2)'!$I$21*'LANZ PP'!S61</f>
        <v>600</v>
      </c>
      <c r="T91" s="42">
        <f ca="1">'Datos de Entrada (2)'!$H$8*'LANZ PP'!T43+'Datos de Entrada (2)'!$I$21*'LANZ PP'!T61</f>
        <v>0</v>
      </c>
      <c r="U91" s="43">
        <f ca="1">'Datos de Entrada (2)'!$H$8*'LANZ PP'!U43+'Datos de Entrada (2)'!$I$21*'LANZ PP'!U61</f>
        <v>0</v>
      </c>
    </row>
    <row r="92" spans="1:21" x14ac:dyDescent="0.3">
      <c r="A92" s="73" t="s">
        <v>43</v>
      </c>
      <c r="B92" s="44">
        <f>'Datos de Entrada (1)'!$E$26</f>
        <v>100</v>
      </c>
      <c r="C92" s="25">
        <f ca="1">B92+B96-B91</f>
        <v>100</v>
      </c>
      <c r="D92" s="25">
        <f t="shared" ref="D92:T92" ca="1" si="28">C92+C96-C91</f>
        <v>100</v>
      </c>
      <c r="E92" s="25">
        <f t="shared" ca="1" si="28"/>
        <v>100</v>
      </c>
      <c r="F92" s="25">
        <f t="shared" ca="1" si="28"/>
        <v>100</v>
      </c>
      <c r="G92" s="25">
        <f t="shared" ca="1" si="28"/>
        <v>100</v>
      </c>
      <c r="H92" s="25">
        <f t="shared" ca="1" si="28"/>
        <v>100</v>
      </c>
      <c r="I92" s="25">
        <f t="shared" ca="1" si="28"/>
        <v>100</v>
      </c>
      <c r="J92" s="25">
        <f t="shared" ca="1" si="28"/>
        <v>100</v>
      </c>
      <c r="K92" s="25">
        <f t="shared" ca="1" si="28"/>
        <v>100</v>
      </c>
      <c r="L92" s="25">
        <f t="shared" ca="1" si="28"/>
        <v>100</v>
      </c>
      <c r="M92" s="25">
        <f t="shared" ca="1" si="28"/>
        <v>100</v>
      </c>
      <c r="N92" s="25">
        <f t="shared" ca="1" si="28"/>
        <v>100</v>
      </c>
      <c r="O92" s="25">
        <f t="shared" ca="1" si="28"/>
        <v>100</v>
      </c>
      <c r="P92" s="25">
        <f t="shared" ca="1" si="28"/>
        <v>91</v>
      </c>
      <c r="Q92" s="25">
        <f t="shared" ca="1" si="28"/>
        <v>101</v>
      </c>
      <c r="R92" s="25">
        <f t="shared" ca="1" si="28"/>
        <v>88</v>
      </c>
      <c r="S92" s="25">
        <f t="shared" ca="1" si="28"/>
        <v>75</v>
      </c>
      <c r="T92" s="25">
        <f t="shared" ca="1" si="28"/>
        <v>112</v>
      </c>
      <c r="U92" s="45">
        <f ca="1">T92+T96-T91</f>
        <v>112</v>
      </c>
    </row>
    <row r="93" spans="1:21" x14ac:dyDescent="0.3">
      <c r="A93" s="73" t="s">
        <v>44</v>
      </c>
      <c r="B93" s="87">
        <f ca="1">IF(B91=0,0,MAX(0,B91+'Datos de Entrada (1)'!$B$26-'LANZ PP'!B92))</f>
        <v>0</v>
      </c>
      <c r="C93" s="25">
        <f ca="1">IF(C91=0,0,MAX(0,C91+'Datos de Entrada (1)'!$B$26-'LANZ PP'!C92))</f>
        <v>0</v>
      </c>
      <c r="D93" s="25">
        <f ca="1">IF(D91=0,0,MAX(0,D91+'Datos de Entrada (1)'!$B$26-'LANZ PP'!D92))</f>
        <v>0</v>
      </c>
      <c r="E93" s="25">
        <f ca="1">IF(E91=0,0,MAX(0,E91+'Datos de Entrada (1)'!$B$26-'LANZ PP'!E92))</f>
        <v>0</v>
      </c>
      <c r="F93" s="25">
        <f ca="1">IF(F91=0,0,MAX(0,F91+'Datos de Entrada (1)'!$B$26-'LANZ PP'!F92))</f>
        <v>0</v>
      </c>
      <c r="G93" s="25">
        <f ca="1">IF(G91=0,0,MAX(0,G91+'Datos de Entrada (1)'!$B$26-'LANZ PP'!G92))</f>
        <v>0</v>
      </c>
      <c r="H93" s="25">
        <f ca="1">IF(H91=0,0,MAX(0,H91+'Datos de Entrada (1)'!$B$26-'LANZ PP'!H92))</f>
        <v>0</v>
      </c>
      <c r="I93" s="25">
        <f ca="1">IF(I91=0,0,MAX(0,I91+'Datos de Entrada (1)'!$B$26-'LANZ PP'!I92))</f>
        <v>0</v>
      </c>
      <c r="J93" s="25">
        <f ca="1">IF(J91=0,0,MAX(0,J91+'Datos de Entrada (1)'!$B$26-'LANZ PP'!J92))</f>
        <v>0</v>
      </c>
      <c r="K93" s="25">
        <f ca="1">IF(K91=0,0,MAX(0,K91+'Datos de Entrada (1)'!$B$26-'LANZ PP'!K92))</f>
        <v>0</v>
      </c>
      <c r="L93" s="25">
        <f ca="1">IF(L91=0,0,MAX(0,L91+'Datos de Entrada (1)'!$B$26-'LANZ PP'!L92))</f>
        <v>0</v>
      </c>
      <c r="M93" s="25">
        <f ca="1">IF(M91=0,0,MAX(0,M91+'Datos de Entrada (1)'!$B$26-'LANZ PP'!M92))</f>
        <v>0</v>
      </c>
      <c r="N93" s="25">
        <f ca="1">IF(N91=0,0,MAX(0,N91+'Datos de Entrada (1)'!$B$26-'LANZ PP'!N92))</f>
        <v>0</v>
      </c>
      <c r="O93" s="25">
        <f ca="1">IF(O91=0,0,MAX(0,O91+'Datos de Entrada (1)'!$B$26-'LANZ PP'!O92))</f>
        <v>175</v>
      </c>
      <c r="P93" s="25">
        <f ca="1">IF(P91=0,0,MAX(0,P91+'Datos de Entrada (1)'!$B$26-'LANZ PP'!P92))</f>
        <v>484</v>
      </c>
      <c r="Q93" s="25">
        <f ca="1">IF(Q91=0,0,MAX(0,Q91+'Datos de Entrada (1)'!$B$26-'LANZ PP'!Q92))</f>
        <v>624</v>
      </c>
      <c r="R93" s="25">
        <f ca="1">IF(R91=0,0,MAX(0,R91+'Datos de Entrada (1)'!$B$26-'LANZ PP'!R92))</f>
        <v>637</v>
      </c>
      <c r="S93" s="25">
        <f ca="1">IF(S91=0,0,MAX(0,S91+'Datos de Entrada (1)'!$B$26-'LANZ PP'!S92))</f>
        <v>600</v>
      </c>
      <c r="T93" s="25">
        <f ca="1">IF(T91=0,0,MAX(0,T91+'Datos de Entrada (1)'!$B$26-'LANZ PP'!T92))</f>
        <v>0</v>
      </c>
      <c r="U93" s="45">
        <f ca="1">IF(U91=0,0,MAX(0,U91+'Datos de Entrada (1)'!$B$26-'LANZ PP'!U92))</f>
        <v>0</v>
      </c>
    </row>
    <row r="94" spans="1:21" x14ac:dyDescent="0.3">
      <c r="A94" s="73" t="s">
        <v>45</v>
      </c>
      <c r="B94" s="87">
        <f ca="1">ROUNDUP(B93/(1-('Datos de Entrada (1)'!$D$26/100)),0)</f>
        <v>0</v>
      </c>
      <c r="C94" s="25">
        <f ca="1">ROUNDUP(C93/(1-('Datos de Entrada (1)'!$D$26/100)),0)</f>
        <v>0</v>
      </c>
      <c r="D94" s="25">
        <f ca="1">ROUNDUP(D93/(1-('Datos de Entrada (1)'!$D$26/100)),0)</f>
        <v>0</v>
      </c>
      <c r="E94" s="25">
        <f ca="1">ROUNDUP(E93/(1-('Datos de Entrada (1)'!$D$26/100)),0)</f>
        <v>0</v>
      </c>
      <c r="F94" s="25">
        <f ca="1">ROUNDUP(F93/(1-('Datos de Entrada (1)'!$D$26/100)),0)</f>
        <v>0</v>
      </c>
      <c r="G94" s="25">
        <f ca="1">ROUNDUP(G93/(1-('Datos de Entrada (1)'!$D$26/100)),0)</f>
        <v>0</v>
      </c>
      <c r="H94" s="25">
        <f ca="1">ROUNDUP(H93/(1-('Datos de Entrada (1)'!$D$26/100)),0)</f>
        <v>0</v>
      </c>
      <c r="I94" s="25">
        <f ca="1">ROUNDUP(I93/(1-('Datos de Entrada (1)'!$D$26/100)),0)</f>
        <v>0</v>
      </c>
      <c r="J94" s="25">
        <f ca="1">ROUNDUP(J93/(1-('Datos de Entrada (1)'!$D$26/100)),0)</f>
        <v>0</v>
      </c>
      <c r="K94" s="25">
        <f ca="1">ROUNDUP(K93/(1-('Datos de Entrada (1)'!$D$26/100)),0)</f>
        <v>0</v>
      </c>
      <c r="L94" s="25">
        <f ca="1">ROUNDUP(L93/(1-('Datos de Entrada (1)'!$D$26/100)),0)</f>
        <v>0</v>
      </c>
      <c r="M94" s="25">
        <f ca="1">ROUNDUP(M93/(1-('Datos de Entrada (1)'!$D$26/100)),0)</f>
        <v>0</v>
      </c>
      <c r="N94" s="25">
        <f ca="1">ROUNDUP(N93/(1-('Datos de Entrada (1)'!$D$26/100)),0)</f>
        <v>0</v>
      </c>
      <c r="O94" s="25">
        <f ca="1">ROUNDUP(O93/(1-('Datos de Entrada (1)'!$D$26/100)),0)</f>
        <v>206</v>
      </c>
      <c r="P94" s="25">
        <f ca="1">ROUNDUP(P93/(1-('Datos de Entrada (1)'!$D$26/100)),0)</f>
        <v>570</v>
      </c>
      <c r="Q94" s="25">
        <f ca="1">ROUNDUP(Q93/(1-('Datos de Entrada (1)'!$D$26/100)),0)</f>
        <v>735</v>
      </c>
      <c r="R94" s="25">
        <f ca="1">ROUNDUP(R93/(1-('Datos de Entrada (1)'!$D$26/100)),0)</f>
        <v>750</v>
      </c>
      <c r="S94" s="25">
        <f ca="1">ROUNDUP(S93/(1-('Datos de Entrada (1)'!$D$26/100)),0)</f>
        <v>706</v>
      </c>
      <c r="T94" s="25">
        <f ca="1">ROUNDUP(T93/(1-('Datos de Entrada (1)'!$D$26/100)),0)</f>
        <v>0</v>
      </c>
      <c r="U94" s="45">
        <f ca="1">ROUNDUP(U93/(1-('Datos de Entrada (1)'!$D$26/100)),0)</f>
        <v>0</v>
      </c>
    </row>
    <row r="95" spans="1:21" x14ac:dyDescent="0.3">
      <c r="A95" s="73" t="s">
        <v>46</v>
      </c>
      <c r="B95" s="87">
        <f ca="1">ROUNDUP(B94/'Datos de Entrada (1)'!$F$26,0)*'Datos de Entrada (1)'!$F$26</f>
        <v>0</v>
      </c>
      <c r="C95" s="25">
        <f ca="1">ROUNDUP(C94/'Datos de Entrada (1)'!$F$26,0)*'Datos de Entrada (1)'!$F$26</f>
        <v>0</v>
      </c>
      <c r="D95" s="25">
        <f ca="1">ROUNDUP(D94/'Datos de Entrada (1)'!$F$26,0)*'Datos de Entrada (1)'!$F$26</f>
        <v>0</v>
      </c>
      <c r="E95" s="25">
        <f ca="1">ROUNDUP(E94/'Datos de Entrada (1)'!$F$26,0)*'Datos de Entrada (1)'!$F$26</f>
        <v>0</v>
      </c>
      <c r="F95" s="25">
        <f ca="1">ROUNDUP(F94/'Datos de Entrada (1)'!$F$26,0)*'Datos de Entrada (1)'!$F$26</f>
        <v>0</v>
      </c>
      <c r="G95" s="25">
        <f ca="1">ROUNDUP(G94/'Datos de Entrada (1)'!$F$26,0)*'Datos de Entrada (1)'!$F$26</f>
        <v>0</v>
      </c>
      <c r="H95" s="25">
        <f ca="1">ROUNDUP(H94/'Datos de Entrada (1)'!$F$26,0)*'Datos de Entrada (1)'!$F$26</f>
        <v>0</v>
      </c>
      <c r="I95" s="25">
        <f ca="1">ROUNDUP(I94/'Datos de Entrada (1)'!$F$26,0)*'Datos de Entrada (1)'!$F$26</f>
        <v>0</v>
      </c>
      <c r="J95" s="25">
        <f ca="1">ROUNDUP(J94/'Datos de Entrada (1)'!$F$26,0)*'Datos de Entrada (1)'!$F$26</f>
        <v>0</v>
      </c>
      <c r="K95" s="25">
        <f ca="1">ROUNDUP(K94/'Datos de Entrada (1)'!$F$26,0)*'Datos de Entrada (1)'!$F$26</f>
        <v>0</v>
      </c>
      <c r="L95" s="25">
        <f ca="1">ROUNDUP(L94/'Datos de Entrada (1)'!$F$26,0)*'Datos de Entrada (1)'!$F$26</f>
        <v>0</v>
      </c>
      <c r="M95" s="25">
        <f ca="1">ROUNDUP(M94/'Datos de Entrada (1)'!$F$26,0)*'Datos de Entrada (1)'!$F$26</f>
        <v>0</v>
      </c>
      <c r="N95" s="25">
        <f ca="1">ROUNDUP(N94/'Datos de Entrada (1)'!$F$26,0)*'Datos de Entrada (1)'!$F$26</f>
        <v>0</v>
      </c>
      <c r="O95" s="25">
        <f ca="1">ROUNDUP(O94/'Datos de Entrada (1)'!$F$26,0)*'Datos de Entrada (1)'!$F$26</f>
        <v>225</v>
      </c>
      <c r="P95" s="25">
        <f ca="1">ROUNDUP(P94/'Datos de Entrada (1)'!$F$26,0)*'Datos de Entrada (1)'!$F$26</f>
        <v>600</v>
      </c>
      <c r="Q95" s="25">
        <f ca="1">ROUNDUP(Q94/'Datos de Entrada (1)'!$F$26,0)*'Datos de Entrada (1)'!$F$26</f>
        <v>750</v>
      </c>
      <c r="R95" s="25">
        <f ca="1">ROUNDUP(R94/'Datos de Entrada (1)'!$F$26,0)*'Datos de Entrada (1)'!$F$26</f>
        <v>750</v>
      </c>
      <c r="S95" s="25">
        <f ca="1">ROUNDUP(S94/'Datos de Entrada (1)'!$F$26,0)*'Datos de Entrada (1)'!$F$26</f>
        <v>750</v>
      </c>
      <c r="T95" s="25">
        <f ca="1">ROUNDUP(T94/'Datos de Entrada (1)'!$F$26,0)*'Datos de Entrada (1)'!$F$26</f>
        <v>0</v>
      </c>
      <c r="U95" s="45">
        <f ca="1">ROUNDUP(U94/'Datos de Entrada (1)'!$F$26,0)*'Datos de Entrada (1)'!$F$26</f>
        <v>0</v>
      </c>
    </row>
    <row r="96" spans="1:21" x14ac:dyDescent="0.3">
      <c r="A96" s="73" t="s">
        <v>47</v>
      </c>
      <c r="B96" s="87">
        <f ca="1">ROUNDDOWN(B95*(1-('Datos de Entrada (1)'!$D$26/100)),0)</f>
        <v>0</v>
      </c>
      <c r="C96" s="25">
        <f ca="1">ROUNDDOWN(C95*(1-('Datos de Entrada (1)'!$D$26/100)),0)</f>
        <v>0</v>
      </c>
      <c r="D96" s="25">
        <f ca="1">ROUNDDOWN(D95*(1-('Datos de Entrada (1)'!$D$26/100)),0)</f>
        <v>0</v>
      </c>
      <c r="E96" s="25">
        <f ca="1">ROUNDDOWN(E95*(1-('Datos de Entrada (1)'!$D$26/100)),0)</f>
        <v>0</v>
      </c>
      <c r="F96" s="25">
        <f ca="1">ROUNDDOWN(F95*(1-('Datos de Entrada (1)'!$D$26/100)),0)</f>
        <v>0</v>
      </c>
      <c r="G96" s="25">
        <f ca="1">ROUNDDOWN(G95*(1-('Datos de Entrada (1)'!$D$26/100)),0)</f>
        <v>0</v>
      </c>
      <c r="H96" s="25">
        <f ca="1">ROUNDDOWN(H95*(1-('Datos de Entrada (1)'!$D$26/100)),0)</f>
        <v>0</v>
      </c>
      <c r="I96" s="25">
        <f ca="1">ROUNDDOWN(I95*(1-('Datos de Entrada (1)'!$D$26/100)),0)</f>
        <v>0</v>
      </c>
      <c r="J96" s="25">
        <f ca="1">ROUNDDOWN(J95*(1-('Datos de Entrada (1)'!$D$26/100)),0)</f>
        <v>0</v>
      </c>
      <c r="K96" s="25">
        <f ca="1">ROUNDDOWN(K95*(1-('Datos de Entrada (1)'!$D$26/100)),0)</f>
        <v>0</v>
      </c>
      <c r="L96" s="25">
        <f ca="1">ROUNDDOWN(L95*(1-('Datos de Entrada (1)'!$D$26/100)),0)</f>
        <v>0</v>
      </c>
      <c r="M96" s="25">
        <f ca="1">ROUNDDOWN(M95*(1-('Datos de Entrada (1)'!$D$26/100)),0)</f>
        <v>0</v>
      </c>
      <c r="N96" s="25">
        <f ca="1">ROUNDDOWN(N95*(1-('Datos de Entrada (1)'!$D$26/100)),0)</f>
        <v>0</v>
      </c>
      <c r="O96" s="25">
        <f ca="1">ROUNDDOWN(O95*(1-('Datos de Entrada (1)'!$D$26/100)),0)</f>
        <v>191</v>
      </c>
      <c r="P96" s="25">
        <f ca="1">ROUNDDOWN(P95*(1-('Datos de Entrada (1)'!$D$26/100)),0)</f>
        <v>510</v>
      </c>
      <c r="Q96" s="25">
        <f ca="1">ROUNDDOWN(Q95*(1-('Datos de Entrada (1)'!$D$26/100)),0)</f>
        <v>637</v>
      </c>
      <c r="R96" s="25">
        <f ca="1">ROUNDDOWN(R95*(1-('Datos de Entrada (1)'!$D$26/100)),0)</f>
        <v>637</v>
      </c>
      <c r="S96" s="25">
        <f ca="1">ROUNDDOWN(S95*(1-('Datos de Entrada (1)'!$D$26/100)),0)</f>
        <v>637</v>
      </c>
      <c r="T96" s="25">
        <f ca="1">ROUNDDOWN(T95*(1-('Datos de Entrada (1)'!$D$26/100)),0)</f>
        <v>0</v>
      </c>
      <c r="U96" s="45">
        <f ca="1">ROUNDDOWN(U95*(1-('Datos de Entrada (1)'!$D$26/100)),0)</f>
        <v>0</v>
      </c>
    </row>
    <row r="97" spans="1:21" ht="15" thickBot="1" x14ac:dyDescent="0.35">
      <c r="A97" s="72" t="s">
        <v>48</v>
      </c>
      <c r="B97" s="88">
        <f ca="1">OFFSET(B95,0,'Datos de Entrada (1)'!$C$26)</f>
        <v>0</v>
      </c>
      <c r="C97" s="46">
        <f ca="1">OFFSET(C95,0,'Datos de Entrada (1)'!$C$26)</f>
        <v>0</v>
      </c>
      <c r="D97" s="46">
        <f ca="1">OFFSET(D95,0,'Datos de Entrada (1)'!$C$26)</f>
        <v>0</v>
      </c>
      <c r="E97" s="46">
        <f ca="1">OFFSET(E95,0,'Datos de Entrada (1)'!$C$26)</f>
        <v>0</v>
      </c>
      <c r="F97" s="46">
        <f ca="1">OFFSET(F95,0,'Datos de Entrada (1)'!$C$26)</f>
        <v>0</v>
      </c>
      <c r="G97" s="46">
        <f ca="1">OFFSET(G95,0,'Datos de Entrada (1)'!$C$26)</f>
        <v>0</v>
      </c>
      <c r="H97" s="46">
        <f ca="1">OFFSET(H95,0,'Datos de Entrada (1)'!$C$26)</f>
        <v>0</v>
      </c>
      <c r="I97" s="46">
        <f ca="1">OFFSET(I95,0,'Datos de Entrada (1)'!$C$26)</f>
        <v>0</v>
      </c>
      <c r="J97" s="46">
        <f ca="1">OFFSET(J95,0,'Datos de Entrada (1)'!$C$26)</f>
        <v>0</v>
      </c>
      <c r="K97" s="46">
        <f ca="1">OFFSET(K95,0,'Datos de Entrada (1)'!$C$26)</f>
        <v>0</v>
      </c>
      <c r="L97" s="46">
        <f ca="1">OFFSET(L95,0,'Datos de Entrada (1)'!$C$26)</f>
        <v>0</v>
      </c>
      <c r="M97" s="46">
        <f ca="1">OFFSET(M95,0,'Datos de Entrada (1)'!$C$26)</f>
        <v>0</v>
      </c>
      <c r="N97" s="46">
        <f ca="1">OFFSET(N95,0,'Datos de Entrada (1)'!$C$26)</f>
        <v>225</v>
      </c>
      <c r="O97" s="46">
        <f ca="1">OFFSET(O95,0,'Datos de Entrada (1)'!$C$26)</f>
        <v>600</v>
      </c>
      <c r="P97" s="46">
        <f ca="1">OFFSET(P95,0,'Datos de Entrada (1)'!$C$26)</f>
        <v>750</v>
      </c>
      <c r="Q97" s="46">
        <f ca="1">OFFSET(Q95,0,'Datos de Entrada (1)'!$C$26)</f>
        <v>750</v>
      </c>
      <c r="R97" s="46">
        <f ca="1">OFFSET(R95,0,'Datos de Entrada (1)'!$C$26)</f>
        <v>750</v>
      </c>
      <c r="S97" s="46">
        <f ca="1">OFFSET(S95,0,'Datos de Entrada (1)'!$C$26)</f>
        <v>0</v>
      </c>
      <c r="T97" s="46">
        <f ca="1">OFFSET(T95,0,'Datos de Entrada (1)'!$C$26)</f>
        <v>0</v>
      </c>
      <c r="U97" s="47">
        <f ca="1">OFFSET(U95,0,'Datos de Entrada (1)'!$C$26)</f>
        <v>0</v>
      </c>
    </row>
    <row r="98" spans="1:21" ht="15" thickBot="1" x14ac:dyDescent="0.35"/>
    <row r="99" spans="1:21" ht="15" thickBot="1" x14ac:dyDescent="0.35">
      <c r="A99" s="83" t="s">
        <v>35</v>
      </c>
      <c r="B99" s="84">
        <v>1</v>
      </c>
      <c r="C99" s="85">
        <v>2</v>
      </c>
      <c r="D99" s="85">
        <v>3</v>
      </c>
      <c r="E99" s="85">
        <v>4</v>
      </c>
      <c r="F99" s="85">
        <v>5</v>
      </c>
      <c r="G99" s="85">
        <v>6</v>
      </c>
      <c r="H99" s="85">
        <v>7</v>
      </c>
      <c r="I99" s="85">
        <v>8</v>
      </c>
      <c r="J99" s="85">
        <v>9</v>
      </c>
      <c r="K99" s="85">
        <v>10</v>
      </c>
      <c r="L99" s="85">
        <v>11</v>
      </c>
      <c r="M99" s="85">
        <v>12</v>
      </c>
      <c r="N99" s="85">
        <v>13</v>
      </c>
      <c r="O99" s="85">
        <v>14</v>
      </c>
      <c r="P99" s="85">
        <v>15</v>
      </c>
      <c r="Q99" s="85">
        <v>16</v>
      </c>
      <c r="R99" s="85">
        <v>17</v>
      </c>
      <c r="S99" s="85">
        <v>18</v>
      </c>
      <c r="T99" s="85">
        <v>19</v>
      </c>
      <c r="U99" s="86">
        <v>20</v>
      </c>
    </row>
    <row r="100" spans="1:21" x14ac:dyDescent="0.3">
      <c r="A100" s="41" t="s">
        <v>42</v>
      </c>
      <c r="B100" s="89">
        <f ca="1">'Datos de Entrada (2)'!$D$24*'LANZ PP'!B52+'Datos de Entrada (2)'!$I$24*'LANZ PP'!B97</f>
        <v>0</v>
      </c>
      <c r="C100" s="42">
        <f ca="1">'Datos de Entrada (2)'!$D$24*'LANZ PP'!C52+'Datos de Entrada (2)'!$I$24*'LANZ PP'!C97</f>
        <v>0</v>
      </c>
      <c r="D100" s="42">
        <f ca="1">'Datos de Entrada (2)'!$D$24*'LANZ PP'!D52+'Datos de Entrada (2)'!$I$24*'LANZ PP'!D97</f>
        <v>0</v>
      </c>
      <c r="E100" s="42">
        <f ca="1">'Datos de Entrada (2)'!$D$24*'LANZ PP'!E52+'Datos de Entrada (2)'!$I$24*'LANZ PP'!E97</f>
        <v>0</v>
      </c>
      <c r="F100" s="42">
        <f ca="1">'Datos de Entrada (2)'!$D$24*'LANZ PP'!F52+'Datos de Entrada (2)'!$I$24*'LANZ PP'!F97</f>
        <v>0</v>
      </c>
      <c r="G100" s="42">
        <f ca="1">'Datos de Entrada (2)'!$D$24*'LANZ PP'!G52+'Datos de Entrada (2)'!$I$24*'LANZ PP'!G97</f>
        <v>0</v>
      </c>
      <c r="H100" s="42">
        <f ca="1">'Datos de Entrada (2)'!$D$24*'LANZ PP'!H52+'Datos de Entrada (2)'!$I$24*'LANZ PP'!H97</f>
        <v>0</v>
      </c>
      <c r="I100" s="42">
        <f ca="1">'Datos de Entrada (2)'!$D$24*'LANZ PP'!I52+'Datos de Entrada (2)'!$I$24*'LANZ PP'!I97</f>
        <v>0</v>
      </c>
      <c r="J100" s="42">
        <f ca="1">'Datos de Entrada (2)'!$D$24*'LANZ PP'!J52+'Datos de Entrada (2)'!$I$24*'LANZ PP'!J97</f>
        <v>0</v>
      </c>
      <c r="K100" s="42">
        <f ca="1">'Datos de Entrada (2)'!$D$24*'LANZ PP'!K52+'Datos de Entrada (2)'!$I$24*'LANZ PP'!K97</f>
        <v>0</v>
      </c>
      <c r="L100" s="42">
        <f ca="1">'Datos de Entrada (2)'!$D$24*'LANZ PP'!L52+'Datos de Entrada (2)'!$I$24*'LANZ PP'!L97</f>
        <v>0</v>
      </c>
      <c r="M100" s="42">
        <f ca="1">'Datos de Entrada (2)'!$D$24*'LANZ PP'!M52+'Datos de Entrada (2)'!$I$24*'LANZ PP'!M97</f>
        <v>0</v>
      </c>
      <c r="N100" s="42">
        <f ca="1">'Datos de Entrada (2)'!$D$24*'LANZ PP'!N52+'Datos de Entrada (2)'!$I$24*'LANZ PP'!N97</f>
        <v>225</v>
      </c>
      <c r="O100" s="42">
        <f ca="1">'Datos de Entrada (2)'!$D$24*'LANZ PP'!O52+'Datos de Entrada (2)'!$I$24*'LANZ PP'!O97</f>
        <v>1400</v>
      </c>
      <c r="P100" s="42">
        <f ca="1">'Datos de Entrada (2)'!$D$24*'LANZ PP'!P52+'Datos de Entrada (2)'!$I$24*'LANZ PP'!P97</f>
        <v>1650</v>
      </c>
      <c r="Q100" s="42">
        <f ca="1">'Datos de Entrada (2)'!$D$24*'LANZ PP'!Q52+'Datos de Entrada (2)'!$I$24*'LANZ PP'!Q97</f>
        <v>1550</v>
      </c>
      <c r="R100" s="42">
        <f ca="1">'Datos de Entrada (2)'!$D$24*'LANZ PP'!R52+'Datos de Entrada (2)'!$I$24*'LANZ PP'!R97+'Datos de Entrada (1)'!B10</f>
        <v>1900</v>
      </c>
      <c r="S100" s="42">
        <f ca="1">'Datos de Entrada (2)'!$D$24*'LANZ PP'!S52+'Datos de Entrada (2)'!$I$24*'LANZ PP'!S97+'Datos de Entrada (1)'!C10</f>
        <v>25</v>
      </c>
      <c r="T100" s="42">
        <f ca="1">'Datos de Entrada (2)'!$D$24*'LANZ PP'!T52+'Datos de Entrada (2)'!$I$24*'LANZ PP'!T97+'Datos de Entrada (1)'!D10</f>
        <v>100</v>
      </c>
      <c r="U100" s="43">
        <f ca="1">'Datos de Entrada (2)'!$D$24*'LANZ PP'!U52+'Datos de Entrada (2)'!$I$24*'LANZ PP'!U97+'Datos de Entrada (1)'!E10</f>
        <v>10</v>
      </c>
    </row>
    <row r="101" spans="1:21" x14ac:dyDescent="0.3">
      <c r="A101" s="73" t="s">
        <v>43</v>
      </c>
      <c r="B101" s="44">
        <f>'Datos de Entrada (1)'!$E$27</f>
        <v>10</v>
      </c>
      <c r="C101" s="25">
        <f ca="1">B101+B105-B100</f>
        <v>10</v>
      </c>
      <c r="D101" s="25">
        <f t="shared" ref="D101:T101" ca="1" si="29">C101+C105-C100</f>
        <v>10</v>
      </c>
      <c r="E101" s="25">
        <f t="shared" ca="1" si="29"/>
        <v>10</v>
      </c>
      <c r="F101" s="25">
        <f t="shared" ca="1" si="29"/>
        <v>10</v>
      </c>
      <c r="G101" s="25">
        <f t="shared" ca="1" si="29"/>
        <v>10</v>
      </c>
      <c r="H101" s="25">
        <f t="shared" ca="1" si="29"/>
        <v>10</v>
      </c>
      <c r="I101" s="25">
        <f t="shared" ca="1" si="29"/>
        <v>10</v>
      </c>
      <c r="J101" s="25">
        <f t="shared" ca="1" si="29"/>
        <v>10</v>
      </c>
      <c r="K101" s="25">
        <f t="shared" ca="1" si="29"/>
        <v>10</v>
      </c>
      <c r="L101" s="25">
        <f t="shared" ca="1" si="29"/>
        <v>10</v>
      </c>
      <c r="M101" s="25">
        <f t="shared" ca="1" si="29"/>
        <v>10</v>
      </c>
      <c r="N101" s="25">
        <f t="shared" ca="1" si="29"/>
        <v>10</v>
      </c>
      <c r="O101" s="25">
        <f t="shared" ca="1" si="29"/>
        <v>55</v>
      </c>
      <c r="P101" s="25">
        <f t="shared" ca="1" si="29"/>
        <v>51</v>
      </c>
      <c r="Q101" s="25">
        <f t="shared" ca="1" si="29"/>
        <v>54</v>
      </c>
      <c r="R101" s="25">
        <f t="shared" ca="1" si="29"/>
        <v>57</v>
      </c>
      <c r="S101" s="25">
        <f t="shared" ca="1" si="29"/>
        <v>52</v>
      </c>
      <c r="T101" s="25">
        <f t="shared" ca="1" si="29"/>
        <v>55</v>
      </c>
      <c r="U101" s="45">
        <f ca="1">T101+T105-T100</f>
        <v>54</v>
      </c>
    </row>
    <row r="102" spans="1:21" x14ac:dyDescent="0.3">
      <c r="A102" s="73" t="s">
        <v>44</v>
      </c>
      <c r="B102" s="87">
        <f ca="1">IF(B100=0,0,MAX(0,B100+'Datos de Entrada (1)'!$B$27-'LANZ PP'!B101))</f>
        <v>0</v>
      </c>
      <c r="C102" s="25">
        <f ca="1">IF(C100=0,0,MAX(0,C100+'Datos de Entrada (1)'!$B$27-'LANZ PP'!C101))</f>
        <v>0</v>
      </c>
      <c r="D102" s="25">
        <f ca="1">IF(D100=0,0,MAX(0,D100+'Datos de Entrada (1)'!$B$27-'LANZ PP'!D101))</f>
        <v>0</v>
      </c>
      <c r="E102" s="25">
        <f ca="1">IF(E100=0,0,MAX(0,E100+'Datos de Entrada (1)'!$B$27-'LANZ PP'!E101))</f>
        <v>0</v>
      </c>
      <c r="F102" s="25">
        <f ca="1">IF(F100=0,0,MAX(0,F100+'Datos de Entrada (1)'!$B$27-'LANZ PP'!F101))</f>
        <v>0</v>
      </c>
      <c r="G102" s="25">
        <f ca="1">IF(G100=0,0,MAX(0,G100+'Datos de Entrada (1)'!$B$27-'LANZ PP'!G101))</f>
        <v>0</v>
      </c>
      <c r="H102" s="25">
        <f ca="1">IF(H100=0,0,MAX(0,H100+'Datos de Entrada (1)'!$B$27-'LANZ PP'!H101))</f>
        <v>0</v>
      </c>
      <c r="I102" s="25">
        <f ca="1">IF(I100=0,0,MAX(0,I100+'Datos de Entrada (1)'!$B$27-'LANZ PP'!I101))</f>
        <v>0</v>
      </c>
      <c r="J102" s="25">
        <f ca="1">IF(J100=0,0,MAX(0,J100+'Datos de Entrada (1)'!$B$27-'LANZ PP'!J101))</f>
        <v>0</v>
      </c>
      <c r="K102" s="25">
        <f ca="1">IF(K100=0,0,MAX(0,K100+'Datos de Entrada (1)'!$B$27-'LANZ PP'!K101))</f>
        <v>0</v>
      </c>
      <c r="L102" s="25">
        <f ca="1">IF(L100=0,0,MAX(0,L100+'Datos de Entrada (1)'!$B$27-'LANZ PP'!L101))</f>
        <v>0</v>
      </c>
      <c r="M102" s="25">
        <f ca="1">IF(M100=0,0,MAX(0,M100+'Datos de Entrada (1)'!$B$27-'LANZ PP'!M101))</f>
        <v>0</v>
      </c>
      <c r="N102" s="25">
        <f ca="1">IF(N100=0,0,MAX(0,N100+'Datos de Entrada (1)'!$B$27-'LANZ PP'!N101))</f>
        <v>265</v>
      </c>
      <c r="O102" s="25">
        <f ca="1">IF(O100=0,0,MAX(0,O100+'Datos de Entrada (1)'!$B$27-'LANZ PP'!O101))</f>
        <v>1395</v>
      </c>
      <c r="P102" s="25">
        <f ca="1">IF(P100=0,0,MAX(0,P100+'Datos de Entrada (1)'!$B$27-'LANZ PP'!P101))</f>
        <v>1649</v>
      </c>
      <c r="Q102" s="25">
        <f ca="1">IF(Q100=0,0,MAX(0,Q100+'Datos de Entrada (1)'!$B$27-'LANZ PP'!Q101))</f>
        <v>1546</v>
      </c>
      <c r="R102" s="25">
        <f ca="1">IF(R100=0,0,MAX(0,R100+'Datos de Entrada (1)'!$B$27-'LANZ PP'!R101))</f>
        <v>1893</v>
      </c>
      <c r="S102" s="25">
        <f ca="1">IF(S100=0,0,MAX(0,S100+'Datos de Entrada (1)'!$B$27-'LANZ PP'!S101))</f>
        <v>23</v>
      </c>
      <c r="T102" s="25">
        <f ca="1">IF(T100=0,0,MAX(0,T100+'Datos de Entrada (1)'!$B$27-'LANZ PP'!T101))</f>
        <v>95</v>
      </c>
      <c r="U102" s="45">
        <f ca="1">IF(U100=0,0,MAX(0,U100+'Datos de Entrada (1)'!$B$27-'LANZ PP'!U101))</f>
        <v>6</v>
      </c>
    </row>
    <row r="103" spans="1:21" x14ac:dyDescent="0.3">
      <c r="A103" s="73" t="s">
        <v>45</v>
      </c>
      <c r="B103" s="87">
        <f ca="1">ROUNDUP(B102/(1-('Datos de Entrada (1)'!$D$27/100)),0)</f>
        <v>0</v>
      </c>
      <c r="C103" s="25">
        <f ca="1">ROUNDUP(C102/(1-('Datos de Entrada (1)'!$D$27/100)),0)</f>
        <v>0</v>
      </c>
      <c r="D103" s="25">
        <f ca="1">ROUNDUP(D102/(1-('Datos de Entrada (1)'!$D$27/100)),0)</f>
        <v>0</v>
      </c>
      <c r="E103" s="25">
        <f ca="1">ROUNDUP(E102/(1-('Datos de Entrada (1)'!$D$27/100)),0)</f>
        <v>0</v>
      </c>
      <c r="F103" s="25">
        <f ca="1">ROUNDUP(F102/(1-('Datos de Entrada (1)'!$D$27/100)),0)</f>
        <v>0</v>
      </c>
      <c r="G103" s="25">
        <f ca="1">ROUNDUP(G102/(1-('Datos de Entrada (1)'!$D$27/100)),0)</f>
        <v>0</v>
      </c>
      <c r="H103" s="25">
        <f ca="1">ROUNDUP(H102/(1-('Datos de Entrada (1)'!$D$27/100)),0)</f>
        <v>0</v>
      </c>
      <c r="I103" s="25">
        <f ca="1">ROUNDUP(I102/(1-('Datos de Entrada (1)'!$D$27/100)),0)</f>
        <v>0</v>
      </c>
      <c r="J103" s="25">
        <f ca="1">ROUNDUP(J102/(1-('Datos de Entrada (1)'!$D$27/100)),0)</f>
        <v>0</v>
      </c>
      <c r="K103" s="25">
        <f ca="1">ROUNDUP(K102/(1-('Datos de Entrada (1)'!$D$27/100)),0)</f>
        <v>0</v>
      </c>
      <c r="L103" s="25">
        <f ca="1">ROUNDUP(L102/(1-('Datos de Entrada (1)'!$D$27/100)),0)</f>
        <v>0</v>
      </c>
      <c r="M103" s="25">
        <f ca="1">ROUNDUP(M102/(1-('Datos de Entrada (1)'!$D$27/100)),0)</f>
        <v>0</v>
      </c>
      <c r="N103" s="25">
        <f ca="1">ROUNDUP(N102/(1-('Datos de Entrada (1)'!$D$27/100)),0)</f>
        <v>279</v>
      </c>
      <c r="O103" s="25">
        <f ca="1">ROUNDUP(O102/(1-('Datos de Entrada (1)'!$D$27/100)),0)</f>
        <v>1469</v>
      </c>
      <c r="P103" s="25">
        <f ca="1">ROUNDUP(P102/(1-('Datos de Entrada (1)'!$D$27/100)),0)</f>
        <v>1736</v>
      </c>
      <c r="Q103" s="25">
        <f ca="1">ROUNDUP(Q102/(1-('Datos de Entrada (1)'!$D$27/100)),0)</f>
        <v>1628</v>
      </c>
      <c r="R103" s="25">
        <f ca="1">ROUNDUP(R102/(1-('Datos de Entrada (1)'!$D$27/100)),0)</f>
        <v>1993</v>
      </c>
      <c r="S103" s="25">
        <f ca="1">ROUNDUP(S102/(1-('Datos de Entrada (1)'!$D$27/100)),0)</f>
        <v>25</v>
      </c>
      <c r="T103" s="25">
        <f ca="1">ROUNDUP(T102/(1-('Datos de Entrada (1)'!$D$27/100)),0)</f>
        <v>100</v>
      </c>
      <c r="U103" s="45">
        <f ca="1">ROUNDUP(U102/(1-('Datos de Entrada (1)'!$D$27/100)),0)</f>
        <v>7</v>
      </c>
    </row>
    <row r="104" spans="1:21" x14ac:dyDescent="0.3">
      <c r="A104" s="73" t="s">
        <v>46</v>
      </c>
      <c r="B104" s="87">
        <f ca="1">ROUNDUP(B103/'Datos de Entrada (1)'!$F$27,0)*'Datos de Entrada (1)'!$F$27</f>
        <v>0</v>
      </c>
      <c r="C104" s="25">
        <f ca="1">ROUNDUP(C103/'Datos de Entrada (1)'!$F$27,0)*'Datos de Entrada (1)'!$F$27</f>
        <v>0</v>
      </c>
      <c r="D104" s="25">
        <f ca="1">ROUNDUP(D103/'Datos de Entrada (1)'!$F$27,0)*'Datos de Entrada (1)'!$F$27</f>
        <v>0</v>
      </c>
      <c r="E104" s="25">
        <f ca="1">ROUNDUP(E103/'Datos de Entrada (1)'!$F$27,0)*'Datos de Entrada (1)'!$F$27</f>
        <v>0</v>
      </c>
      <c r="F104" s="25">
        <f ca="1">ROUNDUP(F103/'Datos de Entrada (1)'!$F$27,0)*'Datos de Entrada (1)'!$F$27</f>
        <v>0</v>
      </c>
      <c r="G104" s="25">
        <f ca="1">ROUNDUP(G103/'Datos de Entrada (1)'!$F$27,0)*'Datos de Entrada (1)'!$F$27</f>
        <v>0</v>
      </c>
      <c r="H104" s="25">
        <f ca="1">ROUNDUP(H103/'Datos de Entrada (1)'!$F$27,0)*'Datos de Entrada (1)'!$F$27</f>
        <v>0</v>
      </c>
      <c r="I104" s="25">
        <f ca="1">ROUNDUP(I103/'Datos de Entrada (1)'!$F$27,0)*'Datos de Entrada (1)'!$F$27</f>
        <v>0</v>
      </c>
      <c r="J104" s="25">
        <f ca="1">ROUNDUP(J103/'Datos de Entrada (1)'!$F$27,0)*'Datos de Entrada (1)'!$F$27</f>
        <v>0</v>
      </c>
      <c r="K104" s="25">
        <f ca="1">ROUNDUP(K103/'Datos de Entrada (1)'!$F$27,0)*'Datos de Entrada (1)'!$F$27</f>
        <v>0</v>
      </c>
      <c r="L104" s="25">
        <f ca="1">ROUNDUP(L103/'Datos de Entrada (1)'!$F$27,0)*'Datos de Entrada (1)'!$F$27</f>
        <v>0</v>
      </c>
      <c r="M104" s="25">
        <f ca="1">ROUNDUP(M103/'Datos de Entrada (1)'!$F$27,0)*'Datos de Entrada (1)'!$F$27</f>
        <v>0</v>
      </c>
      <c r="N104" s="25">
        <f ca="1">ROUNDUP(N103/'Datos de Entrada (1)'!$F$27,0)*'Datos de Entrada (1)'!$F$27</f>
        <v>285</v>
      </c>
      <c r="O104" s="25">
        <f ca="1">ROUNDUP(O103/'Datos de Entrada (1)'!$F$27,0)*'Datos de Entrada (1)'!$F$27</f>
        <v>1470</v>
      </c>
      <c r="P104" s="25">
        <f ca="1">ROUNDUP(P103/'Datos de Entrada (1)'!$F$27,0)*'Datos de Entrada (1)'!$F$27</f>
        <v>1740</v>
      </c>
      <c r="Q104" s="25">
        <f ca="1">ROUNDUP(Q103/'Datos de Entrada (1)'!$F$27,0)*'Datos de Entrada (1)'!$F$27</f>
        <v>1635</v>
      </c>
      <c r="R104" s="25">
        <f ca="1">ROUNDUP(R103/'Datos de Entrada (1)'!$F$27,0)*'Datos de Entrada (1)'!$F$27</f>
        <v>1995</v>
      </c>
      <c r="S104" s="25">
        <f ca="1">ROUNDUP(S103/'Datos de Entrada (1)'!$F$27,0)*'Datos de Entrada (1)'!$F$27</f>
        <v>30</v>
      </c>
      <c r="T104" s="25">
        <f ca="1">ROUNDUP(T103/'Datos de Entrada (1)'!$F$27,0)*'Datos de Entrada (1)'!$F$27</f>
        <v>105</v>
      </c>
      <c r="U104" s="45">
        <f ca="1">ROUNDUP(U103/'Datos de Entrada (1)'!$F$27,0)*'Datos de Entrada (1)'!$F$27</f>
        <v>15</v>
      </c>
    </row>
    <row r="105" spans="1:21" x14ac:dyDescent="0.3">
      <c r="A105" s="73" t="s">
        <v>47</v>
      </c>
      <c r="B105" s="87">
        <f ca="1">ROUNDDOWN(B104*(1-('Datos de Entrada (1)'!$D$27/100)),0)</f>
        <v>0</v>
      </c>
      <c r="C105" s="25">
        <f ca="1">ROUNDDOWN(C104*(1-('Datos de Entrada (1)'!$D$27/100)),0)</f>
        <v>0</v>
      </c>
      <c r="D105" s="25">
        <f ca="1">ROUNDDOWN(D104*(1-('Datos de Entrada (1)'!$D$27/100)),0)</f>
        <v>0</v>
      </c>
      <c r="E105" s="25">
        <f ca="1">ROUNDDOWN(E104*(1-('Datos de Entrada (1)'!$D$27/100)),0)</f>
        <v>0</v>
      </c>
      <c r="F105" s="25">
        <f ca="1">ROUNDDOWN(F104*(1-('Datos de Entrada (1)'!$D$27/100)),0)</f>
        <v>0</v>
      </c>
      <c r="G105" s="25">
        <f ca="1">ROUNDDOWN(G104*(1-('Datos de Entrada (1)'!$D$27/100)),0)</f>
        <v>0</v>
      </c>
      <c r="H105" s="25">
        <f ca="1">ROUNDDOWN(H104*(1-('Datos de Entrada (1)'!$D$27/100)),0)</f>
        <v>0</v>
      </c>
      <c r="I105" s="25">
        <f ca="1">ROUNDDOWN(I104*(1-('Datos de Entrada (1)'!$D$27/100)),0)</f>
        <v>0</v>
      </c>
      <c r="J105" s="25">
        <f ca="1">ROUNDDOWN(J104*(1-('Datos de Entrada (1)'!$D$27/100)),0)</f>
        <v>0</v>
      </c>
      <c r="K105" s="25">
        <f ca="1">ROUNDDOWN(K104*(1-('Datos de Entrada (1)'!$D$27/100)),0)</f>
        <v>0</v>
      </c>
      <c r="L105" s="25">
        <f ca="1">ROUNDDOWN(L104*(1-('Datos de Entrada (1)'!$D$27/100)),0)</f>
        <v>0</v>
      </c>
      <c r="M105" s="25">
        <f ca="1">ROUNDDOWN(M104*(1-('Datos de Entrada (1)'!$D$27/100)),0)</f>
        <v>0</v>
      </c>
      <c r="N105" s="25">
        <f ca="1">ROUNDDOWN(N104*(1-('Datos de Entrada (1)'!$D$27/100)),0)</f>
        <v>270</v>
      </c>
      <c r="O105" s="25">
        <f ca="1">ROUNDDOWN(O104*(1-('Datos de Entrada (1)'!$D$27/100)),0)</f>
        <v>1396</v>
      </c>
      <c r="P105" s="25">
        <f ca="1">ROUNDDOWN(P104*(1-('Datos de Entrada (1)'!$D$27/100)),0)</f>
        <v>1653</v>
      </c>
      <c r="Q105" s="25">
        <f ca="1">ROUNDDOWN(Q104*(1-('Datos de Entrada (1)'!$D$27/100)),0)</f>
        <v>1553</v>
      </c>
      <c r="R105" s="25">
        <f ca="1">ROUNDDOWN(R104*(1-('Datos de Entrada (1)'!$D$27/100)),0)</f>
        <v>1895</v>
      </c>
      <c r="S105" s="25">
        <f ca="1">ROUNDDOWN(S104*(1-('Datos de Entrada (1)'!$D$27/100)),0)</f>
        <v>28</v>
      </c>
      <c r="T105" s="25">
        <f ca="1">ROUNDDOWN(T104*(1-('Datos de Entrada (1)'!$D$27/100)),0)</f>
        <v>99</v>
      </c>
      <c r="U105" s="45">
        <f ca="1">ROUNDDOWN(U104*(1-('Datos de Entrada (1)'!$D$27/100)),0)</f>
        <v>14</v>
      </c>
    </row>
    <row r="106" spans="1:21" ht="15" thickBot="1" x14ac:dyDescent="0.35">
      <c r="A106" s="72" t="s">
        <v>48</v>
      </c>
      <c r="B106" s="88">
        <f ca="1">OFFSET(B104,0,'Datos de Entrada (1)'!$C$27)</f>
        <v>0</v>
      </c>
      <c r="C106" s="46">
        <f ca="1">OFFSET(C104,0,'Datos de Entrada (1)'!$C$27)</f>
        <v>0</v>
      </c>
      <c r="D106" s="46">
        <f ca="1">OFFSET(D104,0,'Datos de Entrada (1)'!$C$27)</f>
        <v>0</v>
      </c>
      <c r="E106" s="46">
        <f ca="1">OFFSET(E104,0,'Datos de Entrada (1)'!$C$27)</f>
        <v>0</v>
      </c>
      <c r="F106" s="46">
        <f ca="1">OFFSET(F104,0,'Datos de Entrada (1)'!$C$27)</f>
        <v>0</v>
      </c>
      <c r="G106" s="46">
        <f ca="1">OFFSET(G104,0,'Datos de Entrada (1)'!$C$27)</f>
        <v>0</v>
      </c>
      <c r="H106" s="46">
        <f ca="1">OFFSET(H104,0,'Datos de Entrada (1)'!$C$27)</f>
        <v>0</v>
      </c>
      <c r="I106" s="46">
        <f ca="1">OFFSET(I104,0,'Datos de Entrada (1)'!$C$27)</f>
        <v>0</v>
      </c>
      <c r="J106" s="46">
        <f ca="1">OFFSET(J104,0,'Datos de Entrada (1)'!$C$27)</f>
        <v>0</v>
      </c>
      <c r="K106" s="46">
        <f ca="1">OFFSET(K104,0,'Datos de Entrada (1)'!$C$27)</f>
        <v>0</v>
      </c>
      <c r="L106" s="46">
        <f ca="1">OFFSET(L104,0,'Datos de Entrada (1)'!$C$27)</f>
        <v>285</v>
      </c>
      <c r="M106" s="46">
        <f ca="1">OFFSET(M104,0,'Datos de Entrada (1)'!$C$27)</f>
        <v>1470</v>
      </c>
      <c r="N106" s="46">
        <f ca="1">OFFSET(N104,0,'Datos de Entrada (1)'!$C$27)</f>
        <v>1740</v>
      </c>
      <c r="O106" s="46">
        <f ca="1">OFFSET(O104,0,'Datos de Entrada (1)'!$C$27)</f>
        <v>1635</v>
      </c>
      <c r="P106" s="46">
        <f ca="1">OFFSET(P104,0,'Datos de Entrada (1)'!$C$27)</f>
        <v>1995</v>
      </c>
      <c r="Q106" s="46">
        <f ca="1">OFFSET(Q104,0,'Datos de Entrada (1)'!$C$27)</f>
        <v>30</v>
      </c>
      <c r="R106" s="46">
        <f ca="1">OFFSET(R104,0,'Datos de Entrada (1)'!$C$27)</f>
        <v>105</v>
      </c>
      <c r="S106" s="46">
        <f ca="1">OFFSET(S104,0,'Datos de Entrada (1)'!$C$27)</f>
        <v>15</v>
      </c>
      <c r="T106" s="46">
        <f ca="1">OFFSET(T104,0,'Datos de Entrada (1)'!$C$27)</f>
        <v>0</v>
      </c>
      <c r="U106" s="47">
        <f ca="1">OFFSET(U104,0,'Datos de Entrada (1)'!$C$27)</f>
        <v>0</v>
      </c>
    </row>
  </sheetData>
  <mergeCells count="3">
    <mergeCell ref="R5:U5"/>
    <mergeCell ref="A1:N1"/>
    <mergeCell ref="A2:N2"/>
  </mergeCells>
  <phoneticPr fontId="2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F312-B301-47F1-B9D2-DAC2C8A633A3}">
  <dimension ref="A1:U106"/>
  <sheetViews>
    <sheetView tabSelected="1" workbookViewId="0">
      <selection activeCell="P3" sqref="P3"/>
    </sheetView>
  </sheetViews>
  <sheetFormatPr baseColWidth="10" defaultRowHeight="14.4" x14ac:dyDescent="0.3"/>
  <cols>
    <col min="1" max="1" width="31.6640625" customWidth="1"/>
  </cols>
  <sheetData>
    <row r="1" spans="1:21" ht="24.6" x14ac:dyDescent="0.3">
      <c r="A1" s="67" t="s">
        <v>26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9"/>
      <c r="M1" s="69"/>
      <c r="N1" s="69"/>
    </row>
    <row r="2" spans="1:21" ht="24.6" x14ac:dyDescent="0.3">
      <c r="A2" s="70" t="s">
        <v>38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M2" s="69"/>
      <c r="N2" s="69"/>
    </row>
    <row r="3" spans="1:21" ht="25.2" thickBot="1" x14ac:dyDescent="0.35">
      <c r="A3" s="28"/>
      <c r="B3" s="26"/>
      <c r="C3" s="93" t="s">
        <v>49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</row>
    <row r="4" spans="1:21" ht="15" thickBot="1" x14ac:dyDescent="0.35">
      <c r="B4" s="30" t="s">
        <v>39</v>
      </c>
      <c r="C4" s="29"/>
    </row>
    <row r="5" spans="1:21" ht="15" thickBot="1" x14ac:dyDescent="0.35">
      <c r="B5" s="31" t="s">
        <v>37</v>
      </c>
      <c r="C5" s="29"/>
      <c r="R5" s="64" t="s">
        <v>2</v>
      </c>
      <c r="S5" s="65"/>
      <c r="T5" s="65"/>
      <c r="U5" s="66"/>
    </row>
    <row r="6" spans="1:21" ht="15" thickBot="1" x14ac:dyDescent="0.35">
      <c r="A6" s="32" t="s">
        <v>3</v>
      </c>
      <c r="B6" s="39">
        <v>1</v>
      </c>
      <c r="C6" s="39">
        <v>2</v>
      </c>
      <c r="D6" s="39">
        <v>3</v>
      </c>
      <c r="E6" s="39">
        <v>4</v>
      </c>
      <c r="F6" s="39">
        <v>5</v>
      </c>
      <c r="G6" s="39">
        <v>6</v>
      </c>
      <c r="H6" s="39">
        <v>7</v>
      </c>
      <c r="I6" s="39">
        <v>8</v>
      </c>
      <c r="J6" s="39">
        <v>9</v>
      </c>
      <c r="K6" s="39">
        <v>10</v>
      </c>
      <c r="L6" s="39">
        <v>11</v>
      </c>
      <c r="M6" s="39">
        <v>12</v>
      </c>
      <c r="N6" s="39">
        <v>13</v>
      </c>
      <c r="O6" s="39">
        <v>14</v>
      </c>
      <c r="P6" s="39">
        <v>15</v>
      </c>
      <c r="Q6" s="39">
        <v>16</v>
      </c>
      <c r="R6" s="39">
        <v>17</v>
      </c>
      <c r="S6" s="39">
        <v>18</v>
      </c>
      <c r="T6" s="39">
        <v>19</v>
      </c>
      <c r="U6" s="40">
        <v>20</v>
      </c>
    </row>
    <row r="7" spans="1:21" x14ac:dyDescent="0.3">
      <c r="A7" s="34" t="s">
        <v>0</v>
      </c>
      <c r="B7" s="89">
        <f ca="1">B25</f>
        <v>0</v>
      </c>
      <c r="C7" s="42">
        <f t="shared" ref="C7:U7" ca="1" si="0">C25</f>
        <v>0</v>
      </c>
      <c r="D7" s="42">
        <f t="shared" ca="1" si="0"/>
        <v>0</v>
      </c>
      <c r="E7" s="42">
        <f t="shared" ca="1" si="0"/>
        <v>0</v>
      </c>
      <c r="F7" s="42">
        <f t="shared" ca="1" si="0"/>
        <v>0</v>
      </c>
      <c r="G7" s="42">
        <f t="shared" ca="1" si="0"/>
        <v>0</v>
      </c>
      <c r="H7" s="42">
        <f t="shared" ca="1" si="0"/>
        <v>0</v>
      </c>
      <c r="I7" s="42">
        <f t="shared" ca="1" si="0"/>
        <v>0</v>
      </c>
      <c r="J7" s="42">
        <f t="shared" ca="1" si="0"/>
        <v>0</v>
      </c>
      <c r="K7" s="42">
        <f t="shared" ca="1" si="0"/>
        <v>0</v>
      </c>
      <c r="L7" s="42">
        <f t="shared" ca="1" si="0"/>
        <v>0</v>
      </c>
      <c r="M7" s="42">
        <f t="shared" ca="1" si="0"/>
        <v>0</v>
      </c>
      <c r="N7" s="42">
        <f t="shared" ca="1" si="0"/>
        <v>0</v>
      </c>
      <c r="O7" s="42">
        <f t="shared" ca="1" si="0"/>
        <v>0</v>
      </c>
      <c r="P7" s="42">
        <f t="shared" ca="1" si="0"/>
        <v>0</v>
      </c>
      <c r="Q7" s="42">
        <f t="shared" ca="1" si="0"/>
        <v>80</v>
      </c>
      <c r="R7" s="42">
        <f t="shared" ca="1" si="0"/>
        <v>80</v>
      </c>
      <c r="S7" s="42">
        <f t="shared" ca="1" si="0"/>
        <v>100</v>
      </c>
      <c r="T7" s="42">
        <f t="shared" ca="1" si="0"/>
        <v>120</v>
      </c>
      <c r="U7" s="90">
        <f t="shared" ca="1" si="0"/>
        <v>0</v>
      </c>
    </row>
    <row r="8" spans="1:21" x14ac:dyDescent="0.3">
      <c r="A8" s="35" t="s">
        <v>5</v>
      </c>
      <c r="B8" s="87">
        <f ca="1">B34</f>
        <v>0</v>
      </c>
      <c r="C8" s="25">
        <f t="shared" ref="C8:U8" ca="1" si="1">C34</f>
        <v>0</v>
      </c>
      <c r="D8" s="25">
        <f t="shared" ca="1" si="1"/>
        <v>0</v>
      </c>
      <c r="E8" s="25">
        <f t="shared" ca="1" si="1"/>
        <v>0</v>
      </c>
      <c r="F8" s="25">
        <f t="shared" ca="1" si="1"/>
        <v>0</v>
      </c>
      <c r="G8" s="25">
        <f t="shared" ca="1" si="1"/>
        <v>0</v>
      </c>
      <c r="H8" s="25">
        <f t="shared" ca="1" si="1"/>
        <v>0</v>
      </c>
      <c r="I8" s="25">
        <f t="shared" ca="1" si="1"/>
        <v>0</v>
      </c>
      <c r="J8" s="25">
        <f t="shared" ca="1" si="1"/>
        <v>0</v>
      </c>
      <c r="K8" s="25">
        <f t="shared" ca="1" si="1"/>
        <v>0</v>
      </c>
      <c r="L8" s="25">
        <f t="shared" ca="1" si="1"/>
        <v>0</v>
      </c>
      <c r="M8" s="25">
        <f t="shared" ca="1" si="1"/>
        <v>0</v>
      </c>
      <c r="N8" s="25">
        <f t="shared" ca="1" si="1"/>
        <v>0</v>
      </c>
      <c r="O8" s="25">
        <f t="shared" ca="1" si="1"/>
        <v>0</v>
      </c>
      <c r="P8" s="25">
        <f t="shared" ca="1" si="1"/>
        <v>0</v>
      </c>
      <c r="Q8" s="25">
        <f t="shared" ca="1" si="1"/>
        <v>180</v>
      </c>
      <c r="R8" s="25">
        <f t="shared" ca="1" si="1"/>
        <v>200</v>
      </c>
      <c r="S8" s="25">
        <f t="shared" ca="1" si="1"/>
        <v>200</v>
      </c>
      <c r="T8" s="25">
        <f t="shared" ca="1" si="1"/>
        <v>250</v>
      </c>
      <c r="U8" s="91">
        <f t="shared" ca="1" si="1"/>
        <v>0</v>
      </c>
    </row>
    <row r="9" spans="1:21" x14ac:dyDescent="0.3">
      <c r="A9" s="36" t="s">
        <v>15</v>
      </c>
      <c r="B9" s="87">
        <f ca="1">B43</f>
        <v>0</v>
      </c>
      <c r="C9" s="25">
        <f t="shared" ref="C9:U9" ca="1" si="2">C43</f>
        <v>0</v>
      </c>
      <c r="D9" s="25">
        <f t="shared" ca="1" si="2"/>
        <v>0</v>
      </c>
      <c r="E9" s="25">
        <f t="shared" ca="1" si="2"/>
        <v>0</v>
      </c>
      <c r="F9" s="25">
        <f t="shared" ca="1" si="2"/>
        <v>0</v>
      </c>
      <c r="G9" s="25">
        <f t="shared" ca="1" si="2"/>
        <v>0</v>
      </c>
      <c r="H9" s="25">
        <f t="shared" ca="1" si="2"/>
        <v>0</v>
      </c>
      <c r="I9" s="25">
        <f t="shared" ca="1" si="2"/>
        <v>0</v>
      </c>
      <c r="J9" s="25">
        <f t="shared" ca="1" si="2"/>
        <v>0</v>
      </c>
      <c r="K9" s="25">
        <f t="shared" ca="1" si="2"/>
        <v>0</v>
      </c>
      <c r="L9" s="25">
        <f t="shared" ca="1" si="2"/>
        <v>0</v>
      </c>
      <c r="M9" s="25">
        <f t="shared" ca="1" si="2"/>
        <v>0</v>
      </c>
      <c r="N9" s="25">
        <f t="shared" ca="1" si="2"/>
        <v>0</v>
      </c>
      <c r="O9" s="25">
        <f t="shared" ca="1" si="2"/>
        <v>100</v>
      </c>
      <c r="P9" s="25">
        <f t="shared" ca="1" si="2"/>
        <v>100</v>
      </c>
      <c r="Q9" s="25">
        <f t="shared" ca="1" si="2"/>
        <v>100</v>
      </c>
      <c r="R9" s="25">
        <f t="shared" ca="1" si="2"/>
        <v>100</v>
      </c>
      <c r="S9" s="25">
        <f t="shared" ca="1" si="2"/>
        <v>0</v>
      </c>
      <c r="T9" s="25">
        <f t="shared" ca="1" si="2"/>
        <v>0</v>
      </c>
      <c r="U9" s="91">
        <f t="shared" ca="1" si="2"/>
        <v>0</v>
      </c>
    </row>
    <row r="10" spans="1:21" x14ac:dyDescent="0.3">
      <c r="A10" s="36" t="s">
        <v>16</v>
      </c>
      <c r="B10" s="87">
        <f ca="1">B52</f>
        <v>0</v>
      </c>
      <c r="C10" s="25">
        <f t="shared" ref="C10:U10" ca="1" si="3">C52</f>
        <v>0</v>
      </c>
      <c r="D10" s="25">
        <f t="shared" ca="1" si="3"/>
        <v>0</v>
      </c>
      <c r="E10" s="25">
        <f t="shared" ca="1" si="3"/>
        <v>0</v>
      </c>
      <c r="F10" s="25">
        <f t="shared" ca="1" si="3"/>
        <v>0</v>
      </c>
      <c r="G10" s="25">
        <f t="shared" ca="1" si="3"/>
        <v>0</v>
      </c>
      <c r="H10" s="25">
        <f t="shared" ca="1" si="3"/>
        <v>0</v>
      </c>
      <c r="I10" s="25">
        <f t="shared" ca="1" si="3"/>
        <v>0</v>
      </c>
      <c r="J10" s="25">
        <f t="shared" ca="1" si="3"/>
        <v>0</v>
      </c>
      <c r="K10" s="25">
        <f t="shared" ca="1" si="3"/>
        <v>0</v>
      </c>
      <c r="L10" s="25">
        <f t="shared" ca="1" si="3"/>
        <v>0</v>
      </c>
      <c r="M10" s="25">
        <f t="shared" ca="1" si="3"/>
        <v>0</v>
      </c>
      <c r="N10" s="25">
        <f t="shared" ca="1" si="3"/>
        <v>0</v>
      </c>
      <c r="O10" s="25">
        <f t="shared" ca="1" si="3"/>
        <v>400</v>
      </c>
      <c r="P10" s="25">
        <f t="shared" ca="1" si="3"/>
        <v>450</v>
      </c>
      <c r="Q10" s="25">
        <f t="shared" ca="1" si="3"/>
        <v>400</v>
      </c>
      <c r="R10" s="25">
        <f t="shared" ca="1" si="3"/>
        <v>550</v>
      </c>
      <c r="S10" s="25">
        <f t="shared" ca="1" si="3"/>
        <v>0</v>
      </c>
      <c r="T10" s="25">
        <f t="shared" ca="1" si="3"/>
        <v>0</v>
      </c>
      <c r="U10" s="91">
        <f t="shared" ca="1" si="3"/>
        <v>0</v>
      </c>
    </row>
    <row r="11" spans="1:21" x14ac:dyDescent="0.3">
      <c r="A11" s="36" t="s">
        <v>36</v>
      </c>
      <c r="B11" s="87">
        <f ca="1">B61</f>
        <v>0</v>
      </c>
      <c r="C11" s="25">
        <f t="shared" ref="C11:U11" ca="1" si="4">C61</f>
        <v>0</v>
      </c>
      <c r="D11" s="25">
        <f t="shared" ca="1" si="4"/>
        <v>0</v>
      </c>
      <c r="E11" s="25">
        <f t="shared" ca="1" si="4"/>
        <v>0</v>
      </c>
      <c r="F11" s="25">
        <f t="shared" ca="1" si="4"/>
        <v>0</v>
      </c>
      <c r="G11" s="25">
        <f t="shared" ca="1" si="4"/>
        <v>0</v>
      </c>
      <c r="H11" s="25">
        <f t="shared" ca="1" si="4"/>
        <v>0</v>
      </c>
      <c r="I11" s="25">
        <f t="shared" ca="1" si="4"/>
        <v>0</v>
      </c>
      <c r="J11" s="25">
        <f t="shared" ca="1" si="4"/>
        <v>0</v>
      </c>
      <c r="K11" s="25">
        <f t="shared" ca="1" si="4"/>
        <v>0</v>
      </c>
      <c r="L11" s="25">
        <f t="shared" ca="1" si="4"/>
        <v>0</v>
      </c>
      <c r="M11" s="25">
        <f t="shared" ca="1" si="4"/>
        <v>0</v>
      </c>
      <c r="N11" s="25">
        <f t="shared" ca="1" si="4"/>
        <v>0</v>
      </c>
      <c r="O11" s="25">
        <f t="shared" ca="1" si="4"/>
        <v>0</v>
      </c>
      <c r="P11" s="25">
        <f t="shared" ca="1" si="4"/>
        <v>150</v>
      </c>
      <c r="Q11" s="25">
        <f t="shared" ca="1" si="4"/>
        <v>225</v>
      </c>
      <c r="R11" s="25">
        <f t="shared" ca="1" si="4"/>
        <v>225</v>
      </c>
      <c r="S11" s="25">
        <f t="shared" ca="1" si="4"/>
        <v>300</v>
      </c>
      <c r="T11" s="25">
        <f t="shared" ca="1" si="4"/>
        <v>0</v>
      </c>
      <c r="U11" s="91">
        <f t="shared" ca="1" si="4"/>
        <v>0</v>
      </c>
    </row>
    <row r="12" spans="1:21" x14ac:dyDescent="0.3">
      <c r="A12" s="37" t="s">
        <v>17</v>
      </c>
      <c r="B12" s="87">
        <f ca="1">B70</f>
        <v>0</v>
      </c>
      <c r="C12" s="25">
        <f t="shared" ref="C12:U12" ca="1" si="5">C70</f>
        <v>0</v>
      </c>
      <c r="D12" s="25">
        <f t="shared" ca="1" si="5"/>
        <v>0</v>
      </c>
      <c r="E12" s="25">
        <f t="shared" ca="1" si="5"/>
        <v>0</v>
      </c>
      <c r="F12" s="25">
        <f t="shared" ca="1" si="5"/>
        <v>0</v>
      </c>
      <c r="G12" s="25">
        <f t="shared" ca="1" si="5"/>
        <v>0</v>
      </c>
      <c r="H12" s="25">
        <f t="shared" ca="1" si="5"/>
        <v>0</v>
      </c>
      <c r="I12" s="25">
        <f t="shared" ca="1" si="5"/>
        <v>0</v>
      </c>
      <c r="J12" s="25">
        <f t="shared" ca="1" si="5"/>
        <v>0</v>
      </c>
      <c r="K12" s="25">
        <f t="shared" ca="1" si="5"/>
        <v>0</v>
      </c>
      <c r="L12" s="25">
        <f t="shared" ca="1" si="5"/>
        <v>0</v>
      </c>
      <c r="M12" s="25">
        <f t="shared" ca="1" si="5"/>
        <v>0</v>
      </c>
      <c r="N12" s="25">
        <f t="shared" ca="1" si="5"/>
        <v>168</v>
      </c>
      <c r="O12" s="25">
        <f t="shared" ca="1" si="5"/>
        <v>112</v>
      </c>
      <c r="P12" s="25">
        <f t="shared" ca="1" si="5"/>
        <v>112</v>
      </c>
      <c r="Q12" s="25">
        <f t="shared" ca="1" si="5"/>
        <v>112</v>
      </c>
      <c r="R12" s="25">
        <f t="shared" ca="1" si="5"/>
        <v>0</v>
      </c>
      <c r="S12" s="25">
        <f t="shared" ca="1" si="5"/>
        <v>0</v>
      </c>
      <c r="T12" s="25">
        <f t="shared" ca="1" si="5"/>
        <v>0</v>
      </c>
      <c r="U12" s="91">
        <f t="shared" ca="1" si="5"/>
        <v>0</v>
      </c>
    </row>
    <row r="13" spans="1:21" x14ac:dyDescent="0.3">
      <c r="A13" s="37" t="s">
        <v>18</v>
      </c>
      <c r="B13" s="87">
        <f ca="1">B79</f>
        <v>0</v>
      </c>
      <c r="C13" s="25">
        <f t="shared" ref="C13:U13" ca="1" si="6">C79</f>
        <v>0</v>
      </c>
      <c r="D13" s="25">
        <f t="shared" ca="1" si="6"/>
        <v>0</v>
      </c>
      <c r="E13" s="25">
        <f t="shared" ca="1" si="6"/>
        <v>0</v>
      </c>
      <c r="F13" s="25">
        <f t="shared" ca="1" si="6"/>
        <v>0</v>
      </c>
      <c r="G13" s="25">
        <f t="shared" ca="1" si="6"/>
        <v>0</v>
      </c>
      <c r="H13" s="25">
        <f t="shared" ca="1" si="6"/>
        <v>0</v>
      </c>
      <c r="I13" s="25">
        <f t="shared" ca="1" si="6"/>
        <v>0</v>
      </c>
      <c r="J13" s="25">
        <f t="shared" ca="1" si="6"/>
        <v>0</v>
      </c>
      <c r="K13" s="25">
        <f t="shared" ca="1" si="6"/>
        <v>0</v>
      </c>
      <c r="L13" s="25">
        <f t="shared" ca="1" si="6"/>
        <v>0</v>
      </c>
      <c r="M13" s="25">
        <f t="shared" ca="1" si="6"/>
        <v>0</v>
      </c>
      <c r="N13" s="25">
        <f t="shared" ca="1" si="6"/>
        <v>0</v>
      </c>
      <c r="O13" s="25">
        <f t="shared" ca="1" si="6"/>
        <v>264</v>
      </c>
      <c r="P13" s="25">
        <f t="shared" ca="1" si="6"/>
        <v>216</v>
      </c>
      <c r="Q13" s="25">
        <f t="shared" ca="1" si="6"/>
        <v>228</v>
      </c>
      <c r="R13" s="25">
        <f t="shared" ca="1" si="6"/>
        <v>276</v>
      </c>
      <c r="S13" s="25">
        <f t="shared" ca="1" si="6"/>
        <v>0</v>
      </c>
      <c r="T13" s="25">
        <f t="shared" ca="1" si="6"/>
        <v>0</v>
      </c>
      <c r="U13" s="91">
        <f t="shared" ca="1" si="6"/>
        <v>0</v>
      </c>
    </row>
    <row r="14" spans="1:21" x14ac:dyDescent="0.3">
      <c r="A14" s="37" t="s">
        <v>6</v>
      </c>
      <c r="B14" s="87">
        <f ca="1">B88</f>
        <v>0</v>
      </c>
      <c r="C14" s="25">
        <f t="shared" ref="C14:U14" ca="1" si="7">C88</f>
        <v>0</v>
      </c>
      <c r="D14" s="25">
        <f t="shared" ca="1" si="7"/>
        <v>0</v>
      </c>
      <c r="E14" s="25">
        <f t="shared" ca="1" si="7"/>
        <v>0</v>
      </c>
      <c r="F14" s="25">
        <f t="shared" ca="1" si="7"/>
        <v>0</v>
      </c>
      <c r="G14" s="25">
        <f t="shared" ca="1" si="7"/>
        <v>0</v>
      </c>
      <c r="H14" s="25">
        <f t="shared" ca="1" si="7"/>
        <v>0</v>
      </c>
      <c r="I14" s="25">
        <f t="shared" ca="1" si="7"/>
        <v>0</v>
      </c>
      <c r="J14" s="25">
        <f t="shared" ca="1" si="7"/>
        <v>0</v>
      </c>
      <c r="K14" s="25">
        <f t="shared" ca="1" si="7"/>
        <v>0</v>
      </c>
      <c r="L14" s="25">
        <f t="shared" ca="1" si="7"/>
        <v>0</v>
      </c>
      <c r="M14" s="25">
        <f t="shared" ca="1" si="7"/>
        <v>0</v>
      </c>
      <c r="N14" s="25">
        <f t="shared" ca="1" si="7"/>
        <v>0</v>
      </c>
      <c r="O14" s="25">
        <f t="shared" ca="1" si="7"/>
        <v>400</v>
      </c>
      <c r="P14" s="25">
        <f t="shared" ca="1" si="7"/>
        <v>800</v>
      </c>
      <c r="Q14" s="25">
        <f t="shared" ca="1" si="7"/>
        <v>800</v>
      </c>
      <c r="R14" s="25">
        <f t="shared" ca="1" si="7"/>
        <v>1200</v>
      </c>
      <c r="S14" s="25">
        <f t="shared" ca="1" si="7"/>
        <v>200</v>
      </c>
      <c r="T14" s="25">
        <f t="shared" ca="1" si="7"/>
        <v>0</v>
      </c>
      <c r="U14" s="91">
        <f t="shared" ca="1" si="7"/>
        <v>0</v>
      </c>
    </row>
    <row r="15" spans="1:21" x14ac:dyDescent="0.3">
      <c r="A15" s="37" t="s">
        <v>34</v>
      </c>
      <c r="B15" s="87">
        <f ca="1">B97</f>
        <v>0</v>
      </c>
      <c r="C15" s="25">
        <f t="shared" ref="C15:U15" ca="1" si="8">C97</f>
        <v>0</v>
      </c>
      <c r="D15" s="25">
        <f t="shared" ca="1" si="8"/>
        <v>0</v>
      </c>
      <c r="E15" s="25">
        <f t="shared" ca="1" si="8"/>
        <v>0</v>
      </c>
      <c r="F15" s="25">
        <f t="shared" ca="1" si="8"/>
        <v>0</v>
      </c>
      <c r="G15" s="25">
        <f t="shared" ca="1" si="8"/>
        <v>0</v>
      </c>
      <c r="H15" s="25">
        <f t="shared" ca="1" si="8"/>
        <v>0</v>
      </c>
      <c r="I15" s="25">
        <f t="shared" ca="1" si="8"/>
        <v>0</v>
      </c>
      <c r="J15" s="25">
        <f t="shared" ca="1" si="8"/>
        <v>0</v>
      </c>
      <c r="K15" s="25">
        <f t="shared" ca="1" si="8"/>
        <v>0</v>
      </c>
      <c r="L15" s="25">
        <f t="shared" ca="1" si="8"/>
        <v>0</v>
      </c>
      <c r="M15" s="25">
        <f t="shared" ca="1" si="8"/>
        <v>0</v>
      </c>
      <c r="N15" s="25">
        <f t="shared" ca="1" si="8"/>
        <v>225</v>
      </c>
      <c r="O15" s="25">
        <f t="shared" ca="1" si="8"/>
        <v>600</v>
      </c>
      <c r="P15" s="25">
        <f t="shared" ca="1" si="8"/>
        <v>750</v>
      </c>
      <c r="Q15" s="25">
        <f t="shared" ca="1" si="8"/>
        <v>750</v>
      </c>
      <c r="R15" s="25">
        <f t="shared" ca="1" si="8"/>
        <v>750</v>
      </c>
      <c r="S15" s="25">
        <f t="shared" ca="1" si="8"/>
        <v>0</v>
      </c>
      <c r="T15" s="25">
        <f t="shared" ca="1" si="8"/>
        <v>0</v>
      </c>
      <c r="U15" s="91">
        <f t="shared" ca="1" si="8"/>
        <v>0</v>
      </c>
    </row>
    <row r="16" spans="1:21" ht="15" thickBot="1" x14ac:dyDescent="0.35">
      <c r="A16" s="38" t="s">
        <v>35</v>
      </c>
      <c r="B16" s="88">
        <f ca="1">B106</f>
        <v>0</v>
      </c>
      <c r="C16" s="46">
        <f t="shared" ref="C16:U16" ca="1" si="9">C106</f>
        <v>0</v>
      </c>
      <c r="D16" s="46">
        <f t="shared" ca="1" si="9"/>
        <v>0</v>
      </c>
      <c r="E16" s="46">
        <f t="shared" ca="1" si="9"/>
        <v>0</v>
      </c>
      <c r="F16" s="46">
        <f t="shared" ca="1" si="9"/>
        <v>0</v>
      </c>
      <c r="G16" s="46">
        <f t="shared" ca="1" si="9"/>
        <v>0</v>
      </c>
      <c r="H16" s="46">
        <f t="shared" ca="1" si="9"/>
        <v>0</v>
      </c>
      <c r="I16" s="46">
        <f t="shared" ca="1" si="9"/>
        <v>0</v>
      </c>
      <c r="J16" s="46">
        <f t="shared" ca="1" si="9"/>
        <v>0</v>
      </c>
      <c r="K16" s="46">
        <f t="shared" ca="1" si="9"/>
        <v>0</v>
      </c>
      <c r="L16" s="46">
        <f t="shared" ca="1" si="9"/>
        <v>285</v>
      </c>
      <c r="M16" s="46">
        <f t="shared" ca="1" si="9"/>
        <v>1470</v>
      </c>
      <c r="N16" s="46">
        <f t="shared" ca="1" si="9"/>
        <v>1740</v>
      </c>
      <c r="O16" s="46">
        <f t="shared" ca="1" si="9"/>
        <v>1635</v>
      </c>
      <c r="P16" s="46">
        <f t="shared" ca="1" si="9"/>
        <v>1995</v>
      </c>
      <c r="Q16" s="46">
        <f t="shared" ca="1" si="9"/>
        <v>30</v>
      </c>
      <c r="R16" s="46">
        <f t="shared" ca="1" si="9"/>
        <v>105</v>
      </c>
      <c r="S16" s="46">
        <f t="shared" ca="1" si="9"/>
        <v>15</v>
      </c>
      <c r="T16" s="46">
        <f t="shared" ca="1" si="9"/>
        <v>0</v>
      </c>
      <c r="U16" s="92">
        <f t="shared" ca="1" si="9"/>
        <v>0</v>
      </c>
    </row>
    <row r="17" spans="1:21" ht="15" thickBot="1" x14ac:dyDescent="0.35">
      <c r="A17" s="33"/>
      <c r="B17" s="9"/>
    </row>
    <row r="18" spans="1:21" ht="15" thickBot="1" x14ac:dyDescent="0.35">
      <c r="A18" s="71" t="s">
        <v>0</v>
      </c>
      <c r="B18" s="74">
        <v>1</v>
      </c>
      <c r="C18" s="39">
        <v>2</v>
      </c>
      <c r="D18" s="39">
        <v>3</v>
      </c>
      <c r="E18" s="39">
        <v>4</v>
      </c>
      <c r="F18" s="39">
        <v>5</v>
      </c>
      <c r="G18" s="39">
        <v>6</v>
      </c>
      <c r="H18" s="39">
        <v>7</v>
      </c>
      <c r="I18" s="39">
        <v>8</v>
      </c>
      <c r="J18" s="39">
        <v>9</v>
      </c>
      <c r="K18" s="39">
        <v>10</v>
      </c>
      <c r="L18" s="39">
        <v>11</v>
      </c>
      <c r="M18" s="39">
        <v>12</v>
      </c>
      <c r="N18" s="39">
        <v>13</v>
      </c>
      <c r="O18" s="39">
        <v>14</v>
      </c>
      <c r="P18" s="39">
        <v>15</v>
      </c>
      <c r="Q18" s="39">
        <v>16</v>
      </c>
      <c r="R18" s="39">
        <v>17</v>
      </c>
      <c r="S18" s="39">
        <v>18</v>
      </c>
      <c r="T18" s="39">
        <v>19</v>
      </c>
      <c r="U18" s="40">
        <v>20</v>
      </c>
    </row>
    <row r="19" spans="1:21" x14ac:dyDescent="0.3">
      <c r="A19" s="41" t="s">
        <v>42</v>
      </c>
      <c r="B19" s="89">
        <f>IFERROR(VLOOKUP($A$7,'Datos de Entrada (1)'!$A$7:$E$10,MATCH(B18,'Datos de Entrada (1)'!$A$6:$E$6,0),0),0)</f>
        <v>0</v>
      </c>
      <c r="C19" s="42">
        <f>IFERROR(VLOOKUP($A$7,'Datos de Entrada (1)'!$A$7:$E$10,MATCH(C18,'Datos de Entrada (1)'!$A$6:$E$6,0),0),0)</f>
        <v>0</v>
      </c>
      <c r="D19" s="42">
        <f>IFERROR(VLOOKUP($A$7,'Datos de Entrada (1)'!$A$7:$E$10,MATCH(D18,'Datos de Entrada (1)'!$A$6:$E$6,0),0),0)</f>
        <v>0</v>
      </c>
      <c r="E19" s="42">
        <f>IFERROR(VLOOKUP($A$7,'Datos de Entrada (1)'!$A$7:$E$10,MATCH(E18,'Datos de Entrada (1)'!$A$6:$E$6,0),0),0)</f>
        <v>0</v>
      </c>
      <c r="F19" s="42">
        <f>IFERROR(VLOOKUP($A$7,'Datos de Entrada (1)'!$A$7:$E$10,MATCH(F18,'Datos de Entrada (1)'!$A$6:$E$6,0),0),0)</f>
        <v>0</v>
      </c>
      <c r="G19" s="42">
        <f>IFERROR(VLOOKUP($A$7,'Datos de Entrada (1)'!$A$7:$E$10,MATCH(G18,'Datos de Entrada (1)'!$A$6:$E$6,0),0),0)</f>
        <v>0</v>
      </c>
      <c r="H19" s="42">
        <f>IFERROR(VLOOKUP($A$7,'Datos de Entrada (1)'!$A$7:$E$10,MATCH(H18,'Datos de Entrada (1)'!$A$6:$E$6,0),0),0)</f>
        <v>0</v>
      </c>
      <c r="I19" s="42">
        <f>IFERROR(VLOOKUP($A$7,'Datos de Entrada (1)'!$A$7:$E$10,MATCH(I18,'Datos de Entrada (1)'!$A$6:$E$6,0),0),0)</f>
        <v>0</v>
      </c>
      <c r="J19" s="42">
        <f>IFERROR(VLOOKUP($A$7,'Datos de Entrada (1)'!$A$7:$E$10,MATCH(J18,'Datos de Entrada (1)'!$A$6:$E$6,0),0),0)</f>
        <v>0</v>
      </c>
      <c r="K19" s="42">
        <f>IFERROR(VLOOKUP($A$7,'Datos de Entrada (1)'!$A$7:$E$10,MATCH(K18,'Datos de Entrada (1)'!$A$6:$E$6,0),0),0)</f>
        <v>0</v>
      </c>
      <c r="L19" s="42">
        <f>IFERROR(VLOOKUP($A$7,'Datos de Entrada (1)'!$A$7:$E$10,MATCH(L18,'Datos de Entrada (1)'!$A$6:$E$6,0),0),0)</f>
        <v>0</v>
      </c>
      <c r="M19" s="42">
        <f>IFERROR(VLOOKUP($A$7,'Datos de Entrada (1)'!$A$7:$E$10,MATCH(M18,'Datos de Entrada (1)'!$A$6:$E$6,0),0),0)</f>
        <v>0</v>
      </c>
      <c r="N19" s="42">
        <f>IFERROR(VLOOKUP($A$7,'Datos de Entrada (1)'!$A$7:$E$10,MATCH(N18,'Datos de Entrada (1)'!$A$6:$E$6,0),0),0)</f>
        <v>0</v>
      </c>
      <c r="O19" s="42">
        <f>IFERROR(VLOOKUP($A$7,'Datos de Entrada (1)'!$A$7:$E$10,MATCH(O18,'Datos de Entrada (1)'!$A$6:$E$6,0),0),0)</f>
        <v>0</v>
      </c>
      <c r="P19" s="42">
        <f>IFERROR(VLOOKUP($A$7,'Datos de Entrada (1)'!$A$7:$E$10,MATCH(P18,'Datos de Entrada (1)'!$A$6:$E$6,0),0),0)</f>
        <v>0</v>
      </c>
      <c r="Q19" s="42">
        <f>IFERROR(VLOOKUP($A$7,'Datos de Entrada (1)'!$A$7:$E$10,MATCH(Q18,'Datos de Entrada (1)'!$A$6:$E$6,0),0),0)</f>
        <v>0</v>
      </c>
      <c r="R19" s="42">
        <f>IFERROR(VLOOKUP($A$7,'Datos de Entrada (1)'!$A$7:$E$10,MATCH(R18,'Datos de Entrada (1)'!$A$6:$E$6,0),0),0)</f>
        <v>100</v>
      </c>
      <c r="S19" s="42">
        <f>IFERROR(VLOOKUP($A$7,'Datos de Entrada (1)'!$A$7:$E$10,MATCH(S18,'Datos de Entrada (1)'!$A$6:$E$6,0),0),0)</f>
        <v>80</v>
      </c>
      <c r="T19" s="42">
        <f>IFERROR(VLOOKUP($A$7,'Datos de Entrada (1)'!$A$7:$E$10,MATCH(T18,'Datos de Entrada (1)'!$A$6:$E$6,0),0),0)</f>
        <v>100</v>
      </c>
      <c r="U19" s="43">
        <f>IFERROR(VLOOKUP($A$7,'Datos de Entrada (1)'!$A$7:$E$10,MATCH(U18,'Datos de Entrada (1)'!$A$6:$E$6,0),0),0)</f>
        <v>120</v>
      </c>
    </row>
    <row r="20" spans="1:21" x14ac:dyDescent="0.3">
      <c r="A20" s="73" t="s">
        <v>43</v>
      </c>
      <c r="B20" s="44">
        <f>'Datos de Entrada (1)'!$E$18</f>
        <v>70</v>
      </c>
      <c r="C20" s="25">
        <f>B20+B24-B19</f>
        <v>70</v>
      </c>
      <c r="D20" s="25">
        <f t="shared" ref="D20:T20" si="10">C20+C24-C19</f>
        <v>70</v>
      </c>
      <c r="E20" s="25">
        <f t="shared" si="10"/>
        <v>70</v>
      </c>
      <c r="F20" s="25">
        <f t="shared" si="10"/>
        <v>70</v>
      </c>
      <c r="G20" s="25">
        <f t="shared" si="10"/>
        <v>70</v>
      </c>
      <c r="H20" s="25">
        <f t="shared" si="10"/>
        <v>70</v>
      </c>
      <c r="I20" s="25">
        <f t="shared" si="10"/>
        <v>70</v>
      </c>
      <c r="J20" s="25">
        <f t="shared" si="10"/>
        <v>70</v>
      </c>
      <c r="K20" s="25">
        <f t="shared" si="10"/>
        <v>70</v>
      </c>
      <c r="L20" s="25">
        <f t="shared" si="10"/>
        <v>70</v>
      </c>
      <c r="M20" s="25">
        <f t="shared" si="10"/>
        <v>70</v>
      </c>
      <c r="N20" s="25">
        <f t="shared" si="10"/>
        <v>70</v>
      </c>
      <c r="O20" s="25">
        <f t="shared" si="10"/>
        <v>70</v>
      </c>
      <c r="P20" s="25">
        <f t="shared" si="10"/>
        <v>70</v>
      </c>
      <c r="Q20" s="25">
        <f t="shared" si="10"/>
        <v>70</v>
      </c>
      <c r="R20" s="25">
        <f t="shared" si="10"/>
        <v>70</v>
      </c>
      <c r="S20" s="25">
        <f t="shared" si="10"/>
        <v>50</v>
      </c>
      <c r="T20" s="25">
        <f t="shared" si="10"/>
        <v>50</v>
      </c>
      <c r="U20" s="45">
        <f>T20+T24-T19</f>
        <v>50</v>
      </c>
    </row>
    <row r="21" spans="1:21" x14ac:dyDescent="0.3">
      <c r="A21" s="73" t="s">
        <v>44</v>
      </c>
      <c r="B21" s="87">
        <f>IF(B19=0,0,MAX(0,B19+'Datos de Entrada (1)'!$B$18-'LANZ PP'!B20))</f>
        <v>0</v>
      </c>
      <c r="C21" s="25">
        <f>IF(C19=0,0,MAX(0,C19+'Datos de Entrada (1)'!$B$18-'LANZ PP'!C20))</f>
        <v>0</v>
      </c>
      <c r="D21" s="25">
        <f>IF(D19=0,0,MAX(0,D19+'Datos de Entrada (1)'!$B$18-'LANZ PP'!D20))</f>
        <v>0</v>
      </c>
      <c r="E21" s="25">
        <f>IF(E19=0,0,MAX(0,E19+'Datos de Entrada (1)'!$B$18-'LANZ PP'!E20))</f>
        <v>0</v>
      </c>
      <c r="F21" s="25">
        <f>IF(F19=0,0,MAX(0,F19+'Datos de Entrada (1)'!$B$18-'LANZ PP'!F20))</f>
        <v>0</v>
      </c>
      <c r="G21" s="25">
        <f>IF(G19=0,0,MAX(0,G19+'Datos de Entrada (1)'!$B$18-'LANZ PP'!G20))</f>
        <v>0</v>
      </c>
      <c r="H21" s="25">
        <f>IF(H19=0,0,MAX(0,H19+'Datos de Entrada (1)'!$B$18-'LANZ PP'!H20))</f>
        <v>0</v>
      </c>
      <c r="I21" s="25">
        <f>IF(I19=0,0,MAX(0,I19+'Datos de Entrada (1)'!$B$18-'LANZ PP'!I20))</f>
        <v>0</v>
      </c>
      <c r="J21" s="25">
        <f>IF(J19=0,0,MAX(0,J19+'Datos de Entrada (1)'!$B$18-'LANZ PP'!J20))</f>
        <v>0</v>
      </c>
      <c r="K21" s="25">
        <f>IF(K19=0,0,MAX(0,K19+'Datos de Entrada (1)'!$B$18-'LANZ PP'!K20))</f>
        <v>0</v>
      </c>
      <c r="L21" s="25">
        <f>IF(L19=0,0,MAX(0,L19+'Datos de Entrada (1)'!$B$18-'LANZ PP'!L20))</f>
        <v>0</v>
      </c>
      <c r="M21" s="25">
        <f>IF(M19=0,0,MAX(0,M19+'Datos de Entrada (1)'!$B$18-'LANZ PP'!M20))</f>
        <v>0</v>
      </c>
      <c r="N21" s="25">
        <f>IF(N19=0,0,MAX(0,N19+'Datos de Entrada (1)'!$B$18-'LANZ PP'!N20))</f>
        <v>0</v>
      </c>
      <c r="O21" s="25">
        <f>IF(O19=0,0,MAX(0,O19+'Datos de Entrada (1)'!$B$18-'LANZ PP'!O20))</f>
        <v>0</v>
      </c>
      <c r="P21" s="25">
        <f>IF(P19=0,0,MAX(0,P19+'Datos de Entrada (1)'!$B$18-'LANZ PP'!P20))</f>
        <v>0</v>
      </c>
      <c r="Q21" s="25">
        <f>IF(Q19=0,0,MAX(0,Q19+'Datos de Entrada (1)'!$B$18-'LANZ PP'!Q20))</f>
        <v>0</v>
      </c>
      <c r="R21" s="25">
        <f>IF(R19=0,0,MAX(0,R19+'Datos de Entrada (1)'!$B$18-'LANZ PP'!R20))</f>
        <v>80</v>
      </c>
      <c r="S21" s="25">
        <f>IF(S19=0,0,MAX(0,S19+'Datos de Entrada (1)'!$B$18-'LANZ PP'!S20))</f>
        <v>80</v>
      </c>
      <c r="T21" s="25">
        <f>IF(T19=0,0,MAX(0,T19+'Datos de Entrada (1)'!$B$18-'LANZ PP'!T20))</f>
        <v>100</v>
      </c>
      <c r="U21" s="45">
        <f>IF(U19=0,0,MAX(0,U19+'Datos de Entrada (1)'!$B$18-'LANZ PP'!U20))</f>
        <v>120</v>
      </c>
    </row>
    <row r="22" spans="1:21" x14ac:dyDescent="0.3">
      <c r="A22" s="73" t="s">
        <v>45</v>
      </c>
      <c r="B22" s="87">
        <f>ROUNDUP(B21/(1-('Datos de Entrada (1)'!$D$18/100)),0)</f>
        <v>0</v>
      </c>
      <c r="C22" s="25">
        <f>ROUNDUP(C21/(1-('Datos de Entrada (1)'!$D$18/100)),0)</f>
        <v>0</v>
      </c>
      <c r="D22" s="25">
        <f>ROUNDUP(D21/(1-('Datos de Entrada (1)'!$D$18/100)),0)</f>
        <v>0</v>
      </c>
      <c r="E22" s="25">
        <f>ROUNDUP(E21/(1-('Datos de Entrada (1)'!$D$18/100)),0)</f>
        <v>0</v>
      </c>
      <c r="F22" s="25">
        <f>ROUNDUP(F21/(1-('Datos de Entrada (1)'!$D$18/100)),0)</f>
        <v>0</v>
      </c>
      <c r="G22" s="25">
        <f>ROUNDUP(G21/(1-('Datos de Entrada (1)'!$D$18/100)),0)</f>
        <v>0</v>
      </c>
      <c r="H22" s="25">
        <f>ROUNDUP(H21/(1-('Datos de Entrada (1)'!$D$18/100)),0)</f>
        <v>0</v>
      </c>
      <c r="I22" s="25">
        <f>ROUNDUP(I21/(1-('Datos de Entrada (1)'!$D$18/100)),0)</f>
        <v>0</v>
      </c>
      <c r="J22" s="25">
        <f>ROUNDUP(J21/(1-('Datos de Entrada (1)'!$D$18/100)),0)</f>
        <v>0</v>
      </c>
      <c r="K22" s="25">
        <f>ROUNDUP(K21/(1-('Datos de Entrada (1)'!$D$18/100)),0)</f>
        <v>0</v>
      </c>
      <c r="L22" s="25">
        <f>ROUNDUP(L21/(1-('Datos de Entrada (1)'!$D$18/100)),0)</f>
        <v>0</v>
      </c>
      <c r="M22" s="25">
        <f>ROUNDUP(M21/(1-('Datos de Entrada (1)'!$D$18/100)),0)</f>
        <v>0</v>
      </c>
      <c r="N22" s="25">
        <f>ROUNDUP(N21/(1-('Datos de Entrada (1)'!$D$18/100)),0)</f>
        <v>0</v>
      </c>
      <c r="O22" s="25">
        <f>ROUNDUP(O21/(1-('Datos de Entrada (1)'!$D$18/100)),0)</f>
        <v>0</v>
      </c>
      <c r="P22" s="25">
        <f>ROUNDUP(P21/(1-('Datos de Entrada (1)'!$D$18/100)),0)</f>
        <v>0</v>
      </c>
      <c r="Q22" s="25">
        <f>ROUNDUP(Q21/(1-('Datos de Entrada (1)'!$D$18/100)),0)</f>
        <v>0</v>
      </c>
      <c r="R22" s="25">
        <f>ROUNDUP(R21/(1-('Datos de Entrada (1)'!$D$18/100)),0)</f>
        <v>80</v>
      </c>
      <c r="S22" s="25">
        <f>ROUNDUP(S21/(1-('Datos de Entrada (1)'!$D$18/100)),0)</f>
        <v>80</v>
      </c>
      <c r="T22" s="25">
        <f>ROUNDUP(T21/(1-('Datos de Entrada (1)'!$D$18/100)),0)</f>
        <v>100</v>
      </c>
      <c r="U22" s="45">
        <f>ROUNDUP(U21/(1-('Datos de Entrada (1)'!$D$18/100)),0)</f>
        <v>120</v>
      </c>
    </row>
    <row r="23" spans="1:21" x14ac:dyDescent="0.3">
      <c r="A23" s="73" t="s">
        <v>46</v>
      </c>
      <c r="B23" s="87">
        <f>ROUNDUP(B22/'Datos de Entrada (1)'!$F$18,0)*'Datos de Entrada (1)'!$F$18</f>
        <v>0</v>
      </c>
      <c r="C23" s="25">
        <f>ROUNDUP(C22/'Datos de Entrada (1)'!$F$18,0)*'Datos de Entrada (1)'!$F$18</f>
        <v>0</v>
      </c>
      <c r="D23" s="25">
        <f>ROUNDUP(D22/'Datos de Entrada (1)'!$F$18,0)*'Datos de Entrada (1)'!$F$18</f>
        <v>0</v>
      </c>
      <c r="E23" s="25">
        <f>ROUNDUP(E22/'Datos de Entrada (1)'!$F$18,0)*'Datos de Entrada (1)'!$F$18</f>
        <v>0</v>
      </c>
      <c r="F23" s="25">
        <f>ROUNDUP(F22/'Datos de Entrada (1)'!$F$18,0)*'Datos de Entrada (1)'!$F$18</f>
        <v>0</v>
      </c>
      <c r="G23" s="25">
        <f>ROUNDUP(G22/'Datos de Entrada (1)'!$F$18,0)*'Datos de Entrada (1)'!$F$18</f>
        <v>0</v>
      </c>
      <c r="H23" s="25">
        <f>ROUNDUP(H22/'Datos de Entrada (1)'!$F$18,0)*'Datos de Entrada (1)'!$F$18</f>
        <v>0</v>
      </c>
      <c r="I23" s="25">
        <f>ROUNDUP(I22/'Datos de Entrada (1)'!$F$18,0)*'Datos de Entrada (1)'!$F$18</f>
        <v>0</v>
      </c>
      <c r="J23" s="25">
        <f>ROUNDUP(J22/'Datos de Entrada (1)'!$F$18,0)*'Datos de Entrada (1)'!$F$18</f>
        <v>0</v>
      </c>
      <c r="K23" s="25">
        <f>ROUNDUP(K22/'Datos de Entrada (1)'!$F$18,0)*'Datos de Entrada (1)'!$F$18</f>
        <v>0</v>
      </c>
      <c r="L23" s="25">
        <f>ROUNDUP(L22/'Datos de Entrada (1)'!$F$18,0)*'Datos de Entrada (1)'!$F$18</f>
        <v>0</v>
      </c>
      <c r="M23" s="25">
        <f>ROUNDUP(M22/'Datos de Entrada (1)'!$F$18,0)*'Datos de Entrada (1)'!$F$18</f>
        <v>0</v>
      </c>
      <c r="N23" s="25">
        <f>ROUNDUP(N22/'Datos de Entrada (1)'!$F$18,0)*'Datos de Entrada (1)'!$F$18</f>
        <v>0</v>
      </c>
      <c r="O23" s="25">
        <f>ROUNDUP(O22/'Datos de Entrada (1)'!$F$18,0)*'Datos de Entrada (1)'!$F$18</f>
        <v>0</v>
      </c>
      <c r="P23" s="25">
        <f>ROUNDUP(P22/'Datos de Entrada (1)'!$F$18,0)*'Datos de Entrada (1)'!$F$18</f>
        <v>0</v>
      </c>
      <c r="Q23" s="25">
        <f>ROUNDUP(Q22/'Datos de Entrada (1)'!$F$18,0)*'Datos de Entrada (1)'!$F$18</f>
        <v>0</v>
      </c>
      <c r="R23" s="25">
        <f>ROUNDUP(R22/'Datos de Entrada (1)'!$F$18,0)*'Datos de Entrada (1)'!$F$18</f>
        <v>80</v>
      </c>
      <c r="S23" s="25">
        <f>ROUNDUP(S22/'Datos de Entrada (1)'!$F$18,0)*'Datos de Entrada (1)'!$F$18</f>
        <v>80</v>
      </c>
      <c r="T23" s="25">
        <f>ROUNDUP(T22/'Datos de Entrada (1)'!$F$18,0)*'Datos de Entrada (1)'!$F$18</f>
        <v>100</v>
      </c>
      <c r="U23" s="45">
        <f>ROUNDUP(U22/'Datos de Entrada (1)'!$F$18,0)*'Datos de Entrada (1)'!$F$18</f>
        <v>120</v>
      </c>
    </row>
    <row r="24" spans="1:21" x14ac:dyDescent="0.3">
      <c r="A24" s="73" t="s">
        <v>47</v>
      </c>
      <c r="B24" s="87">
        <f>ROUNDDOWN(B23*(1-('Datos de Entrada (1)'!$D$18/100)),0)</f>
        <v>0</v>
      </c>
      <c r="C24" s="25">
        <f>ROUNDDOWN(C23*(1-('Datos de Entrada (1)'!$D$18/100)),0)</f>
        <v>0</v>
      </c>
      <c r="D24" s="25">
        <f>ROUNDDOWN(D23*(1-('Datos de Entrada (1)'!$D$18/100)),0)</f>
        <v>0</v>
      </c>
      <c r="E24" s="25">
        <f>ROUNDDOWN(E23*(1-('Datos de Entrada (1)'!$D$18/100)),0)</f>
        <v>0</v>
      </c>
      <c r="F24" s="25">
        <f>ROUNDDOWN(F23*(1-('Datos de Entrada (1)'!$D$18/100)),0)</f>
        <v>0</v>
      </c>
      <c r="G24" s="25">
        <f>ROUNDDOWN(G23*(1-('Datos de Entrada (1)'!$D$18/100)),0)</f>
        <v>0</v>
      </c>
      <c r="H24" s="25">
        <f>ROUNDDOWN(H23*(1-('Datos de Entrada (1)'!$D$18/100)),0)</f>
        <v>0</v>
      </c>
      <c r="I24" s="25">
        <f>ROUNDDOWN(I23*(1-('Datos de Entrada (1)'!$D$18/100)),0)</f>
        <v>0</v>
      </c>
      <c r="J24" s="25">
        <f>ROUNDDOWN(J23*(1-('Datos de Entrada (1)'!$D$18/100)),0)</f>
        <v>0</v>
      </c>
      <c r="K24" s="25">
        <f>ROUNDDOWN(K23*(1-('Datos de Entrada (1)'!$D$18/100)),0)</f>
        <v>0</v>
      </c>
      <c r="L24" s="25">
        <f>ROUNDDOWN(L23*(1-('Datos de Entrada (1)'!$D$18/100)),0)</f>
        <v>0</v>
      </c>
      <c r="M24" s="25">
        <f>ROUNDDOWN(M23*(1-('Datos de Entrada (1)'!$D$18/100)),0)</f>
        <v>0</v>
      </c>
      <c r="N24" s="25">
        <f>ROUNDDOWN(N23*(1-('Datos de Entrada (1)'!$D$18/100)),0)</f>
        <v>0</v>
      </c>
      <c r="O24" s="25">
        <f>ROUNDDOWN(O23*(1-('Datos de Entrada (1)'!$D$18/100)),0)</f>
        <v>0</v>
      </c>
      <c r="P24" s="25">
        <f>ROUNDDOWN(P23*(1-('Datos de Entrada (1)'!$D$18/100)),0)</f>
        <v>0</v>
      </c>
      <c r="Q24" s="25">
        <f>ROUNDDOWN(Q23*(1-('Datos de Entrada (1)'!$D$18/100)),0)</f>
        <v>0</v>
      </c>
      <c r="R24" s="25">
        <f>ROUNDDOWN(R23*(1-('Datos de Entrada (1)'!$D$18/100)),0)</f>
        <v>80</v>
      </c>
      <c r="S24" s="25">
        <f>ROUNDDOWN(S23*(1-('Datos de Entrada (1)'!$D$18/100)),0)</f>
        <v>80</v>
      </c>
      <c r="T24" s="25">
        <f>ROUNDDOWN(T23*(1-('Datos de Entrada (1)'!$D$18/100)),0)</f>
        <v>100</v>
      </c>
      <c r="U24" s="45">
        <f>ROUNDDOWN(U23*(1-('Datos de Entrada (1)'!$D$18/100)),0)</f>
        <v>120</v>
      </c>
    </row>
    <row r="25" spans="1:21" ht="15" thickBot="1" x14ac:dyDescent="0.35">
      <c r="A25" s="72" t="s">
        <v>48</v>
      </c>
      <c r="B25" s="88">
        <f ca="1">OFFSET(B23,0,'Datos de Entrada (1)'!$C$18)</f>
        <v>0</v>
      </c>
      <c r="C25" s="46">
        <f ca="1">OFFSET(C23,0,'Datos de Entrada (1)'!$C$18)</f>
        <v>0</v>
      </c>
      <c r="D25" s="46">
        <f ca="1">OFFSET(D23,0,'Datos de Entrada (1)'!$C$18)</f>
        <v>0</v>
      </c>
      <c r="E25" s="46">
        <f ca="1">OFFSET(E23,0,'Datos de Entrada (1)'!$C$18)</f>
        <v>0</v>
      </c>
      <c r="F25" s="46">
        <f ca="1">OFFSET(F23,0,'Datos de Entrada (1)'!$C$18)</f>
        <v>0</v>
      </c>
      <c r="G25" s="46">
        <f ca="1">OFFSET(G23,0,'Datos de Entrada (1)'!$C$18)</f>
        <v>0</v>
      </c>
      <c r="H25" s="46">
        <f ca="1">OFFSET(H23,0,'Datos de Entrada (1)'!$C$18)</f>
        <v>0</v>
      </c>
      <c r="I25" s="46">
        <f ca="1">OFFSET(I23,0,'Datos de Entrada (1)'!$C$18)</f>
        <v>0</v>
      </c>
      <c r="J25" s="46">
        <f ca="1">OFFSET(J23,0,'Datos de Entrada (1)'!$C$18)</f>
        <v>0</v>
      </c>
      <c r="K25" s="46">
        <f ca="1">OFFSET(K23,0,'Datos de Entrada (1)'!$C$18)</f>
        <v>0</v>
      </c>
      <c r="L25" s="46">
        <f ca="1">OFFSET(L23,0,'Datos de Entrada (1)'!$C$18)</f>
        <v>0</v>
      </c>
      <c r="M25" s="46">
        <f ca="1">OFFSET(M23,0,'Datos de Entrada (1)'!$C$18)</f>
        <v>0</v>
      </c>
      <c r="N25" s="46">
        <f ca="1">OFFSET(N23,0,'Datos de Entrada (1)'!$C$18)</f>
        <v>0</v>
      </c>
      <c r="O25" s="46">
        <f ca="1">OFFSET(O23,0,'Datos de Entrada (1)'!$C$18)</f>
        <v>0</v>
      </c>
      <c r="P25" s="46">
        <f ca="1">OFFSET(P23,0,'Datos de Entrada (1)'!$C$18)</f>
        <v>0</v>
      </c>
      <c r="Q25" s="46">
        <f ca="1">OFFSET(Q23,0,'Datos de Entrada (1)'!$C$18)</f>
        <v>80</v>
      </c>
      <c r="R25" s="46">
        <f ca="1">OFFSET(R23,0,'Datos de Entrada (1)'!$C$18)</f>
        <v>80</v>
      </c>
      <c r="S25" s="46">
        <f ca="1">OFFSET(S23,0,'Datos de Entrada (1)'!$C$18)</f>
        <v>100</v>
      </c>
      <c r="T25" s="46">
        <f ca="1">OFFSET(T23,0,'Datos de Entrada (1)'!$C$18)</f>
        <v>120</v>
      </c>
      <c r="U25" s="47">
        <f ca="1">OFFSET(U23,0,'Datos de Entrada (1)'!$C$18)</f>
        <v>0</v>
      </c>
    </row>
    <row r="26" spans="1:21" ht="15" thickBot="1" x14ac:dyDescent="0.35"/>
    <row r="27" spans="1:21" ht="15" thickBot="1" x14ac:dyDescent="0.35">
      <c r="A27" s="71" t="s">
        <v>5</v>
      </c>
      <c r="B27" s="74">
        <v>1</v>
      </c>
      <c r="C27" s="39">
        <v>2</v>
      </c>
      <c r="D27" s="39">
        <v>3</v>
      </c>
      <c r="E27" s="39">
        <v>4</v>
      </c>
      <c r="F27" s="39">
        <v>5</v>
      </c>
      <c r="G27" s="39">
        <v>6</v>
      </c>
      <c r="H27" s="39">
        <v>7</v>
      </c>
      <c r="I27" s="39">
        <v>8</v>
      </c>
      <c r="J27" s="39">
        <v>9</v>
      </c>
      <c r="K27" s="39">
        <v>10</v>
      </c>
      <c r="L27" s="39">
        <v>11</v>
      </c>
      <c r="M27" s="39">
        <v>12</v>
      </c>
      <c r="N27" s="39">
        <v>13</v>
      </c>
      <c r="O27" s="39">
        <v>14</v>
      </c>
      <c r="P27" s="39">
        <v>15</v>
      </c>
      <c r="Q27" s="39">
        <v>16</v>
      </c>
      <c r="R27" s="39">
        <v>17</v>
      </c>
      <c r="S27" s="39">
        <v>18</v>
      </c>
      <c r="T27" s="39">
        <v>19</v>
      </c>
      <c r="U27" s="40">
        <v>20</v>
      </c>
    </row>
    <row r="28" spans="1:21" x14ac:dyDescent="0.3">
      <c r="A28" s="41" t="s">
        <v>42</v>
      </c>
      <c r="B28" s="89">
        <f>IFERROR(VLOOKUP($A$8,'Datos de Entrada (1)'!$A$7:$E$10,MATCH(B27,'Datos de Entrada (1)'!$A$6:$E$6,0),0),0)</f>
        <v>0</v>
      </c>
      <c r="C28" s="42">
        <f>IFERROR(VLOOKUP($A$8,'Datos de Entrada (1)'!$A$7:$E$10,MATCH(C27,'Datos de Entrada (1)'!$A$6:$E$6,0),0),0)</f>
        <v>0</v>
      </c>
      <c r="D28" s="42">
        <f>IFERROR(VLOOKUP($A$8,'Datos de Entrada (1)'!$A$7:$E$10,MATCH(D27,'Datos de Entrada (1)'!$A$6:$E$6,0),0),0)</f>
        <v>0</v>
      </c>
      <c r="E28" s="42">
        <f>IFERROR(VLOOKUP($A$8,'Datos de Entrada (1)'!$A$7:$E$10,MATCH(E27,'Datos de Entrada (1)'!$A$6:$E$6,0),0),0)</f>
        <v>0</v>
      </c>
      <c r="F28" s="42">
        <f>IFERROR(VLOOKUP($A$8,'Datos de Entrada (1)'!$A$7:$E$10,MATCH(F27,'Datos de Entrada (1)'!$A$6:$E$6,0),0),0)</f>
        <v>0</v>
      </c>
      <c r="G28" s="42">
        <f>IFERROR(VLOOKUP($A$8,'Datos de Entrada (1)'!$A$7:$E$10,MATCH(G27,'Datos de Entrada (1)'!$A$6:$E$6,0),0),0)</f>
        <v>0</v>
      </c>
      <c r="H28" s="42">
        <f>IFERROR(VLOOKUP($A$8,'Datos de Entrada (1)'!$A$7:$E$10,MATCH(H27,'Datos de Entrada (1)'!$A$6:$E$6,0),0),0)</f>
        <v>0</v>
      </c>
      <c r="I28" s="42">
        <f>IFERROR(VLOOKUP($A$8,'Datos de Entrada (1)'!$A$7:$E$10,MATCH(I27,'Datos de Entrada (1)'!$A$6:$E$6,0),0),0)</f>
        <v>0</v>
      </c>
      <c r="J28" s="42">
        <f>IFERROR(VLOOKUP($A$8,'Datos de Entrada (1)'!$A$7:$E$10,MATCH(J27,'Datos de Entrada (1)'!$A$6:$E$6,0),0),0)</f>
        <v>0</v>
      </c>
      <c r="K28" s="42">
        <f>IFERROR(VLOOKUP($A$8,'Datos de Entrada (1)'!$A$7:$E$10,MATCH(K27,'Datos de Entrada (1)'!$A$6:$E$6,0),0),0)</f>
        <v>0</v>
      </c>
      <c r="L28" s="42">
        <f>IFERROR(VLOOKUP($A$8,'Datos de Entrada (1)'!$A$7:$E$10,MATCH(L27,'Datos de Entrada (1)'!$A$6:$E$6,0),0),0)</f>
        <v>0</v>
      </c>
      <c r="M28" s="42">
        <f>IFERROR(VLOOKUP($A$8,'Datos de Entrada (1)'!$A$7:$E$10,MATCH(M27,'Datos de Entrada (1)'!$A$6:$E$6,0),0),0)</f>
        <v>0</v>
      </c>
      <c r="N28" s="42">
        <f>IFERROR(VLOOKUP($A$8,'Datos de Entrada (1)'!$A$7:$E$10,MATCH(N27,'Datos de Entrada (1)'!$A$6:$E$6,0),0),0)</f>
        <v>0</v>
      </c>
      <c r="O28" s="42">
        <f>IFERROR(VLOOKUP($A$8,'Datos de Entrada (1)'!$A$7:$E$10,MATCH(O27,'Datos de Entrada (1)'!$A$6:$E$6,0),0),0)</f>
        <v>0</v>
      </c>
      <c r="P28" s="42">
        <f>IFERROR(VLOOKUP($A$8,'Datos de Entrada (1)'!$A$7:$E$10,MATCH(P27,'Datos de Entrada (1)'!$A$6:$E$6,0),0),0)</f>
        <v>0</v>
      </c>
      <c r="Q28" s="42">
        <f>IFERROR(VLOOKUP($A$8,'Datos de Entrada (1)'!$A$7:$E$10,MATCH(Q27,'Datos de Entrada (1)'!$A$6:$E$6,0),0),0)</f>
        <v>0</v>
      </c>
      <c r="R28" s="42">
        <f>IFERROR(VLOOKUP($A$8,'Datos de Entrada (1)'!$A$7:$E$10,MATCH(R27,'Datos de Entrada (1)'!$A$6:$E$6,0),0),0)</f>
        <v>200</v>
      </c>
      <c r="S28" s="42">
        <f>IFERROR(VLOOKUP($A$8,'Datos de Entrada (1)'!$A$7:$E$10,MATCH(S27,'Datos de Entrada (1)'!$A$6:$E$6,0),0),0)</f>
        <v>200</v>
      </c>
      <c r="T28" s="42">
        <f>IFERROR(VLOOKUP($A$8,'Datos de Entrada (1)'!$A$7:$E$10,MATCH(T27,'Datos de Entrada (1)'!$A$6:$E$6,0),0),0)</f>
        <v>200</v>
      </c>
      <c r="U28" s="43">
        <f>IFERROR(VLOOKUP($A$8,'Datos de Entrada (1)'!$A$7:$E$10,MATCH(U27,'Datos de Entrada (1)'!$A$6:$E$6,0),0),0)</f>
        <v>250</v>
      </c>
    </row>
    <row r="29" spans="1:21" x14ac:dyDescent="0.3">
      <c r="A29" s="73" t="s">
        <v>43</v>
      </c>
      <c r="B29" s="44">
        <f>'Datos de Entrada (1)'!$E$19</f>
        <v>120</v>
      </c>
      <c r="C29" s="25">
        <f>B29+B33-B28</f>
        <v>120</v>
      </c>
      <c r="D29" s="25">
        <f t="shared" ref="D29:T29" si="11">C29+C33-C28</f>
        <v>120</v>
      </c>
      <c r="E29" s="25">
        <f t="shared" si="11"/>
        <v>120</v>
      </c>
      <c r="F29" s="25">
        <f t="shared" si="11"/>
        <v>120</v>
      </c>
      <c r="G29" s="25">
        <f t="shared" si="11"/>
        <v>120</v>
      </c>
      <c r="H29" s="25">
        <f t="shared" si="11"/>
        <v>120</v>
      </c>
      <c r="I29" s="25">
        <f t="shared" si="11"/>
        <v>120</v>
      </c>
      <c r="J29" s="25">
        <f t="shared" si="11"/>
        <v>120</v>
      </c>
      <c r="K29" s="25">
        <f t="shared" si="11"/>
        <v>120</v>
      </c>
      <c r="L29" s="25">
        <f t="shared" si="11"/>
        <v>120</v>
      </c>
      <c r="M29" s="25">
        <f t="shared" si="11"/>
        <v>120</v>
      </c>
      <c r="N29" s="25">
        <f t="shared" si="11"/>
        <v>120</v>
      </c>
      <c r="O29" s="25">
        <f t="shared" si="11"/>
        <v>120</v>
      </c>
      <c r="P29" s="25">
        <f t="shared" si="11"/>
        <v>120</v>
      </c>
      <c r="Q29" s="25">
        <f t="shared" si="11"/>
        <v>120</v>
      </c>
      <c r="R29" s="25">
        <f t="shared" si="11"/>
        <v>120</v>
      </c>
      <c r="S29" s="25">
        <f t="shared" si="11"/>
        <v>100</v>
      </c>
      <c r="T29" s="25">
        <f t="shared" si="11"/>
        <v>100</v>
      </c>
      <c r="U29" s="45">
        <f>T29+T33-T28</f>
        <v>100</v>
      </c>
    </row>
    <row r="30" spans="1:21" x14ac:dyDescent="0.3">
      <c r="A30" s="73" t="s">
        <v>44</v>
      </c>
      <c r="B30" s="87">
        <f>IF(B28=0,0,MAX(0,B28+'Datos de Entrada (1)'!$B$19-'LANZ PP'!B29))</f>
        <v>0</v>
      </c>
      <c r="C30" s="25">
        <f>IF(C28=0,0,MAX(0,C28+'Datos de Entrada (1)'!$B$19-'LANZ PP'!C29))</f>
        <v>0</v>
      </c>
      <c r="D30" s="25">
        <f>IF(D28=0,0,MAX(0,D28+'Datos de Entrada (1)'!$B$19-'LANZ PP'!D29))</f>
        <v>0</v>
      </c>
      <c r="E30" s="25">
        <f>IF(E28=0,0,MAX(0,E28+'Datos de Entrada (1)'!$B$19-'LANZ PP'!E29))</f>
        <v>0</v>
      </c>
      <c r="F30" s="25">
        <f>IF(F28=0,0,MAX(0,F28+'Datos de Entrada (1)'!$B$19-'LANZ PP'!F29))</f>
        <v>0</v>
      </c>
      <c r="G30" s="25">
        <f>IF(G28=0,0,MAX(0,G28+'Datos de Entrada (1)'!$B$19-'LANZ PP'!G29))</f>
        <v>0</v>
      </c>
      <c r="H30" s="25">
        <f>IF(H28=0,0,MAX(0,H28+'Datos de Entrada (1)'!$B$19-'LANZ PP'!H29))</f>
        <v>0</v>
      </c>
      <c r="I30" s="25">
        <f>IF(I28=0,0,MAX(0,I28+'Datos de Entrada (1)'!$B$19-'LANZ PP'!I29))</f>
        <v>0</v>
      </c>
      <c r="J30" s="25">
        <f>IF(J28=0,0,MAX(0,J28+'Datos de Entrada (1)'!$B$19-'LANZ PP'!J29))</f>
        <v>0</v>
      </c>
      <c r="K30" s="25">
        <f>IF(K28=0,0,MAX(0,K28+'Datos de Entrada (1)'!$B$19-'LANZ PP'!K29))</f>
        <v>0</v>
      </c>
      <c r="L30" s="25">
        <f>IF(L28=0,0,MAX(0,L28+'Datos de Entrada (1)'!$B$19-'LANZ PP'!L29))</f>
        <v>0</v>
      </c>
      <c r="M30" s="25">
        <f>IF(M28=0,0,MAX(0,M28+'Datos de Entrada (1)'!$B$19-'LANZ PP'!M29))</f>
        <v>0</v>
      </c>
      <c r="N30" s="25">
        <f>IF(N28=0,0,MAX(0,N28+'Datos de Entrada (1)'!$B$19-'LANZ PP'!N29))</f>
        <v>0</v>
      </c>
      <c r="O30" s="25">
        <f>IF(O28=0,0,MAX(0,O28+'Datos de Entrada (1)'!$B$19-'LANZ PP'!O29))</f>
        <v>0</v>
      </c>
      <c r="P30" s="25">
        <f>IF(P28=0,0,MAX(0,P28+'Datos de Entrada (1)'!$B$19-'LANZ PP'!P29))</f>
        <v>0</v>
      </c>
      <c r="Q30" s="25">
        <f>IF(Q28=0,0,MAX(0,Q28+'Datos de Entrada (1)'!$B$19-'LANZ PP'!Q29))</f>
        <v>0</v>
      </c>
      <c r="R30" s="25">
        <f>IF(R28=0,0,MAX(0,R28+'Datos de Entrada (1)'!$B$19-'LANZ PP'!R29))</f>
        <v>180</v>
      </c>
      <c r="S30" s="25">
        <f>IF(S28=0,0,MAX(0,S28+'Datos de Entrada (1)'!$B$19-'LANZ PP'!S29))</f>
        <v>200</v>
      </c>
      <c r="T30" s="25">
        <f>IF(T28=0,0,MAX(0,T28+'Datos de Entrada (1)'!$B$19-'LANZ PP'!T29))</f>
        <v>200</v>
      </c>
      <c r="U30" s="45">
        <f>IF(U28=0,0,MAX(0,U28+'Datos de Entrada (1)'!$B$19-'LANZ PP'!U29))</f>
        <v>250</v>
      </c>
    </row>
    <row r="31" spans="1:21" x14ac:dyDescent="0.3">
      <c r="A31" s="73" t="s">
        <v>45</v>
      </c>
      <c r="B31" s="87">
        <f>ROUNDUP(B30/(1-('Datos de Entrada (1)'!$D$19/100)),0)</f>
        <v>0</v>
      </c>
      <c r="C31" s="25">
        <f>ROUNDUP(C30/(1-('Datos de Entrada (1)'!$D$19/100)),0)</f>
        <v>0</v>
      </c>
      <c r="D31" s="25">
        <f>ROUNDUP(D30/(1-('Datos de Entrada (1)'!$D$19/100)),0)</f>
        <v>0</v>
      </c>
      <c r="E31" s="25">
        <f>ROUNDUP(E30/(1-('Datos de Entrada (1)'!$D$19/100)),0)</f>
        <v>0</v>
      </c>
      <c r="F31" s="25">
        <f>ROUNDUP(F30/(1-('Datos de Entrada (1)'!$D$19/100)),0)</f>
        <v>0</v>
      </c>
      <c r="G31" s="25">
        <f>ROUNDUP(G30/(1-('Datos de Entrada (1)'!$D$19/100)),0)</f>
        <v>0</v>
      </c>
      <c r="H31" s="25">
        <f>ROUNDUP(H30/(1-('Datos de Entrada (1)'!$D$19/100)),0)</f>
        <v>0</v>
      </c>
      <c r="I31" s="25">
        <f>ROUNDUP(I30/(1-('Datos de Entrada (1)'!$D$19/100)),0)</f>
        <v>0</v>
      </c>
      <c r="J31" s="25">
        <f>ROUNDUP(J30/(1-('Datos de Entrada (1)'!$D$19/100)),0)</f>
        <v>0</v>
      </c>
      <c r="K31" s="25">
        <f>ROUNDUP(K30/(1-('Datos de Entrada (1)'!$D$19/100)),0)</f>
        <v>0</v>
      </c>
      <c r="L31" s="25">
        <f>ROUNDUP(L30/(1-('Datos de Entrada (1)'!$D$19/100)),0)</f>
        <v>0</v>
      </c>
      <c r="M31" s="25">
        <f>ROUNDUP(M30/(1-('Datos de Entrada (1)'!$D$19/100)),0)</f>
        <v>0</v>
      </c>
      <c r="N31" s="25">
        <f>ROUNDUP(N30/(1-('Datos de Entrada (1)'!$D$19/100)),0)</f>
        <v>0</v>
      </c>
      <c r="O31" s="25">
        <f>ROUNDUP(O30/(1-('Datos de Entrada (1)'!$D$19/100)),0)</f>
        <v>0</v>
      </c>
      <c r="P31" s="25">
        <f>ROUNDUP(P30/(1-('Datos de Entrada (1)'!$D$19/100)),0)</f>
        <v>0</v>
      </c>
      <c r="Q31" s="25">
        <f>ROUNDUP(Q30/(1-('Datos de Entrada (1)'!$D$19/100)),0)</f>
        <v>0</v>
      </c>
      <c r="R31" s="25">
        <f>ROUNDUP(R30/(1-('Datos de Entrada (1)'!$D$19/100)),0)</f>
        <v>180</v>
      </c>
      <c r="S31" s="25">
        <f>ROUNDUP(S30/(1-('Datos de Entrada (1)'!$D$19/100)),0)</f>
        <v>200</v>
      </c>
      <c r="T31" s="25">
        <f>ROUNDUP(T30/(1-('Datos de Entrada (1)'!$D$19/100)),0)</f>
        <v>200</v>
      </c>
      <c r="U31" s="45">
        <f>ROUNDUP(U30/(1-('Datos de Entrada (1)'!$D$19/100)),0)</f>
        <v>250</v>
      </c>
    </row>
    <row r="32" spans="1:21" x14ac:dyDescent="0.3">
      <c r="A32" s="73" t="s">
        <v>46</v>
      </c>
      <c r="B32" s="87">
        <f>ROUNDUP(B31/'Datos de Entrada (1)'!$F$19,0)*'Datos de Entrada (1)'!$F$19</f>
        <v>0</v>
      </c>
      <c r="C32" s="25">
        <f>ROUNDUP(C31/'Datos de Entrada (1)'!$F$19,0)*'Datos de Entrada (1)'!$F$19</f>
        <v>0</v>
      </c>
      <c r="D32" s="25">
        <f>ROUNDUP(D31/'Datos de Entrada (1)'!$F$19,0)*'Datos de Entrada (1)'!$F$19</f>
        <v>0</v>
      </c>
      <c r="E32" s="25">
        <f>ROUNDUP(E31/'Datos de Entrada (1)'!$F$19,0)*'Datos de Entrada (1)'!$F$19</f>
        <v>0</v>
      </c>
      <c r="F32" s="25">
        <f>ROUNDUP(F31/'Datos de Entrada (1)'!$F$19,0)*'Datos de Entrada (1)'!$F$19</f>
        <v>0</v>
      </c>
      <c r="G32" s="25">
        <f>ROUNDUP(G31/'Datos de Entrada (1)'!$F$19,0)*'Datos de Entrada (1)'!$F$19</f>
        <v>0</v>
      </c>
      <c r="H32" s="25">
        <f>ROUNDUP(H31/'Datos de Entrada (1)'!$F$19,0)*'Datos de Entrada (1)'!$F$19</f>
        <v>0</v>
      </c>
      <c r="I32" s="25">
        <f>ROUNDUP(I31/'Datos de Entrada (1)'!$F$19,0)*'Datos de Entrada (1)'!$F$19</f>
        <v>0</v>
      </c>
      <c r="J32" s="25">
        <f>ROUNDUP(J31/'Datos de Entrada (1)'!$F$19,0)*'Datos de Entrada (1)'!$F$19</f>
        <v>0</v>
      </c>
      <c r="K32" s="25">
        <f>ROUNDUP(K31/'Datos de Entrada (1)'!$F$19,0)*'Datos de Entrada (1)'!$F$19</f>
        <v>0</v>
      </c>
      <c r="L32" s="25">
        <f>ROUNDUP(L31/'Datos de Entrada (1)'!$F$19,0)*'Datos de Entrada (1)'!$F$19</f>
        <v>0</v>
      </c>
      <c r="M32" s="25">
        <f>ROUNDUP(M31/'Datos de Entrada (1)'!$F$19,0)*'Datos de Entrada (1)'!$F$19</f>
        <v>0</v>
      </c>
      <c r="N32" s="25">
        <f>ROUNDUP(N31/'Datos de Entrada (1)'!$F$19,0)*'Datos de Entrada (1)'!$F$19</f>
        <v>0</v>
      </c>
      <c r="O32" s="25">
        <f>ROUNDUP(O31/'Datos de Entrada (1)'!$F$19,0)*'Datos de Entrada (1)'!$F$19</f>
        <v>0</v>
      </c>
      <c r="P32" s="25">
        <f>ROUNDUP(P31/'Datos de Entrada (1)'!$F$19,0)*'Datos de Entrada (1)'!$F$19</f>
        <v>0</v>
      </c>
      <c r="Q32" s="25">
        <f>ROUNDUP(Q31/'Datos de Entrada (1)'!$F$19,0)*'Datos de Entrada (1)'!$F$19</f>
        <v>0</v>
      </c>
      <c r="R32" s="25">
        <f>ROUNDUP(R31/'Datos de Entrada (1)'!$F$19,0)*'Datos de Entrada (1)'!$F$19</f>
        <v>180</v>
      </c>
      <c r="S32" s="25">
        <f>ROUNDUP(S31/'Datos de Entrada (1)'!$F$19,0)*'Datos de Entrada (1)'!$F$19</f>
        <v>200</v>
      </c>
      <c r="T32" s="25">
        <f>ROUNDUP(T31/'Datos de Entrada (1)'!$F$19,0)*'Datos de Entrada (1)'!$F$19</f>
        <v>200</v>
      </c>
      <c r="U32" s="45">
        <f>ROUNDUP(U31/'Datos de Entrada (1)'!$F$19,0)*'Datos de Entrada (1)'!$F$19</f>
        <v>250</v>
      </c>
    </row>
    <row r="33" spans="1:21" x14ac:dyDescent="0.3">
      <c r="A33" s="73" t="s">
        <v>47</v>
      </c>
      <c r="B33" s="87">
        <f>ROUNDDOWN(B32*(1-('Datos de Entrada (1)'!$D$19/100)),0)</f>
        <v>0</v>
      </c>
      <c r="C33" s="25">
        <f>ROUNDDOWN(C32*(1-('Datos de Entrada (1)'!$D$19/100)),0)</f>
        <v>0</v>
      </c>
      <c r="D33" s="25">
        <f>ROUNDDOWN(D32*(1-('Datos de Entrada (1)'!$D$19/100)),0)</f>
        <v>0</v>
      </c>
      <c r="E33" s="25">
        <f>ROUNDDOWN(E32*(1-('Datos de Entrada (1)'!$D$19/100)),0)</f>
        <v>0</v>
      </c>
      <c r="F33" s="25">
        <f>ROUNDDOWN(F32*(1-('Datos de Entrada (1)'!$D$19/100)),0)</f>
        <v>0</v>
      </c>
      <c r="G33" s="25">
        <f>ROUNDDOWN(G32*(1-('Datos de Entrada (1)'!$D$19/100)),0)</f>
        <v>0</v>
      </c>
      <c r="H33" s="25">
        <f>ROUNDDOWN(H32*(1-('Datos de Entrada (1)'!$D$19/100)),0)</f>
        <v>0</v>
      </c>
      <c r="I33" s="25">
        <f>ROUNDDOWN(I32*(1-('Datos de Entrada (1)'!$D$19/100)),0)</f>
        <v>0</v>
      </c>
      <c r="J33" s="25">
        <f>ROUNDDOWN(J32*(1-('Datos de Entrada (1)'!$D$19/100)),0)</f>
        <v>0</v>
      </c>
      <c r="K33" s="25">
        <f>ROUNDDOWN(K32*(1-('Datos de Entrada (1)'!$D$19/100)),0)</f>
        <v>0</v>
      </c>
      <c r="L33" s="25">
        <f>ROUNDDOWN(L32*(1-('Datos de Entrada (1)'!$D$19/100)),0)</f>
        <v>0</v>
      </c>
      <c r="M33" s="25">
        <f>ROUNDDOWN(M32*(1-('Datos de Entrada (1)'!$D$19/100)),0)</f>
        <v>0</v>
      </c>
      <c r="N33" s="25">
        <f>ROUNDDOWN(N32*(1-('Datos de Entrada (1)'!$D$19/100)),0)</f>
        <v>0</v>
      </c>
      <c r="O33" s="25">
        <f>ROUNDDOWN(O32*(1-('Datos de Entrada (1)'!$D$19/100)),0)</f>
        <v>0</v>
      </c>
      <c r="P33" s="25">
        <f>ROUNDDOWN(P32*(1-('Datos de Entrada (1)'!$D$19/100)),0)</f>
        <v>0</v>
      </c>
      <c r="Q33" s="25">
        <f>ROUNDDOWN(Q32*(1-('Datos de Entrada (1)'!$D$19/100)),0)</f>
        <v>0</v>
      </c>
      <c r="R33" s="25">
        <f>ROUNDDOWN(R32*(1-('Datos de Entrada (1)'!$D$19/100)),0)</f>
        <v>180</v>
      </c>
      <c r="S33" s="25">
        <f>ROUNDDOWN(S32*(1-('Datos de Entrada (1)'!$D$19/100)),0)</f>
        <v>200</v>
      </c>
      <c r="T33" s="25">
        <f>ROUNDDOWN(T32*(1-('Datos de Entrada (1)'!$D$19/100)),0)</f>
        <v>200</v>
      </c>
      <c r="U33" s="45">
        <f>ROUNDDOWN(U32*(1-('Datos de Entrada (1)'!$D$19/100)),0)</f>
        <v>250</v>
      </c>
    </row>
    <row r="34" spans="1:21" ht="15" thickBot="1" x14ac:dyDescent="0.35">
      <c r="A34" s="72" t="s">
        <v>48</v>
      </c>
      <c r="B34" s="88">
        <f ca="1">OFFSET(B32,0,'Datos de Entrada (1)'!$C$19)</f>
        <v>0</v>
      </c>
      <c r="C34" s="46">
        <f ca="1">OFFSET(C32,0,'Datos de Entrada (1)'!$C$19)</f>
        <v>0</v>
      </c>
      <c r="D34" s="46">
        <f ca="1">OFFSET(D32,0,'Datos de Entrada (1)'!$C$19)</f>
        <v>0</v>
      </c>
      <c r="E34" s="46">
        <f ca="1">OFFSET(E32,0,'Datos de Entrada (1)'!$C$19)</f>
        <v>0</v>
      </c>
      <c r="F34" s="46">
        <f ca="1">OFFSET(F32,0,'Datos de Entrada (1)'!$C$19)</f>
        <v>0</v>
      </c>
      <c r="G34" s="46">
        <f ca="1">OFFSET(G32,0,'Datos de Entrada (1)'!$C$19)</f>
        <v>0</v>
      </c>
      <c r="H34" s="46">
        <f ca="1">OFFSET(H32,0,'Datos de Entrada (1)'!$C$19)</f>
        <v>0</v>
      </c>
      <c r="I34" s="46">
        <f ca="1">OFFSET(I32,0,'Datos de Entrada (1)'!$C$19)</f>
        <v>0</v>
      </c>
      <c r="J34" s="46">
        <f ca="1">OFFSET(J32,0,'Datos de Entrada (1)'!$C$19)</f>
        <v>0</v>
      </c>
      <c r="K34" s="46">
        <f ca="1">OFFSET(K32,0,'Datos de Entrada (1)'!$C$19)</f>
        <v>0</v>
      </c>
      <c r="L34" s="46">
        <f ca="1">OFFSET(L32,0,'Datos de Entrada (1)'!$C$19)</f>
        <v>0</v>
      </c>
      <c r="M34" s="46">
        <f ca="1">OFFSET(M32,0,'Datos de Entrada (1)'!$C$19)</f>
        <v>0</v>
      </c>
      <c r="N34" s="46">
        <f ca="1">OFFSET(N32,0,'Datos de Entrada (1)'!$C$19)</f>
        <v>0</v>
      </c>
      <c r="O34" s="46">
        <f ca="1">OFFSET(O32,0,'Datos de Entrada (1)'!$C$19)</f>
        <v>0</v>
      </c>
      <c r="P34" s="46">
        <f ca="1">OFFSET(P32,0,'Datos de Entrada (1)'!$C$19)</f>
        <v>0</v>
      </c>
      <c r="Q34" s="46">
        <f ca="1">OFFSET(Q32,0,'Datos de Entrada (1)'!$C$19)</f>
        <v>180</v>
      </c>
      <c r="R34" s="46">
        <f ca="1">OFFSET(R32,0,'Datos de Entrada (1)'!$C$19)</f>
        <v>200</v>
      </c>
      <c r="S34" s="46">
        <f ca="1">OFFSET(S32,0,'Datos de Entrada (1)'!$C$19)</f>
        <v>200</v>
      </c>
      <c r="T34" s="46">
        <f ca="1">OFFSET(T32,0,'Datos de Entrada (1)'!$C$19)</f>
        <v>250</v>
      </c>
      <c r="U34" s="47">
        <f ca="1">OFFSET(U32,0,'Datos de Entrada (1)'!$C$19)</f>
        <v>0</v>
      </c>
    </row>
    <row r="35" spans="1:21" ht="15" thickBot="1" x14ac:dyDescent="0.35"/>
    <row r="36" spans="1:21" ht="15" thickBot="1" x14ac:dyDescent="0.35">
      <c r="A36" s="75" t="s">
        <v>15</v>
      </c>
      <c r="B36" s="76">
        <v>1</v>
      </c>
      <c r="C36" s="77">
        <v>2</v>
      </c>
      <c r="D36" s="77">
        <v>3</v>
      </c>
      <c r="E36" s="77">
        <v>4</v>
      </c>
      <c r="F36" s="77">
        <v>5</v>
      </c>
      <c r="G36" s="77">
        <v>6</v>
      </c>
      <c r="H36" s="77">
        <v>7</v>
      </c>
      <c r="I36" s="77">
        <v>8</v>
      </c>
      <c r="J36" s="77">
        <v>9</v>
      </c>
      <c r="K36" s="77">
        <v>10</v>
      </c>
      <c r="L36" s="77">
        <v>11</v>
      </c>
      <c r="M36" s="77">
        <v>12</v>
      </c>
      <c r="N36" s="77">
        <v>13</v>
      </c>
      <c r="O36" s="77">
        <v>14</v>
      </c>
      <c r="P36" s="77">
        <v>15</v>
      </c>
      <c r="Q36" s="77">
        <v>16</v>
      </c>
      <c r="R36" s="77">
        <v>17</v>
      </c>
      <c r="S36" s="77">
        <v>18</v>
      </c>
      <c r="T36" s="77">
        <v>19</v>
      </c>
      <c r="U36" s="78">
        <v>20</v>
      </c>
    </row>
    <row r="37" spans="1:21" x14ac:dyDescent="0.3">
      <c r="A37" s="41" t="s">
        <v>42</v>
      </c>
      <c r="B37" s="89">
        <f ca="1">'Datos de Entrada (2)'!$G$5*'LANZ PP CAMBIOS'!B25+IFERROR(VLOOKUP($A$9,'Datos de Entrada (1)'!$A$7:$E$10,MATCH(B36,'Datos de Entrada (1)'!$A$6:$E$6,0),0),0)</f>
        <v>0</v>
      </c>
      <c r="C37" s="42">
        <f ca="1">'Datos de Entrada (2)'!$G$5*'LANZ PP CAMBIOS'!C25+IFERROR(VLOOKUP($A$9,'Datos de Entrada (1)'!$A$7:$E$10,MATCH(C36,'Datos de Entrada (1)'!$A$6:$E$6,0),0),0)</f>
        <v>0</v>
      </c>
      <c r="D37" s="42">
        <f ca="1">'Datos de Entrada (2)'!$G$5*'LANZ PP CAMBIOS'!D25+IFERROR(VLOOKUP($A$9,'Datos de Entrada (1)'!$A$7:$E$10,MATCH(D36,'Datos de Entrada (1)'!$A$6:$E$6,0),0),0)</f>
        <v>0</v>
      </c>
      <c r="E37" s="42">
        <f ca="1">'Datos de Entrada (2)'!$G$5*'LANZ PP CAMBIOS'!E25+IFERROR(VLOOKUP($A$9,'Datos de Entrada (1)'!$A$7:$E$10,MATCH(E36,'Datos de Entrada (1)'!$A$6:$E$6,0),0),0)</f>
        <v>0</v>
      </c>
      <c r="F37" s="42">
        <f ca="1">'Datos de Entrada (2)'!$G$5*'LANZ PP CAMBIOS'!F25+IFERROR(VLOOKUP($A$9,'Datos de Entrada (1)'!$A$7:$E$10,MATCH(F36,'Datos de Entrada (1)'!$A$6:$E$6,0),0),0)</f>
        <v>0</v>
      </c>
      <c r="G37" s="42">
        <f ca="1">'Datos de Entrada (2)'!$G$5*'LANZ PP CAMBIOS'!G25+IFERROR(VLOOKUP($A$9,'Datos de Entrada (1)'!$A$7:$E$10,MATCH(G36,'Datos de Entrada (1)'!$A$6:$E$6,0),0),0)</f>
        <v>0</v>
      </c>
      <c r="H37" s="42">
        <f ca="1">'Datos de Entrada (2)'!$G$5*'LANZ PP CAMBIOS'!H25+IFERROR(VLOOKUP($A$9,'Datos de Entrada (1)'!$A$7:$E$10,MATCH(H36,'Datos de Entrada (1)'!$A$6:$E$6,0),0),0)</f>
        <v>0</v>
      </c>
      <c r="I37" s="42">
        <f ca="1">'Datos de Entrada (2)'!$G$5*'LANZ PP CAMBIOS'!I25+IFERROR(VLOOKUP($A$9,'Datos de Entrada (1)'!$A$7:$E$10,MATCH(I36,'Datos de Entrada (1)'!$A$6:$E$6,0),0),0)</f>
        <v>0</v>
      </c>
      <c r="J37" s="42">
        <f ca="1">'Datos de Entrada (2)'!$G$5*'LANZ PP CAMBIOS'!J25+IFERROR(VLOOKUP($A$9,'Datos de Entrada (1)'!$A$7:$E$10,MATCH(J36,'Datos de Entrada (1)'!$A$6:$E$6,0),0),0)</f>
        <v>0</v>
      </c>
      <c r="K37" s="42">
        <f ca="1">'Datos de Entrada (2)'!$G$5*'LANZ PP CAMBIOS'!K25+IFERROR(VLOOKUP($A$9,'Datos de Entrada (1)'!$A$7:$E$10,MATCH(K36,'Datos de Entrada (1)'!$A$6:$E$6,0),0),0)</f>
        <v>0</v>
      </c>
      <c r="L37" s="42">
        <f ca="1">'Datos de Entrada (2)'!$G$5*'LANZ PP CAMBIOS'!L25+IFERROR(VLOOKUP($A$9,'Datos de Entrada (1)'!$A$7:$E$10,MATCH(L36,'Datos de Entrada (1)'!$A$6:$E$6,0),0),0)</f>
        <v>0</v>
      </c>
      <c r="M37" s="42">
        <f ca="1">'Datos de Entrada (2)'!$G$5*'LANZ PP CAMBIOS'!M25+IFERROR(VLOOKUP($A$9,'Datos de Entrada (1)'!$A$7:$E$10,MATCH(M36,'Datos de Entrada (1)'!$A$6:$E$6,0),0),0)</f>
        <v>0</v>
      </c>
      <c r="N37" s="42">
        <f ca="1">'Datos de Entrada (2)'!$G$5*'LANZ PP CAMBIOS'!N25+IFERROR(VLOOKUP($A$9,'Datos de Entrada (1)'!$A$7:$E$10,MATCH(N36,'Datos de Entrada (1)'!$A$6:$E$6,0),0),0)</f>
        <v>0</v>
      </c>
      <c r="O37" s="42">
        <f ca="1">'Datos de Entrada (2)'!$G$5*'LANZ PP CAMBIOS'!O25+IFERROR(VLOOKUP($A$9,'Datos de Entrada (1)'!$A$7:$E$10,MATCH(O36,'Datos de Entrada (1)'!$A$6:$E$6,0),0),0)</f>
        <v>0</v>
      </c>
      <c r="P37" s="42">
        <f ca="1">'Datos de Entrada (2)'!$G$5*'LANZ PP CAMBIOS'!P25+IFERROR(VLOOKUP($A$9,'Datos de Entrada (1)'!$A$7:$E$10,MATCH(P36,'Datos de Entrada (1)'!$A$6:$E$6,0),0),0)</f>
        <v>0</v>
      </c>
      <c r="Q37" s="42">
        <f ca="1">'Datos de Entrada (2)'!$G$5*'LANZ PP CAMBIOS'!Q25+IFERROR(VLOOKUP($A$9,'Datos de Entrada (1)'!$A$7:$E$10,MATCH(Q36,'Datos de Entrada (1)'!$A$6:$E$6,0),0),0)</f>
        <v>80</v>
      </c>
      <c r="R37" s="42">
        <f ca="1">'Datos de Entrada (2)'!$G$5*'LANZ PP CAMBIOS'!R25+IFERROR(VLOOKUP($A$9,'Datos de Entrada (1)'!$A$7:$E$10,MATCH(R36,'Datos de Entrada (1)'!$A$6:$E$6,0),0),0)</f>
        <v>80</v>
      </c>
      <c r="S37" s="42">
        <f ca="1">'Datos de Entrada (2)'!$G$5*'LANZ PP CAMBIOS'!S25+IFERROR(VLOOKUP($A$9,'Datos de Entrada (1)'!$A$7:$E$10,MATCH(S36,'Datos de Entrada (1)'!$A$6:$E$6,0),0),0)</f>
        <v>100</v>
      </c>
      <c r="T37" s="42">
        <f ca="1">'Datos de Entrada (2)'!$G$5*'LANZ PP CAMBIOS'!T25+IFERROR(VLOOKUP($A$9,'Datos de Entrada (1)'!$A$7:$E$10,MATCH(T36,'Datos de Entrada (1)'!$A$6:$E$6,0),0),0)</f>
        <v>120</v>
      </c>
      <c r="U37" s="43">
        <f ca="1">'Datos de Entrada (2)'!$G$5*'LANZ PP CAMBIOS'!U25+IFERROR(VLOOKUP($A$9,'Datos de Entrada (1)'!$A$7:$E$10,MATCH(U36,'Datos de Entrada (1)'!$A$6:$E$6,0),0),0)</f>
        <v>0</v>
      </c>
    </row>
    <row r="38" spans="1:21" x14ac:dyDescent="0.3">
      <c r="A38" s="73" t="s">
        <v>43</v>
      </c>
      <c r="B38" s="44">
        <f>'Datos de Entrada (1)'!$E$20</f>
        <v>20</v>
      </c>
      <c r="C38" s="25">
        <f ca="1">B38+B42-B37</f>
        <v>20</v>
      </c>
      <c r="D38" s="25">
        <f t="shared" ref="D38:T38" ca="1" si="12">C38+C42-C37</f>
        <v>20</v>
      </c>
      <c r="E38" s="25">
        <f t="shared" ca="1" si="12"/>
        <v>20</v>
      </c>
      <c r="F38" s="25">
        <f t="shared" ca="1" si="12"/>
        <v>20</v>
      </c>
      <c r="G38" s="25">
        <f t="shared" ca="1" si="12"/>
        <v>20</v>
      </c>
      <c r="H38" s="25">
        <f t="shared" ca="1" si="12"/>
        <v>20</v>
      </c>
      <c r="I38" s="25">
        <f t="shared" ca="1" si="12"/>
        <v>20</v>
      </c>
      <c r="J38" s="25">
        <f t="shared" ca="1" si="12"/>
        <v>20</v>
      </c>
      <c r="K38" s="25">
        <f t="shared" ca="1" si="12"/>
        <v>20</v>
      </c>
      <c r="L38" s="25">
        <f t="shared" ca="1" si="12"/>
        <v>20</v>
      </c>
      <c r="M38" s="25">
        <f t="shared" ca="1" si="12"/>
        <v>20</v>
      </c>
      <c r="N38" s="25">
        <f t="shared" ca="1" si="12"/>
        <v>20</v>
      </c>
      <c r="O38" s="25">
        <f t="shared" ca="1" si="12"/>
        <v>20</v>
      </c>
      <c r="P38" s="25">
        <f t="shared" ca="1" si="12"/>
        <v>20</v>
      </c>
      <c r="Q38" s="25">
        <f t="shared" ca="1" si="12"/>
        <v>20</v>
      </c>
      <c r="R38" s="25">
        <f t="shared" ca="1" si="12"/>
        <v>40</v>
      </c>
      <c r="S38" s="25">
        <f t="shared" ca="1" si="12"/>
        <v>60</v>
      </c>
      <c r="T38" s="25">
        <f t="shared" ca="1" si="12"/>
        <v>60</v>
      </c>
      <c r="U38" s="45">
        <f ca="1">T38+T42-T37</f>
        <v>40</v>
      </c>
    </row>
    <row r="39" spans="1:21" x14ac:dyDescent="0.3">
      <c r="A39" s="73" t="s">
        <v>44</v>
      </c>
      <c r="B39" s="87">
        <f ca="1">IF(B37=0,0,MAX(0,B37+'Datos de Entrada (1)'!$B$20-'LANZ PP'!B38))</f>
        <v>0</v>
      </c>
      <c r="C39" s="25">
        <f ca="1">IF(C37=0,0,MAX(0,C37+'Datos de Entrada (1)'!$B$20-'LANZ PP'!C38))</f>
        <v>0</v>
      </c>
      <c r="D39" s="25">
        <f ca="1">IF(D37=0,0,MAX(0,D37+'Datos de Entrada (1)'!$B$20-'LANZ PP'!D38))</f>
        <v>0</v>
      </c>
      <c r="E39" s="25">
        <f ca="1">IF(E37=0,0,MAX(0,E37+'Datos de Entrada (1)'!$B$20-'LANZ PP'!E38))</f>
        <v>0</v>
      </c>
      <c r="F39" s="25">
        <f ca="1">IF(F37=0,0,MAX(0,F37+'Datos de Entrada (1)'!$B$20-'LANZ PP'!F38))</f>
        <v>0</v>
      </c>
      <c r="G39" s="25">
        <f ca="1">IF(G37=0,0,MAX(0,G37+'Datos de Entrada (1)'!$B$20-'LANZ PP'!G38))</f>
        <v>0</v>
      </c>
      <c r="H39" s="25">
        <f ca="1">IF(H37=0,0,MAX(0,H37+'Datos de Entrada (1)'!$B$20-'LANZ PP'!H38))</f>
        <v>0</v>
      </c>
      <c r="I39" s="25">
        <f ca="1">IF(I37=0,0,MAX(0,I37+'Datos de Entrada (1)'!$B$20-'LANZ PP'!I38))</f>
        <v>0</v>
      </c>
      <c r="J39" s="25">
        <f ca="1">IF(J37=0,0,MAX(0,J37+'Datos de Entrada (1)'!$B$20-'LANZ PP'!J38))</f>
        <v>0</v>
      </c>
      <c r="K39" s="25">
        <f ca="1">IF(K37=0,0,MAX(0,K37+'Datos de Entrada (1)'!$B$20-'LANZ PP'!K38))</f>
        <v>0</v>
      </c>
      <c r="L39" s="25">
        <f ca="1">IF(L37=0,0,MAX(0,L37+'Datos de Entrada (1)'!$B$20-'LANZ PP'!L38))</f>
        <v>0</v>
      </c>
      <c r="M39" s="25">
        <f ca="1">IF(M37=0,0,MAX(0,M37+'Datos de Entrada (1)'!$B$20-'LANZ PP'!M38))</f>
        <v>0</v>
      </c>
      <c r="N39" s="25">
        <f ca="1">IF(N37=0,0,MAX(0,N37+'Datos de Entrada (1)'!$B$20-'LANZ PP'!N38))</f>
        <v>0</v>
      </c>
      <c r="O39" s="25">
        <f ca="1">IF(O37=0,0,MAX(0,O37+'Datos de Entrada (1)'!$B$20-'LANZ PP'!O38))</f>
        <v>0</v>
      </c>
      <c r="P39" s="25">
        <f ca="1">IF(P37=0,0,MAX(0,P37+'Datos de Entrada (1)'!$B$20-'LANZ PP'!P38))</f>
        <v>0</v>
      </c>
      <c r="Q39" s="25">
        <f ca="1">IF(Q37=0,0,MAX(0,Q37+'Datos de Entrada (1)'!$B$20-'LANZ PP'!Q38))</f>
        <v>60</v>
      </c>
      <c r="R39" s="25">
        <f ca="1">IF(R37=0,0,MAX(0,R37+'Datos de Entrada (1)'!$B$20-'LANZ PP'!R38))</f>
        <v>40</v>
      </c>
      <c r="S39" s="25">
        <f ca="1">IF(S37=0,0,MAX(0,S37+'Datos de Entrada (1)'!$B$20-'LANZ PP'!S38))</f>
        <v>40</v>
      </c>
      <c r="T39" s="25">
        <f ca="1">IF(T37=0,0,MAX(0,T37+'Datos de Entrada (1)'!$B$20-'LANZ PP'!T38))</f>
        <v>60</v>
      </c>
      <c r="U39" s="45">
        <f ca="1">IF(U37=0,0,MAX(0,U37+'Datos de Entrada (1)'!$B$20-'LANZ PP'!U38))</f>
        <v>0</v>
      </c>
    </row>
    <row r="40" spans="1:21" x14ac:dyDescent="0.3">
      <c r="A40" s="73" t="s">
        <v>45</v>
      </c>
      <c r="B40" s="87">
        <f ca="1">ROUNDUP(B39/(1-('Datos de Entrada (1)'!$D$20/100)),0)</f>
        <v>0</v>
      </c>
      <c r="C40" s="25">
        <f ca="1">ROUNDUP(C39/(1-('Datos de Entrada (1)'!$D$20/100)),0)</f>
        <v>0</v>
      </c>
      <c r="D40" s="25">
        <f ca="1">ROUNDUP(D39/(1-('Datos de Entrada (1)'!$D$20/100)),0)</f>
        <v>0</v>
      </c>
      <c r="E40" s="25">
        <f ca="1">ROUNDUP(E39/(1-('Datos de Entrada (1)'!$D$20/100)),0)</f>
        <v>0</v>
      </c>
      <c r="F40" s="25">
        <f ca="1">ROUNDUP(F39/(1-('Datos de Entrada (1)'!$D$20/100)),0)</f>
        <v>0</v>
      </c>
      <c r="G40" s="25">
        <f ca="1">ROUNDUP(G39/(1-('Datos de Entrada (1)'!$D$20/100)),0)</f>
        <v>0</v>
      </c>
      <c r="H40" s="25">
        <f ca="1">ROUNDUP(H39/(1-('Datos de Entrada (1)'!$D$20/100)),0)</f>
        <v>0</v>
      </c>
      <c r="I40" s="25">
        <f ca="1">ROUNDUP(I39/(1-('Datos de Entrada (1)'!$D$20/100)),0)</f>
        <v>0</v>
      </c>
      <c r="J40" s="25">
        <f ca="1">ROUNDUP(J39/(1-('Datos de Entrada (1)'!$D$20/100)),0)</f>
        <v>0</v>
      </c>
      <c r="K40" s="25">
        <f ca="1">ROUNDUP(K39/(1-('Datos de Entrada (1)'!$D$20/100)),0)</f>
        <v>0</v>
      </c>
      <c r="L40" s="25">
        <f ca="1">ROUNDUP(L39/(1-('Datos de Entrada (1)'!$D$20/100)),0)</f>
        <v>0</v>
      </c>
      <c r="M40" s="25">
        <f ca="1">ROUNDUP(M39/(1-('Datos de Entrada (1)'!$D$20/100)),0)</f>
        <v>0</v>
      </c>
      <c r="N40" s="25">
        <f ca="1">ROUNDUP(N39/(1-('Datos de Entrada (1)'!$D$20/100)),0)</f>
        <v>0</v>
      </c>
      <c r="O40" s="25">
        <f ca="1">ROUNDUP(O39/(1-('Datos de Entrada (1)'!$D$20/100)),0)</f>
        <v>0</v>
      </c>
      <c r="P40" s="25">
        <f ca="1">ROUNDUP(P39/(1-('Datos de Entrada (1)'!$D$20/100)),0)</f>
        <v>0</v>
      </c>
      <c r="Q40" s="25">
        <f ca="1">ROUNDUP(Q39/(1-('Datos de Entrada (1)'!$D$20/100)),0)</f>
        <v>60</v>
      </c>
      <c r="R40" s="25">
        <f ca="1">ROUNDUP(R39/(1-('Datos de Entrada (1)'!$D$20/100)),0)</f>
        <v>40</v>
      </c>
      <c r="S40" s="25">
        <f ca="1">ROUNDUP(S39/(1-('Datos de Entrada (1)'!$D$20/100)),0)</f>
        <v>40</v>
      </c>
      <c r="T40" s="25">
        <f ca="1">ROUNDUP(T39/(1-('Datos de Entrada (1)'!$D$20/100)),0)</f>
        <v>60</v>
      </c>
      <c r="U40" s="45">
        <f ca="1">ROUNDUP(U39/(1-('Datos de Entrada (1)'!$D$20/100)),0)</f>
        <v>0</v>
      </c>
    </row>
    <row r="41" spans="1:21" x14ac:dyDescent="0.3">
      <c r="A41" s="73" t="s">
        <v>46</v>
      </c>
      <c r="B41" s="87">
        <f ca="1">ROUNDUP(B40/'Datos de Entrada (1)'!$F$20,0)*'Datos de Entrada (1)'!$F$20</f>
        <v>0</v>
      </c>
      <c r="C41" s="25">
        <f ca="1">ROUNDUP(C40/'Datos de Entrada (1)'!$F$20,0)*'Datos de Entrada (1)'!$F$20</f>
        <v>0</v>
      </c>
      <c r="D41" s="25">
        <f ca="1">ROUNDUP(D40/'Datos de Entrada (1)'!$F$20,0)*'Datos de Entrada (1)'!$F$20</f>
        <v>0</v>
      </c>
      <c r="E41" s="25">
        <f ca="1">ROUNDUP(E40/'Datos de Entrada (1)'!$F$20,0)*'Datos de Entrada (1)'!$F$20</f>
        <v>0</v>
      </c>
      <c r="F41" s="25">
        <f ca="1">ROUNDUP(F40/'Datos de Entrada (1)'!$F$20,0)*'Datos de Entrada (1)'!$F$20</f>
        <v>0</v>
      </c>
      <c r="G41" s="25">
        <f ca="1">ROUNDUP(G40/'Datos de Entrada (1)'!$F$20,0)*'Datos de Entrada (1)'!$F$20</f>
        <v>0</v>
      </c>
      <c r="H41" s="25">
        <f ca="1">ROUNDUP(H40/'Datos de Entrada (1)'!$F$20,0)*'Datos de Entrada (1)'!$F$20</f>
        <v>0</v>
      </c>
      <c r="I41" s="25">
        <f ca="1">ROUNDUP(I40/'Datos de Entrada (1)'!$F$20,0)*'Datos de Entrada (1)'!$F$20</f>
        <v>0</v>
      </c>
      <c r="J41" s="25">
        <f ca="1">ROUNDUP(J40/'Datos de Entrada (1)'!$F$20,0)*'Datos de Entrada (1)'!$F$20</f>
        <v>0</v>
      </c>
      <c r="K41" s="25">
        <f ca="1">ROUNDUP(K40/'Datos de Entrada (1)'!$F$20,0)*'Datos de Entrada (1)'!$F$20</f>
        <v>0</v>
      </c>
      <c r="L41" s="25">
        <f ca="1">ROUNDUP(L40/'Datos de Entrada (1)'!$F$20,0)*'Datos de Entrada (1)'!$F$20</f>
        <v>0</v>
      </c>
      <c r="M41" s="25">
        <f ca="1">ROUNDUP(M40/'Datos de Entrada (1)'!$F$20,0)*'Datos de Entrada (1)'!$F$20</f>
        <v>0</v>
      </c>
      <c r="N41" s="25">
        <f ca="1">ROUNDUP(N40/'Datos de Entrada (1)'!$F$20,0)*'Datos de Entrada (1)'!$F$20</f>
        <v>0</v>
      </c>
      <c r="O41" s="25">
        <f ca="1">ROUNDUP(O40/'Datos de Entrada (1)'!$F$20,0)*'Datos de Entrada (1)'!$F$20</f>
        <v>0</v>
      </c>
      <c r="P41" s="25">
        <f ca="1">ROUNDUP(P40/'Datos de Entrada (1)'!$F$20,0)*'Datos de Entrada (1)'!$F$20</f>
        <v>0</v>
      </c>
      <c r="Q41" s="25">
        <f ca="1">ROUNDUP(Q40/'Datos de Entrada (1)'!$F$20,0)*'Datos de Entrada (1)'!$F$20</f>
        <v>100</v>
      </c>
      <c r="R41" s="25">
        <f ca="1">ROUNDUP(R40/'Datos de Entrada (1)'!$F$20,0)*'Datos de Entrada (1)'!$F$20</f>
        <v>100</v>
      </c>
      <c r="S41" s="25">
        <f ca="1">ROUNDUP(S40/'Datos de Entrada (1)'!$F$20,0)*'Datos de Entrada (1)'!$F$20</f>
        <v>100</v>
      </c>
      <c r="T41" s="25">
        <f ca="1">ROUNDUP(T40/'Datos de Entrada (1)'!$F$20,0)*'Datos de Entrada (1)'!$F$20</f>
        <v>100</v>
      </c>
      <c r="U41" s="45">
        <f ca="1">ROUNDUP(U40/'Datos de Entrada (1)'!$F$20,0)*'Datos de Entrada (1)'!$F$20</f>
        <v>0</v>
      </c>
    </row>
    <row r="42" spans="1:21" x14ac:dyDescent="0.3">
      <c r="A42" s="73" t="s">
        <v>47</v>
      </c>
      <c r="B42" s="87">
        <f ca="1">ROUNDDOWN(B41*(1-('Datos de Entrada (1)'!$D$20/100)),0)</f>
        <v>0</v>
      </c>
      <c r="C42" s="25">
        <f ca="1">ROUNDDOWN(C41*(1-('Datos de Entrada (1)'!$D$20/100)),0)</f>
        <v>0</v>
      </c>
      <c r="D42" s="25">
        <f ca="1">ROUNDDOWN(D41*(1-('Datos de Entrada (1)'!$D$20/100)),0)</f>
        <v>0</v>
      </c>
      <c r="E42" s="25">
        <f ca="1">ROUNDDOWN(E41*(1-('Datos de Entrada (1)'!$D$20/100)),0)</f>
        <v>0</v>
      </c>
      <c r="F42" s="25">
        <f ca="1">ROUNDDOWN(F41*(1-('Datos de Entrada (1)'!$D$20/100)),0)</f>
        <v>0</v>
      </c>
      <c r="G42" s="25">
        <f ca="1">ROUNDDOWN(G41*(1-('Datos de Entrada (1)'!$D$20/100)),0)</f>
        <v>0</v>
      </c>
      <c r="H42" s="25">
        <f ca="1">ROUNDDOWN(H41*(1-('Datos de Entrada (1)'!$D$20/100)),0)</f>
        <v>0</v>
      </c>
      <c r="I42" s="25">
        <f ca="1">ROUNDDOWN(I41*(1-('Datos de Entrada (1)'!$D$20/100)),0)</f>
        <v>0</v>
      </c>
      <c r="J42" s="25">
        <f ca="1">ROUNDDOWN(J41*(1-('Datos de Entrada (1)'!$D$20/100)),0)</f>
        <v>0</v>
      </c>
      <c r="K42" s="25">
        <f ca="1">ROUNDDOWN(K41*(1-('Datos de Entrada (1)'!$D$20/100)),0)</f>
        <v>0</v>
      </c>
      <c r="L42" s="25">
        <f ca="1">ROUNDDOWN(L41*(1-('Datos de Entrada (1)'!$D$20/100)),0)</f>
        <v>0</v>
      </c>
      <c r="M42" s="25">
        <f ca="1">ROUNDDOWN(M41*(1-('Datos de Entrada (1)'!$D$20/100)),0)</f>
        <v>0</v>
      </c>
      <c r="N42" s="25">
        <f ca="1">ROUNDDOWN(N41*(1-('Datos de Entrada (1)'!$D$20/100)),0)</f>
        <v>0</v>
      </c>
      <c r="O42" s="25">
        <f ca="1">ROUNDDOWN(O41*(1-('Datos de Entrada (1)'!$D$20/100)),0)</f>
        <v>0</v>
      </c>
      <c r="P42" s="25">
        <f ca="1">ROUNDDOWN(P41*(1-('Datos de Entrada (1)'!$D$20/100)),0)</f>
        <v>0</v>
      </c>
      <c r="Q42" s="25">
        <f ca="1">ROUNDDOWN(Q41*(1-('Datos de Entrada (1)'!$D$20/100)),0)</f>
        <v>100</v>
      </c>
      <c r="R42" s="25">
        <f ca="1">ROUNDDOWN(R41*(1-('Datos de Entrada (1)'!$D$20/100)),0)</f>
        <v>100</v>
      </c>
      <c r="S42" s="25">
        <f ca="1">ROUNDDOWN(S41*(1-('Datos de Entrada (1)'!$D$20/100)),0)</f>
        <v>100</v>
      </c>
      <c r="T42" s="25">
        <f ca="1">ROUNDDOWN(T41*(1-('Datos de Entrada (1)'!$D$20/100)),0)</f>
        <v>100</v>
      </c>
      <c r="U42" s="45">
        <f ca="1">ROUNDDOWN(U41*(1-('Datos de Entrada (1)'!$D$20/100)),0)</f>
        <v>0</v>
      </c>
    </row>
    <row r="43" spans="1:21" ht="15" thickBot="1" x14ac:dyDescent="0.35">
      <c r="A43" s="72" t="s">
        <v>48</v>
      </c>
      <c r="B43" s="88">
        <f ca="1">OFFSET(B41,0,'Datos de Entrada (1)'!$C$20)</f>
        <v>0</v>
      </c>
      <c r="C43" s="46">
        <f ca="1">OFFSET(C41,0,'Datos de Entrada (1)'!$C$20)</f>
        <v>0</v>
      </c>
      <c r="D43" s="46">
        <f ca="1">OFFSET(D41,0,'Datos de Entrada (1)'!$C$20)</f>
        <v>0</v>
      </c>
      <c r="E43" s="46">
        <f ca="1">OFFSET(E41,0,'Datos de Entrada (1)'!$C$20)</f>
        <v>0</v>
      </c>
      <c r="F43" s="46">
        <f ca="1">OFFSET(F41,0,'Datos de Entrada (1)'!$C$20)</f>
        <v>0</v>
      </c>
      <c r="G43" s="46">
        <f ca="1">OFFSET(G41,0,'Datos de Entrada (1)'!$C$20)</f>
        <v>0</v>
      </c>
      <c r="H43" s="46">
        <f ca="1">OFFSET(H41,0,'Datos de Entrada (1)'!$C$20)</f>
        <v>0</v>
      </c>
      <c r="I43" s="46">
        <f ca="1">OFFSET(I41,0,'Datos de Entrada (1)'!$C$20)</f>
        <v>0</v>
      </c>
      <c r="J43" s="46">
        <f ca="1">OFFSET(J41,0,'Datos de Entrada (1)'!$C$20)</f>
        <v>0</v>
      </c>
      <c r="K43" s="46">
        <f ca="1">OFFSET(K41,0,'Datos de Entrada (1)'!$C$20)</f>
        <v>0</v>
      </c>
      <c r="L43" s="46">
        <f ca="1">OFFSET(L41,0,'Datos de Entrada (1)'!$C$20)</f>
        <v>0</v>
      </c>
      <c r="M43" s="46">
        <f ca="1">OFFSET(M41,0,'Datos de Entrada (1)'!$C$20)</f>
        <v>0</v>
      </c>
      <c r="N43" s="46">
        <f ca="1">OFFSET(N41,0,'Datos de Entrada (1)'!$C$20)</f>
        <v>0</v>
      </c>
      <c r="O43" s="46">
        <f ca="1">OFFSET(O41,0,'Datos de Entrada (1)'!$C$20)</f>
        <v>100</v>
      </c>
      <c r="P43" s="46">
        <f ca="1">OFFSET(P41,0,'Datos de Entrada (1)'!$C$20)</f>
        <v>100</v>
      </c>
      <c r="Q43" s="46">
        <f ca="1">OFFSET(Q41,0,'Datos de Entrada (1)'!$C$20)</f>
        <v>100</v>
      </c>
      <c r="R43" s="46">
        <f ca="1">OFFSET(R41,0,'Datos de Entrada (1)'!$C$20)</f>
        <v>100</v>
      </c>
      <c r="S43" s="46">
        <f ca="1">OFFSET(S41,0,'Datos de Entrada (1)'!$C$20)</f>
        <v>0</v>
      </c>
      <c r="T43" s="46">
        <f ca="1">OFFSET(T41,0,'Datos de Entrada (1)'!$C$20)</f>
        <v>0</v>
      </c>
      <c r="U43" s="47">
        <f ca="1">OFFSET(U41,0,'Datos de Entrada (1)'!$C$20)</f>
        <v>0</v>
      </c>
    </row>
    <row r="44" spans="1:21" ht="15" thickBot="1" x14ac:dyDescent="0.35"/>
    <row r="45" spans="1:21" ht="15" thickBot="1" x14ac:dyDescent="0.35">
      <c r="A45" s="75" t="s">
        <v>16</v>
      </c>
      <c r="B45" s="76">
        <v>1</v>
      </c>
      <c r="C45" s="77">
        <v>2</v>
      </c>
      <c r="D45" s="77">
        <v>3</v>
      </c>
      <c r="E45" s="77">
        <v>4</v>
      </c>
      <c r="F45" s="77">
        <v>5</v>
      </c>
      <c r="G45" s="77">
        <v>6</v>
      </c>
      <c r="H45" s="77">
        <v>7</v>
      </c>
      <c r="I45" s="77">
        <v>8</v>
      </c>
      <c r="J45" s="77">
        <v>9</v>
      </c>
      <c r="K45" s="77">
        <v>10</v>
      </c>
      <c r="L45" s="77">
        <v>11</v>
      </c>
      <c r="M45" s="77">
        <v>12</v>
      </c>
      <c r="N45" s="77">
        <v>13</v>
      </c>
      <c r="O45" s="77">
        <v>14</v>
      </c>
      <c r="P45" s="77">
        <v>15</v>
      </c>
      <c r="Q45" s="77">
        <v>16</v>
      </c>
      <c r="R45" s="77">
        <v>17</v>
      </c>
      <c r="S45" s="77">
        <v>18</v>
      </c>
      <c r="T45" s="77">
        <v>19</v>
      </c>
      <c r="U45" s="78">
        <v>20</v>
      </c>
    </row>
    <row r="46" spans="1:21" x14ac:dyDescent="0.3">
      <c r="A46" s="41" t="s">
        <v>42</v>
      </c>
      <c r="B46" s="89">
        <f ca="1">'Datos de Entrada (2)'!$D$18*'LANZ PP CAMBIOS'!B34+IFERROR(VLOOKUP($A$10,'Datos de Entrada (1)'!$A$7:$E$10,MATCH(B45,'Datos de Entrada (1)'!$A$6:$E$6,0),0),0)</f>
        <v>0</v>
      </c>
      <c r="C46" s="42">
        <f ca="1">'Datos de Entrada (2)'!$D$18*'LANZ PP CAMBIOS'!C34+IFERROR(VLOOKUP($A$10,'Datos de Entrada (1)'!$A$7:$E$10,MATCH(C45,'Datos de Entrada (1)'!$A$6:$E$6,0),0),0)</f>
        <v>0</v>
      </c>
      <c r="D46" s="42">
        <f ca="1">'Datos de Entrada (2)'!$D$18*'LANZ PP CAMBIOS'!D34+IFERROR(VLOOKUP($A$10,'Datos de Entrada (1)'!$A$7:$E$10,MATCH(D45,'Datos de Entrada (1)'!$A$6:$E$6,0),0),0)</f>
        <v>0</v>
      </c>
      <c r="E46" s="42">
        <f ca="1">'Datos de Entrada (2)'!$D$18*'LANZ PP CAMBIOS'!E34+IFERROR(VLOOKUP($A$10,'Datos de Entrada (1)'!$A$7:$E$10,MATCH(E45,'Datos de Entrada (1)'!$A$6:$E$6,0),0),0)</f>
        <v>0</v>
      </c>
      <c r="F46" s="42">
        <f ca="1">'Datos de Entrada (2)'!$D$18*'LANZ PP CAMBIOS'!F34+IFERROR(VLOOKUP($A$10,'Datos de Entrada (1)'!$A$7:$E$10,MATCH(F45,'Datos de Entrada (1)'!$A$6:$E$6,0),0),0)</f>
        <v>0</v>
      </c>
      <c r="G46" s="42">
        <f ca="1">'Datos de Entrada (2)'!$D$18*'LANZ PP CAMBIOS'!G34+IFERROR(VLOOKUP($A$10,'Datos de Entrada (1)'!$A$7:$E$10,MATCH(G45,'Datos de Entrada (1)'!$A$6:$E$6,0),0),0)</f>
        <v>0</v>
      </c>
      <c r="H46" s="42">
        <f ca="1">'Datos de Entrada (2)'!$D$18*'LANZ PP CAMBIOS'!H34+IFERROR(VLOOKUP($A$10,'Datos de Entrada (1)'!$A$7:$E$10,MATCH(H45,'Datos de Entrada (1)'!$A$6:$E$6,0),0),0)</f>
        <v>0</v>
      </c>
      <c r="I46" s="42">
        <f ca="1">'Datos de Entrada (2)'!$D$18*'LANZ PP CAMBIOS'!I34+IFERROR(VLOOKUP($A$10,'Datos de Entrada (1)'!$A$7:$E$10,MATCH(I45,'Datos de Entrada (1)'!$A$6:$E$6,0),0),0)</f>
        <v>0</v>
      </c>
      <c r="J46" s="42">
        <f ca="1">'Datos de Entrada (2)'!$D$18*'LANZ PP CAMBIOS'!J34+IFERROR(VLOOKUP($A$10,'Datos de Entrada (1)'!$A$7:$E$10,MATCH(J45,'Datos de Entrada (1)'!$A$6:$E$6,0),0),0)</f>
        <v>0</v>
      </c>
      <c r="K46" s="42">
        <f ca="1">'Datos de Entrada (2)'!$D$18*'LANZ PP CAMBIOS'!K34+IFERROR(VLOOKUP($A$10,'Datos de Entrada (1)'!$A$7:$E$10,MATCH(K45,'Datos de Entrada (1)'!$A$6:$E$6,0),0),0)</f>
        <v>0</v>
      </c>
      <c r="L46" s="42">
        <f ca="1">'Datos de Entrada (2)'!$D$18*'LANZ PP CAMBIOS'!L34+IFERROR(VLOOKUP($A$10,'Datos de Entrada (1)'!$A$7:$E$10,MATCH(L45,'Datos de Entrada (1)'!$A$6:$E$6,0),0),0)</f>
        <v>0</v>
      </c>
      <c r="M46" s="42">
        <f ca="1">'Datos de Entrada (2)'!$D$18*'LANZ PP CAMBIOS'!M34+IFERROR(VLOOKUP($A$10,'Datos de Entrada (1)'!$A$7:$E$10,MATCH(M45,'Datos de Entrada (1)'!$A$6:$E$6,0),0),0)</f>
        <v>0</v>
      </c>
      <c r="N46" s="42">
        <f ca="1">'Datos de Entrada (2)'!$D$18*'LANZ PP CAMBIOS'!N34+IFERROR(VLOOKUP($A$10,'Datos de Entrada (1)'!$A$7:$E$10,MATCH(N45,'Datos de Entrada (1)'!$A$6:$E$6,0),0),0)</f>
        <v>0</v>
      </c>
      <c r="O46" s="42">
        <f ca="1">'Datos de Entrada (2)'!$D$18*'LANZ PP CAMBIOS'!O34+IFERROR(VLOOKUP($A$10,'Datos de Entrada (1)'!$A$7:$E$10,MATCH(O45,'Datos de Entrada (1)'!$A$6:$E$6,0),0),0)</f>
        <v>0</v>
      </c>
      <c r="P46" s="42">
        <f ca="1">'Datos de Entrada (2)'!$D$18*'LANZ PP CAMBIOS'!P34+IFERROR(VLOOKUP($A$10,'Datos de Entrada (1)'!$A$7:$E$10,MATCH(P45,'Datos de Entrada (1)'!$A$6:$E$6,0),0),0)</f>
        <v>0</v>
      </c>
      <c r="Q46" s="42">
        <f ca="1">'Datos de Entrada (2)'!$D$18*'LANZ PP CAMBIOS'!Q34+IFERROR(VLOOKUP($A$10,'Datos de Entrada (1)'!$A$7:$E$10,MATCH(Q45,'Datos de Entrada (1)'!$A$6:$E$6,0),0),0)</f>
        <v>360</v>
      </c>
      <c r="R46" s="42">
        <f ca="1">'Datos de Entrada (2)'!$D$18*'LANZ PP CAMBIOS'!R34+IFERROR(VLOOKUP($A$10,'Datos de Entrada (1)'!$A$7:$E$10,MATCH(R45,'Datos de Entrada (1)'!$A$6:$E$6,0),0),0)</f>
        <v>400</v>
      </c>
      <c r="S46" s="42">
        <f ca="1">'Datos de Entrada (2)'!$D$18*'LANZ PP CAMBIOS'!S34+IFERROR(VLOOKUP($A$10,'Datos de Entrada (1)'!$A$7:$E$10,MATCH(S45,'Datos de Entrada (1)'!$A$6:$E$6,0),0),0)</f>
        <v>400</v>
      </c>
      <c r="T46" s="42">
        <f ca="1">'Datos de Entrada (2)'!$D$18*'LANZ PP CAMBIOS'!T34+IFERROR(VLOOKUP($A$10,'Datos de Entrada (1)'!$A$7:$E$10,MATCH(T45,'Datos de Entrada (1)'!$A$6:$E$6,0),0),0)</f>
        <v>500</v>
      </c>
      <c r="U46" s="43">
        <f ca="1">'Datos de Entrada (2)'!$D$18*'LANZ PP CAMBIOS'!U34+IFERROR(VLOOKUP($A$10,'Datos de Entrada (1)'!$A$7:$E$10,MATCH(U45,'Datos de Entrada (1)'!$A$6:$E$6,0),0),0)</f>
        <v>0</v>
      </c>
    </row>
    <row r="47" spans="1:21" x14ac:dyDescent="0.3">
      <c r="A47" s="73" t="s">
        <v>43</v>
      </c>
      <c r="B47" s="44">
        <f>'Datos de Entrada (1)'!$E$21</f>
        <v>20</v>
      </c>
      <c r="C47" s="25">
        <f ca="1">B47+B51-B46</f>
        <v>20</v>
      </c>
      <c r="D47" s="25">
        <f t="shared" ref="D47:T47" ca="1" si="13">C47+C51-C46</f>
        <v>20</v>
      </c>
      <c r="E47" s="25">
        <f t="shared" ca="1" si="13"/>
        <v>20</v>
      </c>
      <c r="F47" s="25">
        <f t="shared" ca="1" si="13"/>
        <v>20</v>
      </c>
      <c r="G47" s="25">
        <f t="shared" ca="1" si="13"/>
        <v>20</v>
      </c>
      <c r="H47" s="25">
        <f t="shared" ca="1" si="13"/>
        <v>20</v>
      </c>
      <c r="I47" s="25">
        <f t="shared" ca="1" si="13"/>
        <v>20</v>
      </c>
      <c r="J47" s="25">
        <f t="shared" ca="1" si="13"/>
        <v>20</v>
      </c>
      <c r="K47" s="25">
        <f t="shared" ca="1" si="13"/>
        <v>20</v>
      </c>
      <c r="L47" s="25">
        <f t="shared" ca="1" si="13"/>
        <v>20</v>
      </c>
      <c r="M47" s="25">
        <f t="shared" ca="1" si="13"/>
        <v>20</v>
      </c>
      <c r="N47" s="25">
        <f t="shared" ca="1" si="13"/>
        <v>20</v>
      </c>
      <c r="O47" s="25">
        <f t="shared" ca="1" si="13"/>
        <v>20</v>
      </c>
      <c r="P47" s="25">
        <f t="shared" ca="1" si="13"/>
        <v>20</v>
      </c>
      <c r="Q47" s="25">
        <f t="shared" ca="1" si="13"/>
        <v>20</v>
      </c>
      <c r="R47" s="25">
        <f t="shared" ca="1" si="13"/>
        <v>40</v>
      </c>
      <c r="S47" s="25">
        <f t="shared" ca="1" si="13"/>
        <v>67</v>
      </c>
      <c r="T47" s="25">
        <f t="shared" ca="1" si="13"/>
        <v>47</v>
      </c>
      <c r="U47" s="45">
        <f ca="1">T47+T51-T46</f>
        <v>69</v>
      </c>
    </row>
    <row r="48" spans="1:21" x14ac:dyDescent="0.3">
      <c r="A48" s="73" t="s">
        <v>44</v>
      </c>
      <c r="B48" s="87">
        <f ca="1">IF(B46=0,0,MAX(0,B46+'Datos de Entrada (1)'!$B$21-'LANZ PP'!B47))</f>
        <v>0</v>
      </c>
      <c r="C48" s="25">
        <f ca="1">IF(C46=0,0,MAX(0,C46+'Datos de Entrada (1)'!$B$21-'LANZ PP'!C47))</f>
        <v>0</v>
      </c>
      <c r="D48" s="25">
        <f ca="1">IF(D46=0,0,MAX(0,D46+'Datos de Entrada (1)'!$B$21-'LANZ PP'!D47))</f>
        <v>0</v>
      </c>
      <c r="E48" s="25">
        <f ca="1">IF(E46=0,0,MAX(0,E46+'Datos de Entrada (1)'!$B$21-'LANZ PP'!E47))</f>
        <v>0</v>
      </c>
      <c r="F48" s="25">
        <f ca="1">IF(F46=0,0,MAX(0,F46+'Datos de Entrada (1)'!$B$21-'LANZ PP'!F47))</f>
        <v>0</v>
      </c>
      <c r="G48" s="25">
        <f ca="1">IF(G46=0,0,MAX(0,G46+'Datos de Entrada (1)'!$B$21-'LANZ PP'!G47))</f>
        <v>0</v>
      </c>
      <c r="H48" s="25">
        <f ca="1">IF(H46=0,0,MAX(0,H46+'Datos de Entrada (1)'!$B$21-'LANZ PP'!H47))</f>
        <v>0</v>
      </c>
      <c r="I48" s="25">
        <f ca="1">IF(I46=0,0,MAX(0,I46+'Datos de Entrada (1)'!$B$21-'LANZ PP'!I47))</f>
        <v>0</v>
      </c>
      <c r="J48" s="25">
        <f ca="1">IF(J46=0,0,MAX(0,J46+'Datos de Entrada (1)'!$B$21-'LANZ PP'!J47))</f>
        <v>0</v>
      </c>
      <c r="K48" s="25">
        <f ca="1">IF(K46=0,0,MAX(0,K46+'Datos de Entrada (1)'!$B$21-'LANZ PP'!K47))</f>
        <v>0</v>
      </c>
      <c r="L48" s="25">
        <f ca="1">IF(L46=0,0,MAX(0,L46+'Datos de Entrada (1)'!$B$21-'LANZ PP'!L47))</f>
        <v>0</v>
      </c>
      <c r="M48" s="25">
        <f ca="1">IF(M46=0,0,MAX(0,M46+'Datos de Entrada (1)'!$B$21-'LANZ PP'!M47))</f>
        <v>0</v>
      </c>
      <c r="N48" s="25">
        <f ca="1">IF(N46=0,0,MAX(0,N46+'Datos de Entrada (1)'!$B$21-'LANZ PP'!N47))</f>
        <v>0</v>
      </c>
      <c r="O48" s="25">
        <f ca="1">IF(O46=0,0,MAX(0,O46+'Datos de Entrada (1)'!$B$21-'LANZ PP'!O47))</f>
        <v>0</v>
      </c>
      <c r="P48" s="25">
        <f ca="1">IF(P46=0,0,MAX(0,P46+'Datos de Entrada (1)'!$B$21-'LANZ PP'!P47))</f>
        <v>0</v>
      </c>
      <c r="Q48" s="25">
        <f ca="1">IF(Q46=0,0,MAX(0,Q46+'Datos de Entrada (1)'!$B$21-'LANZ PP'!Q47))</f>
        <v>370</v>
      </c>
      <c r="R48" s="25">
        <f ca="1">IF(R46=0,0,MAX(0,R46+'Datos de Entrada (1)'!$B$21-'LANZ PP'!R47))</f>
        <v>390</v>
      </c>
      <c r="S48" s="25">
        <f ca="1">IF(S46=0,0,MAX(0,S46+'Datos de Entrada (1)'!$B$21-'LANZ PP'!S47))</f>
        <v>363</v>
      </c>
      <c r="T48" s="25">
        <f ca="1">IF(T46=0,0,MAX(0,T46+'Datos de Entrada (1)'!$B$21-'LANZ PP'!T47))</f>
        <v>483</v>
      </c>
      <c r="U48" s="45">
        <f ca="1">IF(U46=0,0,MAX(0,U46+'Datos de Entrada (1)'!$B$21-'LANZ PP'!U47))</f>
        <v>0</v>
      </c>
    </row>
    <row r="49" spans="1:21" x14ac:dyDescent="0.3">
      <c r="A49" s="73" t="s">
        <v>45</v>
      </c>
      <c r="B49" s="87">
        <f ca="1">ROUNDUP(B48/(1-('Datos de Entrada (1)'!$D$21/100)),0)</f>
        <v>0</v>
      </c>
      <c r="C49" s="25">
        <f ca="1">ROUNDUP(C48/(1-('Datos de Entrada (1)'!$D$21/100)),0)</f>
        <v>0</v>
      </c>
      <c r="D49" s="25">
        <f ca="1">ROUNDUP(D48/(1-('Datos de Entrada (1)'!$D$21/100)),0)</f>
        <v>0</v>
      </c>
      <c r="E49" s="25">
        <f ca="1">ROUNDUP(E48/(1-('Datos de Entrada (1)'!$D$21/100)),0)</f>
        <v>0</v>
      </c>
      <c r="F49" s="25">
        <f ca="1">ROUNDUP(F48/(1-('Datos de Entrada (1)'!$D$21/100)),0)</f>
        <v>0</v>
      </c>
      <c r="G49" s="25">
        <f ca="1">ROUNDUP(G48/(1-('Datos de Entrada (1)'!$D$21/100)),0)</f>
        <v>0</v>
      </c>
      <c r="H49" s="25">
        <f ca="1">ROUNDUP(H48/(1-('Datos de Entrada (1)'!$D$21/100)),0)</f>
        <v>0</v>
      </c>
      <c r="I49" s="25">
        <f ca="1">ROUNDUP(I48/(1-('Datos de Entrada (1)'!$D$21/100)),0)</f>
        <v>0</v>
      </c>
      <c r="J49" s="25">
        <f ca="1">ROUNDUP(J48/(1-('Datos de Entrada (1)'!$D$21/100)),0)</f>
        <v>0</v>
      </c>
      <c r="K49" s="25">
        <f ca="1">ROUNDUP(K48/(1-('Datos de Entrada (1)'!$D$21/100)),0)</f>
        <v>0</v>
      </c>
      <c r="L49" s="25">
        <f ca="1">ROUNDUP(L48/(1-('Datos de Entrada (1)'!$D$21/100)),0)</f>
        <v>0</v>
      </c>
      <c r="M49" s="25">
        <f ca="1">ROUNDUP(M48/(1-('Datos de Entrada (1)'!$D$21/100)),0)</f>
        <v>0</v>
      </c>
      <c r="N49" s="25">
        <f ca="1">ROUNDUP(N48/(1-('Datos de Entrada (1)'!$D$21/100)),0)</f>
        <v>0</v>
      </c>
      <c r="O49" s="25">
        <f ca="1">ROUNDUP(O48/(1-('Datos de Entrada (1)'!$D$21/100)),0)</f>
        <v>0</v>
      </c>
      <c r="P49" s="25">
        <f ca="1">ROUNDUP(P48/(1-('Datos de Entrada (1)'!$D$21/100)),0)</f>
        <v>0</v>
      </c>
      <c r="Q49" s="25">
        <f ca="1">ROUNDUP(Q48/(1-('Datos de Entrada (1)'!$D$21/100)),0)</f>
        <v>390</v>
      </c>
      <c r="R49" s="25">
        <f ca="1">ROUNDUP(R48/(1-('Datos de Entrada (1)'!$D$21/100)),0)</f>
        <v>411</v>
      </c>
      <c r="S49" s="25">
        <f ca="1">ROUNDUP(S48/(1-('Datos de Entrada (1)'!$D$21/100)),0)</f>
        <v>383</v>
      </c>
      <c r="T49" s="25">
        <f ca="1">ROUNDUP(T48/(1-('Datos de Entrada (1)'!$D$21/100)),0)</f>
        <v>509</v>
      </c>
      <c r="U49" s="45">
        <f ca="1">ROUNDUP(U48/(1-('Datos de Entrada (1)'!$D$21/100)),0)</f>
        <v>0</v>
      </c>
    </row>
    <row r="50" spans="1:21" x14ac:dyDescent="0.3">
      <c r="A50" s="73" t="s">
        <v>46</v>
      </c>
      <c r="B50" s="87">
        <f ca="1">ROUNDUP(B49/'Datos de Entrada (1)'!$F$21,0)*'Datos de Entrada (1)'!$F$21</f>
        <v>0</v>
      </c>
      <c r="C50" s="25">
        <f ca="1">ROUNDUP(C49/'Datos de Entrada (1)'!$F$21,0)*'Datos de Entrada (1)'!$F$21</f>
        <v>0</v>
      </c>
      <c r="D50" s="25">
        <f ca="1">ROUNDUP(D49/'Datos de Entrada (1)'!$F$21,0)*'Datos de Entrada (1)'!$F$21</f>
        <v>0</v>
      </c>
      <c r="E50" s="25">
        <f ca="1">ROUNDUP(E49/'Datos de Entrada (1)'!$F$21,0)*'Datos de Entrada (1)'!$F$21</f>
        <v>0</v>
      </c>
      <c r="F50" s="25">
        <f ca="1">ROUNDUP(F49/'Datos de Entrada (1)'!$F$21,0)*'Datos de Entrada (1)'!$F$21</f>
        <v>0</v>
      </c>
      <c r="G50" s="25">
        <f ca="1">ROUNDUP(G49/'Datos de Entrada (1)'!$F$21,0)*'Datos de Entrada (1)'!$F$21</f>
        <v>0</v>
      </c>
      <c r="H50" s="25">
        <f ca="1">ROUNDUP(H49/'Datos de Entrada (1)'!$F$21,0)*'Datos de Entrada (1)'!$F$21</f>
        <v>0</v>
      </c>
      <c r="I50" s="25">
        <f ca="1">ROUNDUP(I49/'Datos de Entrada (1)'!$F$21,0)*'Datos de Entrada (1)'!$F$21</f>
        <v>0</v>
      </c>
      <c r="J50" s="25">
        <f ca="1">ROUNDUP(J49/'Datos de Entrada (1)'!$F$21,0)*'Datos de Entrada (1)'!$F$21</f>
        <v>0</v>
      </c>
      <c r="K50" s="25">
        <f ca="1">ROUNDUP(K49/'Datos de Entrada (1)'!$F$21,0)*'Datos de Entrada (1)'!$F$21</f>
        <v>0</v>
      </c>
      <c r="L50" s="25">
        <f ca="1">ROUNDUP(L49/'Datos de Entrada (1)'!$F$21,0)*'Datos de Entrada (1)'!$F$21</f>
        <v>0</v>
      </c>
      <c r="M50" s="25">
        <f ca="1">ROUNDUP(M49/'Datos de Entrada (1)'!$F$21,0)*'Datos de Entrada (1)'!$F$21</f>
        <v>0</v>
      </c>
      <c r="N50" s="25">
        <f ca="1">ROUNDUP(N49/'Datos de Entrada (1)'!$F$21,0)*'Datos de Entrada (1)'!$F$21</f>
        <v>0</v>
      </c>
      <c r="O50" s="25">
        <f ca="1">ROUNDUP(O49/'Datos de Entrada (1)'!$F$21,0)*'Datos de Entrada (1)'!$F$21</f>
        <v>0</v>
      </c>
      <c r="P50" s="25">
        <f ca="1">ROUNDUP(P49/'Datos de Entrada (1)'!$F$21,0)*'Datos de Entrada (1)'!$F$21</f>
        <v>0</v>
      </c>
      <c r="Q50" s="25">
        <f ca="1">ROUNDUP(Q49/'Datos de Entrada (1)'!$F$21,0)*'Datos de Entrada (1)'!$F$21</f>
        <v>400</v>
      </c>
      <c r="R50" s="25">
        <f ca="1">ROUNDUP(R49/'Datos de Entrada (1)'!$F$21,0)*'Datos de Entrada (1)'!$F$21</f>
        <v>450</v>
      </c>
      <c r="S50" s="25">
        <f ca="1">ROUNDUP(S49/'Datos de Entrada (1)'!$F$21,0)*'Datos de Entrada (1)'!$F$21</f>
        <v>400</v>
      </c>
      <c r="T50" s="25">
        <f ca="1">ROUNDUP(T49/'Datos de Entrada (1)'!$F$21,0)*'Datos de Entrada (1)'!$F$21</f>
        <v>550</v>
      </c>
      <c r="U50" s="45">
        <f ca="1">ROUNDUP(U49/'Datos de Entrada (1)'!$F$21,0)*'Datos de Entrada (1)'!$F$21</f>
        <v>0</v>
      </c>
    </row>
    <row r="51" spans="1:21" x14ac:dyDescent="0.3">
      <c r="A51" s="73" t="s">
        <v>47</v>
      </c>
      <c r="B51" s="87">
        <f ca="1">ROUNDDOWN(B50*(1-('Datos de Entrada (1)'!$D$21/100)),0)</f>
        <v>0</v>
      </c>
      <c r="C51" s="25">
        <f ca="1">ROUNDDOWN(C50*(1-('Datos de Entrada (1)'!$D$21/100)),0)</f>
        <v>0</v>
      </c>
      <c r="D51" s="25">
        <f ca="1">ROUNDDOWN(D50*(1-('Datos de Entrada (1)'!$D$21/100)),0)</f>
        <v>0</v>
      </c>
      <c r="E51" s="25">
        <f ca="1">ROUNDDOWN(E50*(1-('Datos de Entrada (1)'!$D$21/100)),0)</f>
        <v>0</v>
      </c>
      <c r="F51" s="25">
        <f ca="1">ROUNDDOWN(F50*(1-('Datos de Entrada (1)'!$D$21/100)),0)</f>
        <v>0</v>
      </c>
      <c r="G51" s="25">
        <f ca="1">ROUNDDOWN(G50*(1-('Datos de Entrada (1)'!$D$21/100)),0)</f>
        <v>0</v>
      </c>
      <c r="H51" s="25">
        <f ca="1">ROUNDDOWN(H50*(1-('Datos de Entrada (1)'!$D$21/100)),0)</f>
        <v>0</v>
      </c>
      <c r="I51" s="25">
        <f ca="1">ROUNDDOWN(I50*(1-('Datos de Entrada (1)'!$D$21/100)),0)</f>
        <v>0</v>
      </c>
      <c r="J51" s="25">
        <f ca="1">ROUNDDOWN(J50*(1-('Datos de Entrada (1)'!$D$21/100)),0)</f>
        <v>0</v>
      </c>
      <c r="K51" s="25">
        <f ca="1">ROUNDDOWN(K50*(1-('Datos de Entrada (1)'!$D$21/100)),0)</f>
        <v>0</v>
      </c>
      <c r="L51" s="25">
        <f ca="1">ROUNDDOWN(L50*(1-('Datos de Entrada (1)'!$D$21/100)),0)</f>
        <v>0</v>
      </c>
      <c r="M51" s="25">
        <f ca="1">ROUNDDOWN(M50*(1-('Datos de Entrada (1)'!$D$21/100)),0)</f>
        <v>0</v>
      </c>
      <c r="N51" s="25">
        <f ca="1">ROUNDDOWN(N50*(1-('Datos de Entrada (1)'!$D$21/100)),0)</f>
        <v>0</v>
      </c>
      <c r="O51" s="25">
        <f ca="1">ROUNDDOWN(O50*(1-('Datos de Entrada (1)'!$D$21/100)),0)</f>
        <v>0</v>
      </c>
      <c r="P51" s="25">
        <f ca="1">ROUNDDOWN(P50*(1-('Datos de Entrada (1)'!$D$21/100)),0)</f>
        <v>0</v>
      </c>
      <c r="Q51" s="25">
        <f ca="1">ROUNDDOWN(Q50*(1-('Datos de Entrada (1)'!$D$21/100)),0)</f>
        <v>380</v>
      </c>
      <c r="R51" s="25">
        <f ca="1">ROUNDDOWN(R50*(1-('Datos de Entrada (1)'!$D$21/100)),0)</f>
        <v>427</v>
      </c>
      <c r="S51" s="25">
        <f ca="1">ROUNDDOWN(S50*(1-('Datos de Entrada (1)'!$D$21/100)),0)</f>
        <v>380</v>
      </c>
      <c r="T51" s="25">
        <f ca="1">ROUNDDOWN(T50*(1-('Datos de Entrada (1)'!$D$21/100)),0)</f>
        <v>522</v>
      </c>
      <c r="U51" s="45">
        <f ca="1">ROUNDDOWN(U50*(1-('Datos de Entrada (1)'!$D$21/100)),0)</f>
        <v>0</v>
      </c>
    </row>
    <row r="52" spans="1:21" ht="15" thickBot="1" x14ac:dyDescent="0.35">
      <c r="A52" s="72" t="s">
        <v>48</v>
      </c>
      <c r="B52" s="88">
        <f ca="1">OFFSET(B50,0,'Datos de Entrada (1)'!$C$21)</f>
        <v>0</v>
      </c>
      <c r="C52" s="46">
        <f ca="1">OFFSET(C50,0,'Datos de Entrada (1)'!$C$21)</f>
        <v>0</v>
      </c>
      <c r="D52" s="46">
        <f ca="1">OFFSET(D50,0,'Datos de Entrada (1)'!$C$21)</f>
        <v>0</v>
      </c>
      <c r="E52" s="46">
        <f ca="1">OFFSET(E50,0,'Datos de Entrada (1)'!$C$21)</f>
        <v>0</v>
      </c>
      <c r="F52" s="46">
        <f ca="1">OFFSET(F50,0,'Datos de Entrada (1)'!$C$21)</f>
        <v>0</v>
      </c>
      <c r="G52" s="46">
        <f ca="1">OFFSET(G50,0,'Datos de Entrada (1)'!$C$21)</f>
        <v>0</v>
      </c>
      <c r="H52" s="46">
        <f ca="1">OFFSET(H50,0,'Datos de Entrada (1)'!$C$21)</f>
        <v>0</v>
      </c>
      <c r="I52" s="46">
        <f ca="1">OFFSET(I50,0,'Datos de Entrada (1)'!$C$21)</f>
        <v>0</v>
      </c>
      <c r="J52" s="46">
        <f ca="1">OFFSET(J50,0,'Datos de Entrada (1)'!$C$21)</f>
        <v>0</v>
      </c>
      <c r="K52" s="46">
        <f ca="1">OFFSET(K50,0,'Datos de Entrada (1)'!$C$21)</f>
        <v>0</v>
      </c>
      <c r="L52" s="46">
        <f ca="1">OFFSET(L50,0,'Datos de Entrada (1)'!$C$21)</f>
        <v>0</v>
      </c>
      <c r="M52" s="46">
        <f ca="1">OFFSET(M50,0,'Datos de Entrada (1)'!$C$21)</f>
        <v>0</v>
      </c>
      <c r="N52" s="46">
        <f ca="1">OFFSET(N50,0,'Datos de Entrada (1)'!$C$21)</f>
        <v>0</v>
      </c>
      <c r="O52" s="46">
        <f ca="1">OFFSET(O50,0,'Datos de Entrada (1)'!$C$21)</f>
        <v>400</v>
      </c>
      <c r="P52" s="46">
        <f ca="1">OFFSET(P50,0,'Datos de Entrada (1)'!$C$21)</f>
        <v>450</v>
      </c>
      <c r="Q52" s="46">
        <f ca="1">OFFSET(Q50,0,'Datos de Entrada (1)'!$C$21)</f>
        <v>400</v>
      </c>
      <c r="R52" s="46">
        <f ca="1">OFFSET(R50,0,'Datos de Entrada (1)'!$C$21)</f>
        <v>550</v>
      </c>
      <c r="S52" s="46">
        <f ca="1">OFFSET(S50,0,'Datos de Entrada (1)'!$C$21)</f>
        <v>0</v>
      </c>
      <c r="T52" s="46">
        <f ca="1">OFFSET(T50,0,'Datos de Entrada (1)'!$C$21)</f>
        <v>0</v>
      </c>
      <c r="U52" s="47">
        <f ca="1">OFFSET(U50,0,'Datos de Entrada (1)'!$C$21)</f>
        <v>0</v>
      </c>
    </row>
    <row r="53" spans="1:21" ht="15" thickBot="1" x14ac:dyDescent="0.35"/>
    <row r="54" spans="1:21" ht="15" thickBot="1" x14ac:dyDescent="0.35">
      <c r="A54" s="75" t="s">
        <v>36</v>
      </c>
      <c r="B54" s="76">
        <v>1</v>
      </c>
      <c r="C54" s="77">
        <v>2</v>
      </c>
      <c r="D54" s="77">
        <v>3</v>
      </c>
      <c r="E54" s="77">
        <v>4</v>
      </c>
      <c r="F54" s="77">
        <v>5</v>
      </c>
      <c r="G54" s="77">
        <v>6</v>
      </c>
      <c r="H54" s="77">
        <v>7</v>
      </c>
      <c r="I54" s="77">
        <v>8</v>
      </c>
      <c r="J54" s="77">
        <v>9</v>
      </c>
      <c r="K54" s="77">
        <v>10</v>
      </c>
      <c r="L54" s="77">
        <v>11</v>
      </c>
      <c r="M54" s="77">
        <v>12</v>
      </c>
      <c r="N54" s="77">
        <v>13</v>
      </c>
      <c r="O54" s="77">
        <v>14</v>
      </c>
      <c r="P54" s="77">
        <v>15</v>
      </c>
      <c r="Q54" s="77">
        <v>16</v>
      </c>
      <c r="R54" s="77">
        <v>17</v>
      </c>
      <c r="S54" s="77">
        <v>18</v>
      </c>
      <c r="T54" s="77">
        <v>19</v>
      </c>
      <c r="U54" s="78">
        <v>20</v>
      </c>
    </row>
    <row r="55" spans="1:21" x14ac:dyDescent="0.3">
      <c r="A55" s="41" t="s">
        <v>42</v>
      </c>
      <c r="B55" s="89">
        <f ca="1">'Datos de Entrada (2)'!$H$18*'LANZ PP CAMBIOS'!B34+IFERROR(VLOOKUP($A$11,'Datos de Entrada (1)'!$A$7:$E$10,MATCH(B54,'Datos de Entrada (1)'!$A$6:$E$6,0),0),0)</f>
        <v>0</v>
      </c>
      <c r="C55" s="42">
        <f ca="1">'Datos de Entrada (2)'!$H$18*'LANZ PP CAMBIOS'!C34+IFERROR(VLOOKUP($A$11,'Datos de Entrada (1)'!$A$7:$E$10,MATCH(C54,'Datos de Entrada (1)'!$A$6:$E$6,0),0),0)</f>
        <v>0</v>
      </c>
      <c r="D55" s="42">
        <f ca="1">'Datos de Entrada (2)'!$H$18*'LANZ PP CAMBIOS'!D34+IFERROR(VLOOKUP($A$11,'Datos de Entrada (1)'!$A$7:$E$10,MATCH(D54,'Datos de Entrada (1)'!$A$6:$E$6,0),0),0)</f>
        <v>0</v>
      </c>
      <c r="E55" s="42">
        <f ca="1">'Datos de Entrada (2)'!$H$18*'LANZ PP CAMBIOS'!E34+IFERROR(VLOOKUP($A$11,'Datos de Entrada (1)'!$A$7:$E$10,MATCH(E54,'Datos de Entrada (1)'!$A$6:$E$6,0),0),0)</f>
        <v>0</v>
      </c>
      <c r="F55" s="42">
        <f ca="1">'Datos de Entrada (2)'!$H$18*'LANZ PP CAMBIOS'!F34+IFERROR(VLOOKUP($A$11,'Datos de Entrada (1)'!$A$7:$E$10,MATCH(F54,'Datos de Entrada (1)'!$A$6:$E$6,0),0),0)</f>
        <v>0</v>
      </c>
      <c r="G55" s="42">
        <f ca="1">'Datos de Entrada (2)'!$H$18*'LANZ PP CAMBIOS'!G34+IFERROR(VLOOKUP($A$11,'Datos de Entrada (1)'!$A$7:$E$10,MATCH(G54,'Datos de Entrada (1)'!$A$6:$E$6,0),0),0)</f>
        <v>0</v>
      </c>
      <c r="H55" s="42">
        <f ca="1">'Datos de Entrada (2)'!$H$18*'LANZ PP CAMBIOS'!H34+IFERROR(VLOOKUP($A$11,'Datos de Entrada (1)'!$A$7:$E$10,MATCH(H54,'Datos de Entrada (1)'!$A$6:$E$6,0),0),0)</f>
        <v>0</v>
      </c>
      <c r="I55" s="42">
        <f ca="1">'Datos de Entrada (2)'!$H$18*'LANZ PP CAMBIOS'!I34+IFERROR(VLOOKUP($A$11,'Datos de Entrada (1)'!$A$7:$E$10,MATCH(I54,'Datos de Entrada (1)'!$A$6:$E$6,0),0),0)</f>
        <v>0</v>
      </c>
      <c r="J55" s="42">
        <f ca="1">'Datos de Entrada (2)'!$H$18*'LANZ PP CAMBIOS'!J34+IFERROR(VLOOKUP($A$11,'Datos de Entrada (1)'!$A$7:$E$10,MATCH(J54,'Datos de Entrada (1)'!$A$6:$E$6,0),0),0)</f>
        <v>0</v>
      </c>
      <c r="K55" s="42">
        <f ca="1">'Datos de Entrada (2)'!$H$18*'LANZ PP CAMBIOS'!K34+IFERROR(VLOOKUP($A$11,'Datos de Entrada (1)'!$A$7:$E$10,MATCH(K54,'Datos de Entrada (1)'!$A$6:$E$6,0),0),0)</f>
        <v>0</v>
      </c>
      <c r="L55" s="42">
        <f ca="1">'Datos de Entrada (2)'!$H$18*'LANZ PP CAMBIOS'!L34+IFERROR(VLOOKUP($A$11,'Datos de Entrada (1)'!$A$7:$E$10,MATCH(L54,'Datos de Entrada (1)'!$A$6:$E$6,0),0),0)</f>
        <v>0</v>
      </c>
      <c r="M55" s="42">
        <f ca="1">'Datos de Entrada (2)'!$H$18*'LANZ PP CAMBIOS'!M34+IFERROR(VLOOKUP($A$11,'Datos de Entrada (1)'!$A$7:$E$10,MATCH(M54,'Datos de Entrada (1)'!$A$6:$E$6,0),0),0)</f>
        <v>0</v>
      </c>
      <c r="N55" s="42">
        <f ca="1">'Datos de Entrada (2)'!$H$18*'LANZ PP CAMBIOS'!N34+IFERROR(VLOOKUP($A$11,'Datos de Entrada (1)'!$A$7:$E$10,MATCH(N54,'Datos de Entrada (1)'!$A$6:$E$6,0),0),0)</f>
        <v>0</v>
      </c>
      <c r="O55" s="42">
        <f ca="1">'Datos de Entrada (2)'!$H$18*'LANZ PP CAMBIOS'!O34+IFERROR(VLOOKUP($A$11,'Datos de Entrada (1)'!$A$7:$E$10,MATCH(O54,'Datos de Entrada (1)'!$A$6:$E$6,0),0),0)</f>
        <v>0</v>
      </c>
      <c r="P55" s="42">
        <f ca="1">'Datos de Entrada (2)'!$H$18*'LANZ PP CAMBIOS'!P34+IFERROR(VLOOKUP($A$11,'Datos de Entrada (1)'!$A$7:$E$10,MATCH(P54,'Datos de Entrada (1)'!$A$6:$E$6,0),0),0)</f>
        <v>0</v>
      </c>
      <c r="Q55" s="42">
        <f ca="1">'Datos de Entrada (2)'!$H$18*'LANZ PP CAMBIOS'!Q34+IFERROR(VLOOKUP($A$11,'Datos de Entrada (1)'!$A$7:$E$10,MATCH(Q54,'Datos de Entrada (1)'!$A$6:$E$6,0),0),0)</f>
        <v>180</v>
      </c>
      <c r="R55" s="42">
        <f ca="1">'Datos de Entrada (2)'!$H$18*'LANZ PP CAMBIOS'!R34+IFERROR(VLOOKUP($A$11,'Datos de Entrada (1)'!$A$7:$E$10,MATCH(R54,'Datos de Entrada (1)'!$A$6:$E$6,0),0),0)</f>
        <v>200</v>
      </c>
      <c r="S55" s="42">
        <f ca="1">'Datos de Entrada (2)'!$H$18*'LANZ PP CAMBIOS'!S34+IFERROR(VLOOKUP($A$11,'Datos de Entrada (1)'!$A$7:$E$10,MATCH(S54,'Datos de Entrada (1)'!$A$6:$E$6,0),0),0)</f>
        <v>200</v>
      </c>
      <c r="T55" s="42">
        <f ca="1">'Datos de Entrada (2)'!$H$18*'LANZ PP CAMBIOS'!T34+IFERROR(VLOOKUP($A$11,'Datos de Entrada (1)'!$A$7:$E$10,MATCH(T54,'Datos de Entrada (1)'!$A$6:$E$6,0),0),0)</f>
        <v>250</v>
      </c>
      <c r="U55" s="43">
        <f ca="1">'Datos de Entrada (2)'!$H$18*'LANZ PP CAMBIOS'!U34+IFERROR(VLOOKUP($A$11,'Datos de Entrada (1)'!$A$7:$E$10,MATCH(U54,'Datos de Entrada (1)'!$A$6:$E$6,0),0),0)</f>
        <v>0</v>
      </c>
    </row>
    <row r="56" spans="1:21" x14ac:dyDescent="0.3">
      <c r="A56" s="73" t="s">
        <v>43</v>
      </c>
      <c r="B56" s="44">
        <f>'Datos de Entrada (1)'!$E$22</f>
        <v>50</v>
      </c>
      <c r="C56" s="25">
        <f ca="1">B56+C59-B55</f>
        <v>50</v>
      </c>
      <c r="D56" s="25">
        <f t="shared" ref="D56:T56" ca="1" si="14">C56+C60-C55</f>
        <v>50</v>
      </c>
      <c r="E56" s="25">
        <f t="shared" ca="1" si="14"/>
        <v>50</v>
      </c>
      <c r="F56" s="25">
        <f t="shared" ca="1" si="14"/>
        <v>50</v>
      </c>
      <c r="G56" s="25">
        <f t="shared" ca="1" si="14"/>
        <v>50</v>
      </c>
      <c r="H56" s="25">
        <f t="shared" ca="1" si="14"/>
        <v>50</v>
      </c>
      <c r="I56" s="25">
        <f t="shared" ca="1" si="14"/>
        <v>50</v>
      </c>
      <c r="J56" s="25">
        <f t="shared" ca="1" si="14"/>
        <v>50</v>
      </c>
      <c r="K56" s="25">
        <f t="shared" ca="1" si="14"/>
        <v>50</v>
      </c>
      <c r="L56" s="25">
        <f t="shared" ca="1" si="14"/>
        <v>50</v>
      </c>
      <c r="M56" s="25">
        <f t="shared" ca="1" si="14"/>
        <v>50</v>
      </c>
      <c r="N56" s="25">
        <f t="shared" ca="1" si="14"/>
        <v>50</v>
      </c>
      <c r="O56" s="25">
        <f t="shared" ca="1" si="14"/>
        <v>50</v>
      </c>
      <c r="P56" s="25">
        <f t="shared" ca="1" si="14"/>
        <v>50</v>
      </c>
      <c r="Q56" s="25">
        <f t="shared" ca="1" si="14"/>
        <v>50</v>
      </c>
      <c r="R56" s="25">
        <f t="shared" ca="1" si="14"/>
        <v>5</v>
      </c>
      <c r="S56" s="25">
        <f t="shared" ca="1" si="14"/>
        <v>7</v>
      </c>
      <c r="T56" s="25">
        <f t="shared" ca="1" si="14"/>
        <v>9</v>
      </c>
      <c r="U56" s="45">
        <f ca="1">T56+T60-T55</f>
        <v>29</v>
      </c>
    </row>
    <row r="57" spans="1:21" x14ac:dyDescent="0.3">
      <c r="A57" s="73" t="s">
        <v>44</v>
      </c>
      <c r="B57" s="87">
        <f ca="1">IF(B55=0,0,MAX(0,B55+'Datos de Entrada (1)'!$B$22-'LANZ PP'!B56))</f>
        <v>0</v>
      </c>
      <c r="C57" s="25">
        <f ca="1">IF(C55=0,0,MAX(0,C55+'Datos de Entrada (1)'!$B$22-'LANZ PP'!C56))</f>
        <v>0</v>
      </c>
      <c r="D57" s="25">
        <f ca="1">IF(D55=0,0,MAX(0,D55+'Datos de Entrada (1)'!$B$22-'LANZ PP'!D56))</f>
        <v>0</v>
      </c>
      <c r="E57" s="25">
        <f ca="1">IF(E55=0,0,MAX(0,E55+'Datos de Entrada (1)'!$B$22-'LANZ PP'!E56))</f>
        <v>0</v>
      </c>
      <c r="F57" s="25">
        <f ca="1">IF(F55=0,0,MAX(0,F55+'Datos de Entrada (1)'!$B$22-'LANZ PP'!F56))</f>
        <v>0</v>
      </c>
      <c r="G57" s="25">
        <f ca="1">IF(G55=0,0,MAX(0,G55+'Datos de Entrada (1)'!$B$22-'LANZ PP'!G56))</f>
        <v>0</v>
      </c>
      <c r="H57" s="25">
        <f ca="1">IF(H55=0,0,MAX(0,H55+'Datos de Entrada (1)'!$B$22-'LANZ PP'!H56))</f>
        <v>0</v>
      </c>
      <c r="I57" s="25">
        <f ca="1">IF(I55=0,0,MAX(0,I55+'Datos de Entrada (1)'!$B$22-'LANZ PP'!I56))</f>
        <v>0</v>
      </c>
      <c r="J57" s="25">
        <f ca="1">IF(J55=0,0,MAX(0,J55+'Datos de Entrada (1)'!$B$22-'LANZ PP'!J56))</f>
        <v>0</v>
      </c>
      <c r="K57" s="25">
        <f ca="1">IF(K55=0,0,MAX(0,K55+'Datos de Entrada (1)'!$B$22-'LANZ PP'!K56))</f>
        <v>0</v>
      </c>
      <c r="L57" s="25">
        <f ca="1">IF(L55=0,0,MAX(0,L55+'Datos de Entrada (1)'!$B$22-'LANZ PP'!L56))</f>
        <v>0</v>
      </c>
      <c r="M57" s="25">
        <f ca="1">IF(M55=0,0,MAX(0,M55+'Datos de Entrada (1)'!$B$22-'LANZ PP'!M56))</f>
        <v>0</v>
      </c>
      <c r="N57" s="25">
        <f ca="1">IF(N55=0,0,MAX(0,N55+'Datos de Entrada (1)'!$B$22-'LANZ PP'!N56))</f>
        <v>0</v>
      </c>
      <c r="O57" s="25">
        <f ca="1">IF(O55=0,0,MAX(0,O55+'Datos de Entrada (1)'!$B$22-'LANZ PP'!O56))</f>
        <v>0</v>
      </c>
      <c r="P57" s="25">
        <f ca="1">IF(P55=0,0,MAX(0,P55+'Datos de Entrada (1)'!$B$22-'LANZ PP'!P56))</f>
        <v>0</v>
      </c>
      <c r="Q57" s="25">
        <f ca="1">IF(Q55=0,0,MAX(0,Q55+'Datos de Entrada (1)'!$B$22-'LANZ PP'!Q56))</f>
        <v>130</v>
      </c>
      <c r="R57" s="25">
        <f ca="1">IF(R55=0,0,MAX(0,R55+'Datos de Entrada (1)'!$B$22-'LANZ PP'!R56))</f>
        <v>195</v>
      </c>
      <c r="S57" s="25">
        <f ca="1">IF(S55=0,0,MAX(0,S55+'Datos de Entrada (1)'!$B$22-'LANZ PP'!S56))</f>
        <v>193</v>
      </c>
      <c r="T57" s="25">
        <f ca="1">IF(T55=0,0,MAX(0,T55+'Datos de Entrada (1)'!$B$22-'LANZ PP'!T56))</f>
        <v>241</v>
      </c>
      <c r="U57" s="45">
        <f ca="1">IF(U55=0,0,MAX(0,U55+'Datos de Entrada (1)'!$B$22-'LANZ PP'!U56))</f>
        <v>0</v>
      </c>
    </row>
    <row r="58" spans="1:21" x14ac:dyDescent="0.3">
      <c r="A58" s="73" t="s">
        <v>45</v>
      </c>
      <c r="B58" s="87">
        <f ca="1">ROUNDUP(B57/(1-('Datos de Entrada (1)'!$D$22/100)),0)</f>
        <v>0</v>
      </c>
      <c r="C58" s="25">
        <f ca="1">ROUNDUP(C57/(1-('Datos de Entrada (1)'!$D$22/100)),0)</f>
        <v>0</v>
      </c>
      <c r="D58" s="25">
        <f ca="1">ROUNDUP(D57/(1-('Datos de Entrada (1)'!$D$22/100)),0)</f>
        <v>0</v>
      </c>
      <c r="E58" s="25">
        <f ca="1">ROUNDUP(E57/(1-('Datos de Entrada (1)'!$D$22/100)),0)</f>
        <v>0</v>
      </c>
      <c r="F58" s="25">
        <f ca="1">ROUNDUP(F57/(1-('Datos de Entrada (1)'!$D$22/100)),0)</f>
        <v>0</v>
      </c>
      <c r="G58" s="25">
        <f ca="1">ROUNDUP(G57/(1-('Datos de Entrada (1)'!$D$22/100)),0)</f>
        <v>0</v>
      </c>
      <c r="H58" s="25">
        <f ca="1">ROUNDUP(H57/(1-('Datos de Entrada (1)'!$D$22/100)),0)</f>
        <v>0</v>
      </c>
      <c r="I58" s="25">
        <f ca="1">ROUNDUP(I57/(1-('Datos de Entrada (1)'!$D$22/100)),0)</f>
        <v>0</v>
      </c>
      <c r="J58" s="25">
        <f ca="1">ROUNDUP(J57/(1-('Datos de Entrada (1)'!$D$22/100)),0)</f>
        <v>0</v>
      </c>
      <c r="K58" s="25">
        <f ca="1">ROUNDUP(K57/(1-('Datos de Entrada (1)'!$D$22/100)),0)</f>
        <v>0</v>
      </c>
      <c r="L58" s="25">
        <f ca="1">ROUNDUP(L57/(1-('Datos de Entrada (1)'!$D$22/100)),0)</f>
        <v>0</v>
      </c>
      <c r="M58" s="25">
        <f ca="1">ROUNDUP(M57/(1-('Datos de Entrada (1)'!$D$22/100)),0)</f>
        <v>0</v>
      </c>
      <c r="N58" s="25">
        <f ca="1">ROUNDUP(N57/(1-('Datos de Entrada (1)'!$D$22/100)),0)</f>
        <v>0</v>
      </c>
      <c r="O58" s="25">
        <f ca="1">ROUNDUP(O57/(1-('Datos de Entrada (1)'!$D$22/100)),0)</f>
        <v>0</v>
      </c>
      <c r="P58" s="25">
        <f ca="1">ROUNDUP(P57/(1-('Datos de Entrada (1)'!$D$22/100)),0)</f>
        <v>0</v>
      </c>
      <c r="Q58" s="25">
        <f ca="1">ROUNDUP(Q57/(1-('Datos de Entrada (1)'!$D$22/100)),0)</f>
        <v>145</v>
      </c>
      <c r="R58" s="25">
        <f ca="1">ROUNDUP(R57/(1-('Datos de Entrada (1)'!$D$22/100)),0)</f>
        <v>217</v>
      </c>
      <c r="S58" s="25">
        <f ca="1">ROUNDUP(S57/(1-('Datos de Entrada (1)'!$D$22/100)),0)</f>
        <v>215</v>
      </c>
      <c r="T58" s="25">
        <f ca="1">ROUNDUP(T57/(1-('Datos de Entrada (1)'!$D$22/100)),0)</f>
        <v>268</v>
      </c>
      <c r="U58" s="45">
        <f ca="1">ROUNDUP(U57/(1-('Datos de Entrada (1)'!$D$22/100)),0)</f>
        <v>0</v>
      </c>
    </row>
    <row r="59" spans="1:21" x14ac:dyDescent="0.3">
      <c r="A59" s="73" t="s">
        <v>46</v>
      </c>
      <c r="B59" s="87">
        <f ca="1">ROUNDUP(B58/'Datos de Entrada (1)'!$F$22,0)*'Datos de Entrada (1)'!$F$22</f>
        <v>0</v>
      </c>
      <c r="C59" s="25">
        <f ca="1">ROUNDUP(C58/'Datos de Entrada (1)'!$F$22,0)*'Datos de Entrada (1)'!$F$22</f>
        <v>0</v>
      </c>
      <c r="D59" s="25">
        <f ca="1">ROUNDUP(D58/'Datos de Entrada (1)'!$F$22,0)*'Datos de Entrada (1)'!$F$22</f>
        <v>0</v>
      </c>
      <c r="E59" s="25">
        <f ca="1">ROUNDUP(E58/'Datos de Entrada (1)'!$F$22,0)*'Datos de Entrada (1)'!$F$22</f>
        <v>0</v>
      </c>
      <c r="F59" s="25">
        <f ca="1">ROUNDUP(F58/'Datos de Entrada (1)'!$F$22,0)*'Datos de Entrada (1)'!$F$22</f>
        <v>0</v>
      </c>
      <c r="G59" s="25">
        <f ca="1">ROUNDUP(G58/'Datos de Entrada (1)'!$F$22,0)*'Datos de Entrada (1)'!$F$22</f>
        <v>0</v>
      </c>
      <c r="H59" s="25">
        <f ca="1">ROUNDUP(H58/'Datos de Entrada (1)'!$F$22,0)*'Datos de Entrada (1)'!$F$22</f>
        <v>0</v>
      </c>
      <c r="I59" s="25">
        <f ca="1">ROUNDUP(I58/'Datos de Entrada (1)'!$F$22,0)*'Datos de Entrada (1)'!$F$22</f>
        <v>0</v>
      </c>
      <c r="J59" s="25">
        <f ca="1">ROUNDUP(J58/'Datos de Entrada (1)'!$F$22,0)*'Datos de Entrada (1)'!$F$22</f>
        <v>0</v>
      </c>
      <c r="K59" s="25">
        <f ca="1">ROUNDUP(K58/'Datos de Entrada (1)'!$F$22,0)*'Datos de Entrada (1)'!$F$22</f>
        <v>0</v>
      </c>
      <c r="L59" s="25">
        <f ca="1">ROUNDUP(L58/'Datos de Entrada (1)'!$F$22,0)*'Datos de Entrada (1)'!$F$22</f>
        <v>0</v>
      </c>
      <c r="M59" s="25">
        <f ca="1">ROUNDUP(M58/'Datos de Entrada (1)'!$F$22,0)*'Datos de Entrada (1)'!$F$22</f>
        <v>0</v>
      </c>
      <c r="N59" s="25">
        <f ca="1">ROUNDUP(N58/'Datos de Entrada (1)'!$F$22,0)*'Datos de Entrada (1)'!$F$22</f>
        <v>0</v>
      </c>
      <c r="O59" s="25">
        <f ca="1">ROUNDUP(O58/'Datos de Entrada (1)'!$F$22,0)*'Datos de Entrada (1)'!$F$22</f>
        <v>0</v>
      </c>
      <c r="P59" s="25">
        <f ca="1">ROUNDUP(P58/'Datos de Entrada (1)'!$F$22,0)*'Datos de Entrada (1)'!$F$22</f>
        <v>0</v>
      </c>
      <c r="Q59" s="25">
        <f ca="1">ROUNDUP(Q58/'Datos de Entrada (1)'!$F$22,0)*'Datos de Entrada (1)'!$F$22</f>
        <v>150</v>
      </c>
      <c r="R59" s="25">
        <f ca="1">ROUNDUP(R58/'Datos de Entrada (1)'!$F$22,0)*'Datos de Entrada (1)'!$F$22</f>
        <v>225</v>
      </c>
      <c r="S59" s="25">
        <f ca="1">ROUNDUP(S58/'Datos de Entrada (1)'!$F$22,0)*'Datos de Entrada (1)'!$F$22</f>
        <v>225</v>
      </c>
      <c r="T59" s="25">
        <f ca="1">ROUNDUP(T58/'Datos de Entrada (1)'!$F$22,0)*'Datos de Entrada (1)'!$F$22</f>
        <v>300</v>
      </c>
      <c r="U59" s="45">
        <f ca="1">ROUNDUP(U58/'Datos de Entrada (1)'!$F$22,0)*'Datos de Entrada (1)'!$F$22</f>
        <v>0</v>
      </c>
    </row>
    <row r="60" spans="1:21" x14ac:dyDescent="0.3">
      <c r="A60" s="73" t="s">
        <v>47</v>
      </c>
      <c r="B60">
        <f ca="1">ROUNDDOWN(B59*(1-('Datos de Entrada (1)'!$D$22/100)),0)</f>
        <v>0</v>
      </c>
      <c r="C60" s="25">
        <f ca="1">ROUNDDOWN(C59*(1-('Datos de Entrada (1)'!$D$22/100)),0)</f>
        <v>0</v>
      </c>
      <c r="D60" s="25">
        <f ca="1">ROUNDDOWN(D59*(1-('Datos de Entrada (1)'!$D$22/100)),0)</f>
        <v>0</v>
      </c>
      <c r="E60" s="25">
        <f ca="1">ROUNDDOWN(E59*(1-('Datos de Entrada (1)'!$D$22/100)),0)</f>
        <v>0</v>
      </c>
      <c r="F60" s="25">
        <f ca="1">ROUNDDOWN(F59*(1-('Datos de Entrada (1)'!$D$22/100)),0)</f>
        <v>0</v>
      </c>
      <c r="G60" s="25">
        <f ca="1">ROUNDDOWN(G59*(1-('Datos de Entrada (1)'!$D$22/100)),0)</f>
        <v>0</v>
      </c>
      <c r="H60" s="25">
        <f ca="1">ROUNDDOWN(H59*(1-('Datos de Entrada (1)'!$D$22/100)),0)</f>
        <v>0</v>
      </c>
      <c r="I60" s="25">
        <f ca="1">ROUNDDOWN(I59*(1-('Datos de Entrada (1)'!$D$22/100)),0)</f>
        <v>0</v>
      </c>
      <c r="J60" s="25">
        <f ca="1">ROUNDDOWN(J59*(1-('Datos de Entrada (1)'!$D$22/100)),0)</f>
        <v>0</v>
      </c>
      <c r="K60" s="25">
        <f ca="1">ROUNDDOWN(K59*(1-('Datos de Entrada (1)'!$D$22/100)),0)</f>
        <v>0</v>
      </c>
      <c r="L60" s="25">
        <f ca="1">ROUNDDOWN(L59*(1-('Datos de Entrada (1)'!$D$22/100)),0)</f>
        <v>0</v>
      </c>
      <c r="M60" s="25">
        <f ca="1">ROUNDDOWN(M59*(1-('Datos de Entrada (1)'!$D$22/100)),0)</f>
        <v>0</v>
      </c>
      <c r="N60" s="25">
        <f ca="1">ROUNDDOWN(N59*(1-('Datos de Entrada (1)'!$D$22/100)),0)</f>
        <v>0</v>
      </c>
      <c r="O60" s="25">
        <f ca="1">ROUNDDOWN(O59*(1-('Datos de Entrada (1)'!$D$22/100)),0)</f>
        <v>0</v>
      </c>
      <c r="P60" s="25">
        <f ca="1">ROUNDDOWN(P59*(1-('Datos de Entrada (1)'!$D$22/100)),0)</f>
        <v>0</v>
      </c>
      <c r="Q60" s="25">
        <f ca="1">ROUNDDOWN(Q59*(1-('Datos de Entrada (1)'!$D$22/100)),0)</f>
        <v>135</v>
      </c>
      <c r="R60" s="25">
        <f ca="1">ROUNDDOWN(R59*(1-('Datos de Entrada (1)'!$D$22/100)),0)</f>
        <v>202</v>
      </c>
      <c r="S60" s="25">
        <f ca="1">ROUNDDOWN(S59*(1-('Datos de Entrada (1)'!$D$22/100)),0)</f>
        <v>202</v>
      </c>
      <c r="T60" s="25">
        <f ca="1">ROUNDDOWN(T59*(1-('Datos de Entrada (1)'!$D$22/100)),0)</f>
        <v>270</v>
      </c>
      <c r="U60" s="45">
        <f ca="1">ROUNDDOWN(U59*(1-('Datos de Entrada (1)'!$D$22/100)),0)</f>
        <v>0</v>
      </c>
    </row>
    <row r="61" spans="1:21" ht="15" thickBot="1" x14ac:dyDescent="0.35">
      <c r="A61" s="72" t="s">
        <v>48</v>
      </c>
      <c r="B61" s="88">
        <f ca="1">OFFSET(B59,0,'Datos de Entrada (1)'!$C$22)</f>
        <v>0</v>
      </c>
      <c r="C61" s="46">
        <f ca="1">OFFSET(C59,0,'Datos de Entrada (1)'!$C$22)</f>
        <v>0</v>
      </c>
      <c r="D61" s="46">
        <f ca="1">OFFSET(D59,0,'Datos de Entrada (1)'!$C$22)</f>
        <v>0</v>
      </c>
      <c r="E61" s="46">
        <f ca="1">OFFSET(E59,0,'Datos de Entrada (1)'!$C$22)</f>
        <v>0</v>
      </c>
      <c r="F61" s="46">
        <f ca="1">OFFSET(F59,0,'Datos de Entrada (1)'!$C$22)</f>
        <v>0</v>
      </c>
      <c r="G61" s="46">
        <f ca="1">OFFSET(G59,0,'Datos de Entrada (1)'!$C$22)</f>
        <v>0</v>
      </c>
      <c r="H61" s="46">
        <f ca="1">OFFSET(H59,0,'Datos de Entrada (1)'!$C$22)</f>
        <v>0</v>
      </c>
      <c r="I61" s="46">
        <f ca="1">OFFSET(I59,0,'Datos de Entrada (1)'!$C$22)</f>
        <v>0</v>
      </c>
      <c r="J61" s="46">
        <f ca="1">OFFSET(J59,0,'Datos de Entrada (1)'!$C$22)</f>
        <v>0</v>
      </c>
      <c r="K61" s="46">
        <f ca="1">OFFSET(K59,0,'Datos de Entrada (1)'!$C$22)</f>
        <v>0</v>
      </c>
      <c r="L61" s="46">
        <f ca="1">OFFSET(L59,0,'Datos de Entrada (1)'!$C$22)</f>
        <v>0</v>
      </c>
      <c r="M61" s="46">
        <f ca="1">OFFSET(M59,0,'Datos de Entrada (1)'!$C$22)</f>
        <v>0</v>
      </c>
      <c r="N61" s="46">
        <f ca="1">OFFSET(N59,0,'Datos de Entrada (1)'!$C$22)</f>
        <v>0</v>
      </c>
      <c r="O61" s="46">
        <f ca="1">OFFSET(O59,0,'Datos de Entrada (1)'!$C$22)</f>
        <v>0</v>
      </c>
      <c r="P61" s="46">
        <f ca="1">OFFSET(P59,0,'Datos de Entrada (1)'!$C$22)</f>
        <v>150</v>
      </c>
      <c r="Q61" s="46">
        <f ca="1">OFFSET(Q59,0,'Datos de Entrada (1)'!$C$22)</f>
        <v>225</v>
      </c>
      <c r="R61" s="46">
        <f ca="1">OFFSET(R59,0,'Datos de Entrada (1)'!$C$22)</f>
        <v>225</v>
      </c>
      <c r="S61" s="46">
        <f ca="1">OFFSET(S59,0,'Datos de Entrada (1)'!$C$22)</f>
        <v>300</v>
      </c>
      <c r="T61" s="46">
        <f ca="1">OFFSET(T59,0,'Datos de Entrada (1)'!$C$22)</f>
        <v>0</v>
      </c>
      <c r="U61" s="47">
        <f ca="1">OFFSET(U59,0,'Datos de Entrada (1)'!$C$22)</f>
        <v>0</v>
      </c>
    </row>
    <row r="62" spans="1:21" ht="15" thickBot="1" x14ac:dyDescent="0.35"/>
    <row r="63" spans="1:21" ht="15" thickBot="1" x14ac:dyDescent="0.35">
      <c r="A63" s="79" t="s">
        <v>17</v>
      </c>
      <c r="B63" s="80">
        <v>1</v>
      </c>
      <c r="C63" s="81">
        <v>2</v>
      </c>
      <c r="D63" s="81">
        <v>3</v>
      </c>
      <c r="E63" s="81">
        <v>4</v>
      </c>
      <c r="F63" s="81">
        <v>5</v>
      </c>
      <c r="G63" s="81">
        <v>6</v>
      </c>
      <c r="H63" s="81">
        <v>7</v>
      </c>
      <c r="I63" s="81">
        <v>8</v>
      </c>
      <c r="J63" s="81">
        <v>9</v>
      </c>
      <c r="K63" s="81">
        <v>10</v>
      </c>
      <c r="L63" s="81">
        <v>11</v>
      </c>
      <c r="M63" s="81">
        <v>12</v>
      </c>
      <c r="N63" s="81">
        <v>13</v>
      </c>
      <c r="O63" s="81">
        <v>14</v>
      </c>
      <c r="P63" s="81">
        <v>15</v>
      </c>
      <c r="Q63" s="81">
        <v>16</v>
      </c>
      <c r="R63" s="81">
        <v>17</v>
      </c>
      <c r="S63" s="81">
        <v>18</v>
      </c>
      <c r="T63" s="81">
        <v>19</v>
      </c>
      <c r="U63" s="82">
        <v>20</v>
      </c>
    </row>
    <row r="64" spans="1:21" x14ac:dyDescent="0.3">
      <c r="A64" s="41" t="s">
        <v>42</v>
      </c>
      <c r="B64" s="89">
        <f ca="1">'Datos de Entrada (2)'!$E$8*'LANZ PP CAMBIOS'!B43+IFERROR(VLOOKUP($A$12,'Datos de Entrada (1)'!$A$7:$E$10,MATCH(B63,'Datos de Entrada (1)'!$A$6:$E$6,0),0),0)</f>
        <v>0</v>
      </c>
      <c r="C64" s="42">
        <f ca="1">'Datos de Entrada (2)'!$E$8*'LANZ PP CAMBIOS'!C43+IFERROR(VLOOKUP($A$12,'Datos de Entrada (1)'!$A$7:$E$10,MATCH(C63,'Datos de Entrada (1)'!$A$6:$E$6,0),0),0)</f>
        <v>0</v>
      </c>
      <c r="D64" s="42">
        <f ca="1">'Datos de Entrada (2)'!$E$8*'LANZ PP CAMBIOS'!D43+IFERROR(VLOOKUP($A$12,'Datos de Entrada (1)'!$A$7:$E$10,MATCH(D63,'Datos de Entrada (1)'!$A$6:$E$6,0),0),0)</f>
        <v>0</v>
      </c>
      <c r="E64" s="42">
        <f ca="1">'Datos de Entrada (2)'!$E$8*'LANZ PP CAMBIOS'!E43+IFERROR(VLOOKUP($A$12,'Datos de Entrada (1)'!$A$7:$E$10,MATCH(E63,'Datos de Entrada (1)'!$A$6:$E$6,0),0),0)</f>
        <v>0</v>
      </c>
      <c r="F64" s="42">
        <f ca="1">'Datos de Entrada (2)'!$E$8*'LANZ PP CAMBIOS'!F43+IFERROR(VLOOKUP($A$12,'Datos de Entrada (1)'!$A$7:$E$10,MATCH(F63,'Datos de Entrada (1)'!$A$6:$E$6,0),0),0)</f>
        <v>0</v>
      </c>
      <c r="G64" s="42">
        <f ca="1">'Datos de Entrada (2)'!$E$8*'LANZ PP CAMBIOS'!G43+IFERROR(VLOOKUP($A$12,'Datos de Entrada (1)'!$A$7:$E$10,MATCH(G63,'Datos de Entrada (1)'!$A$6:$E$6,0),0),0)</f>
        <v>0</v>
      </c>
      <c r="H64" s="42">
        <f ca="1">'Datos de Entrada (2)'!$E$8*'LANZ PP CAMBIOS'!H43+IFERROR(VLOOKUP($A$12,'Datos de Entrada (1)'!$A$7:$E$10,MATCH(H63,'Datos de Entrada (1)'!$A$6:$E$6,0),0),0)</f>
        <v>0</v>
      </c>
      <c r="I64" s="42">
        <f ca="1">'Datos de Entrada (2)'!$E$8*'LANZ PP CAMBIOS'!I43+IFERROR(VLOOKUP($A$12,'Datos de Entrada (1)'!$A$7:$E$10,MATCH(I63,'Datos de Entrada (1)'!$A$6:$E$6,0),0),0)</f>
        <v>0</v>
      </c>
      <c r="J64" s="42">
        <f ca="1">'Datos de Entrada (2)'!$E$8*'LANZ PP CAMBIOS'!J43+IFERROR(VLOOKUP($A$12,'Datos de Entrada (1)'!$A$7:$E$10,MATCH(J63,'Datos de Entrada (1)'!$A$6:$E$6,0),0),0)</f>
        <v>0</v>
      </c>
      <c r="K64" s="42">
        <f ca="1">'Datos de Entrada (2)'!$E$8*'LANZ PP CAMBIOS'!K43+IFERROR(VLOOKUP($A$12,'Datos de Entrada (1)'!$A$7:$E$10,MATCH(K63,'Datos de Entrada (1)'!$A$6:$E$6,0),0),0)</f>
        <v>0</v>
      </c>
      <c r="L64" s="42">
        <f ca="1">'Datos de Entrada (2)'!$E$8*'LANZ PP CAMBIOS'!L43+IFERROR(VLOOKUP($A$12,'Datos de Entrada (1)'!$A$7:$E$10,MATCH(L63,'Datos de Entrada (1)'!$A$6:$E$6,0),0),0)</f>
        <v>0</v>
      </c>
      <c r="M64" s="42">
        <f ca="1">'Datos de Entrada (2)'!$E$8*'LANZ PP CAMBIOS'!M43+IFERROR(VLOOKUP($A$12,'Datos de Entrada (1)'!$A$7:$E$10,MATCH(M63,'Datos de Entrada (1)'!$A$6:$E$6,0),0),0)</f>
        <v>0</v>
      </c>
      <c r="N64" s="42">
        <f ca="1">'Datos de Entrada (2)'!$E$8*'LANZ PP CAMBIOS'!N43+IFERROR(VLOOKUP($A$12,'Datos de Entrada (1)'!$A$7:$E$10,MATCH(N63,'Datos de Entrada (1)'!$A$6:$E$6,0),0),0)</f>
        <v>0</v>
      </c>
      <c r="O64" s="42">
        <f ca="1">'Datos de Entrada (2)'!$E$8*'LANZ PP CAMBIOS'!O43+IFERROR(VLOOKUP($A$12,'Datos de Entrada (1)'!$A$7:$E$10,MATCH(O63,'Datos de Entrada (1)'!$A$6:$E$6,0),0),0)</f>
        <v>100</v>
      </c>
      <c r="P64" s="42">
        <f ca="1">'Datos de Entrada (2)'!$E$8*'LANZ PP CAMBIOS'!P43+IFERROR(VLOOKUP($A$12,'Datos de Entrada (1)'!$A$7:$E$10,MATCH(P63,'Datos de Entrada (1)'!$A$6:$E$6,0),0),0)</f>
        <v>100</v>
      </c>
      <c r="Q64" s="42">
        <f ca="1">'Datos de Entrada (2)'!$E$8*'LANZ PP CAMBIOS'!Q43+IFERROR(VLOOKUP($A$12,'Datos de Entrada (1)'!$A$7:$E$10,MATCH(Q63,'Datos de Entrada (1)'!$A$6:$E$6,0),0),0)</f>
        <v>100</v>
      </c>
      <c r="R64" s="42">
        <f ca="1">'Datos de Entrada (2)'!$E$8*'LANZ PP CAMBIOS'!R43+IFERROR(VLOOKUP($A$12,'Datos de Entrada (1)'!$A$7:$E$10,MATCH(R63,'Datos de Entrada (1)'!$A$6:$E$6,0),0),0)</f>
        <v>100</v>
      </c>
      <c r="S64" s="42">
        <f ca="1">'Datos de Entrada (2)'!$E$8*'LANZ PP CAMBIOS'!S43+IFERROR(VLOOKUP($A$12,'Datos de Entrada (1)'!$A$7:$E$10,MATCH(S63,'Datos de Entrada (1)'!$A$6:$E$6,0),0),0)</f>
        <v>0</v>
      </c>
      <c r="T64" s="42">
        <f ca="1">'Datos de Entrada (2)'!$E$8*'LANZ PP CAMBIOS'!T43+IFERROR(VLOOKUP($A$12,'Datos de Entrada (1)'!$A$7:$E$10,MATCH(T63,'Datos de Entrada (1)'!$A$6:$E$6,0),0),0)</f>
        <v>0</v>
      </c>
      <c r="U64" s="43">
        <f ca="1">'Datos de Entrada (2)'!$E$8*'LANZ PP CAMBIOS'!U43+IFERROR(VLOOKUP($A$12,'Datos de Entrada (1)'!$A$7:$E$10,MATCH(U63,'Datos de Entrada (1)'!$A$6:$E$6,0),0),0)</f>
        <v>0</v>
      </c>
    </row>
    <row r="65" spans="1:21" x14ac:dyDescent="0.3">
      <c r="A65" s="73" t="s">
        <v>43</v>
      </c>
      <c r="B65" s="44">
        <f>'Datos de Entrada (1)'!$E$23</f>
        <v>50</v>
      </c>
      <c r="C65" s="25">
        <f ca="1">B65+B69-B64</f>
        <v>50</v>
      </c>
      <c r="D65" s="25">
        <f t="shared" ref="D65:T65" ca="1" si="15">C65+C69-C64</f>
        <v>50</v>
      </c>
      <c r="E65" s="25">
        <f t="shared" ca="1" si="15"/>
        <v>50</v>
      </c>
      <c r="F65" s="25">
        <f t="shared" ca="1" si="15"/>
        <v>50</v>
      </c>
      <c r="G65" s="25">
        <f t="shared" ca="1" si="15"/>
        <v>50</v>
      </c>
      <c r="H65" s="25">
        <f t="shared" ca="1" si="15"/>
        <v>50</v>
      </c>
      <c r="I65" s="25">
        <f t="shared" ca="1" si="15"/>
        <v>50</v>
      </c>
      <c r="J65" s="25">
        <f t="shared" ca="1" si="15"/>
        <v>50</v>
      </c>
      <c r="K65" s="25">
        <f t="shared" ca="1" si="15"/>
        <v>50</v>
      </c>
      <c r="L65" s="25">
        <f t="shared" ca="1" si="15"/>
        <v>50</v>
      </c>
      <c r="M65" s="25">
        <f t="shared" ca="1" si="15"/>
        <v>50</v>
      </c>
      <c r="N65" s="25">
        <f t="shared" ca="1" si="15"/>
        <v>50</v>
      </c>
      <c r="O65" s="25">
        <f t="shared" ca="1" si="15"/>
        <v>50</v>
      </c>
      <c r="P65" s="25">
        <f t="shared" ca="1" si="15"/>
        <v>101</v>
      </c>
      <c r="Q65" s="25">
        <f t="shared" ca="1" si="15"/>
        <v>101</v>
      </c>
      <c r="R65" s="25">
        <f t="shared" ca="1" si="15"/>
        <v>101</v>
      </c>
      <c r="S65" s="25">
        <f t="shared" ca="1" si="15"/>
        <v>101</v>
      </c>
      <c r="T65" s="25">
        <f t="shared" ca="1" si="15"/>
        <v>101</v>
      </c>
      <c r="U65" s="45">
        <f ca="1">T65+T69-T64</f>
        <v>101</v>
      </c>
    </row>
    <row r="66" spans="1:21" x14ac:dyDescent="0.3">
      <c r="A66" s="73" t="s">
        <v>44</v>
      </c>
      <c r="B66" s="87">
        <f ca="1">IF(B64=0,0,MAX(0,B64+'Datos de Entrada (1)'!$B$23-'LANZ PP'!B65))</f>
        <v>0</v>
      </c>
      <c r="C66" s="25">
        <f ca="1">IF(C64=0,0,MAX(0,C64+'Datos de Entrada (1)'!$B$23-'LANZ PP'!C65))</f>
        <v>0</v>
      </c>
      <c r="D66" s="25">
        <f ca="1">IF(D64=0,0,MAX(0,D64+'Datos de Entrada (1)'!$B$23-'LANZ PP'!D65))</f>
        <v>0</v>
      </c>
      <c r="E66" s="25">
        <f ca="1">IF(E64=0,0,MAX(0,E64+'Datos de Entrada (1)'!$B$23-'LANZ PP'!E65))</f>
        <v>0</v>
      </c>
      <c r="F66" s="25">
        <f ca="1">IF(F64=0,0,MAX(0,F64+'Datos de Entrada (1)'!$B$23-'LANZ PP'!F65))</f>
        <v>0</v>
      </c>
      <c r="G66" s="25">
        <f ca="1">IF(G64=0,0,MAX(0,G64+'Datos de Entrada (1)'!$B$23-'LANZ PP'!G65))</f>
        <v>0</v>
      </c>
      <c r="H66" s="25">
        <f ca="1">IF(H64=0,0,MAX(0,H64+'Datos de Entrada (1)'!$B$23-'LANZ PP'!H65))</f>
        <v>0</v>
      </c>
      <c r="I66" s="25">
        <f ca="1">IF(I64=0,0,MAX(0,I64+'Datos de Entrada (1)'!$B$23-'LANZ PP'!I65))</f>
        <v>0</v>
      </c>
      <c r="J66" s="25">
        <f ca="1">IF(J64=0,0,MAX(0,J64+'Datos de Entrada (1)'!$B$23-'LANZ PP'!J65))</f>
        <v>0</v>
      </c>
      <c r="K66" s="25">
        <f ca="1">IF(K64=0,0,MAX(0,K64+'Datos de Entrada (1)'!$B$23-'LANZ PP'!K65))</f>
        <v>0</v>
      </c>
      <c r="L66" s="25">
        <f ca="1">IF(L64=0,0,MAX(0,L64+'Datos de Entrada (1)'!$B$23-'LANZ PP'!L65))</f>
        <v>0</v>
      </c>
      <c r="M66" s="25">
        <f ca="1">IF(M64=0,0,MAX(0,M64+'Datos de Entrada (1)'!$B$23-'LANZ PP'!M65))</f>
        <v>0</v>
      </c>
      <c r="N66" s="25">
        <f ca="1">IF(N64=0,0,MAX(0,N64+'Datos de Entrada (1)'!$B$23-'LANZ PP'!N65))</f>
        <v>0</v>
      </c>
      <c r="O66" s="25">
        <f ca="1">IF(O64=0,0,MAX(0,O64+'Datos de Entrada (1)'!$B$23-'LANZ PP'!O65))</f>
        <v>150</v>
      </c>
      <c r="P66" s="25">
        <f ca="1">IF(P64=0,0,MAX(0,P64+'Datos de Entrada (1)'!$B$23-'LANZ PP'!P65))</f>
        <v>99</v>
      </c>
      <c r="Q66" s="25">
        <f ca="1">IF(Q64=0,0,MAX(0,Q64+'Datos de Entrada (1)'!$B$23-'LANZ PP'!Q65))</f>
        <v>99</v>
      </c>
      <c r="R66" s="25">
        <f ca="1">IF(R64=0,0,MAX(0,R64+'Datos de Entrada (1)'!$B$23-'LANZ PP'!R65))</f>
        <v>99</v>
      </c>
      <c r="S66" s="25">
        <f ca="1">IF(S64=0,0,MAX(0,S64+'Datos de Entrada (1)'!$B$23-'LANZ PP'!S65))</f>
        <v>0</v>
      </c>
      <c r="T66" s="25">
        <f ca="1">IF(T64=0,0,MAX(0,T64+'Datos de Entrada (1)'!$B$23-'LANZ PP'!T65))</f>
        <v>0</v>
      </c>
      <c r="U66" s="45">
        <f ca="1">IF(U64=0,0,MAX(0,U64+'Datos de Entrada (1)'!$B$23-'LANZ PP'!U65))</f>
        <v>0</v>
      </c>
    </row>
    <row r="67" spans="1:21" x14ac:dyDescent="0.3">
      <c r="A67" s="73" t="s">
        <v>45</v>
      </c>
      <c r="B67" s="87">
        <f ca="1">ROUNDUP(B66/(1-('Datos de Entrada (1)'!$D$23/100)),0)</f>
        <v>0</v>
      </c>
      <c r="C67" s="25">
        <f ca="1">ROUNDUP(C66/(1-('Datos de Entrada (1)'!$D$23/100)),0)</f>
        <v>0</v>
      </c>
      <c r="D67" s="25">
        <f ca="1">ROUNDUP(D66/(1-('Datos de Entrada (1)'!$D$23/100)),0)</f>
        <v>0</v>
      </c>
      <c r="E67" s="25">
        <f ca="1">ROUNDUP(E66/(1-('Datos de Entrada (1)'!$D$23/100)),0)</f>
        <v>0</v>
      </c>
      <c r="F67" s="25">
        <f ca="1">ROUNDUP(F66/(1-('Datos de Entrada (1)'!$D$23/100)),0)</f>
        <v>0</v>
      </c>
      <c r="G67" s="25">
        <f ca="1">ROUNDUP(G66/(1-('Datos de Entrada (1)'!$D$23/100)),0)</f>
        <v>0</v>
      </c>
      <c r="H67" s="25">
        <f ca="1">ROUNDUP(H66/(1-('Datos de Entrada (1)'!$D$23/100)),0)</f>
        <v>0</v>
      </c>
      <c r="I67" s="25">
        <f ca="1">ROUNDUP(I66/(1-('Datos de Entrada (1)'!$D$23/100)),0)</f>
        <v>0</v>
      </c>
      <c r="J67" s="25">
        <f ca="1">ROUNDUP(J66/(1-('Datos de Entrada (1)'!$D$23/100)),0)</f>
        <v>0</v>
      </c>
      <c r="K67" s="25">
        <f ca="1">ROUNDUP(K66/(1-('Datos de Entrada (1)'!$D$23/100)),0)</f>
        <v>0</v>
      </c>
      <c r="L67" s="25">
        <f ca="1">ROUNDUP(L66/(1-('Datos de Entrada (1)'!$D$23/100)),0)</f>
        <v>0</v>
      </c>
      <c r="M67" s="25">
        <f ca="1">ROUNDUP(M66/(1-('Datos de Entrada (1)'!$D$23/100)),0)</f>
        <v>0</v>
      </c>
      <c r="N67" s="25">
        <f ca="1">ROUNDUP(N66/(1-('Datos de Entrada (1)'!$D$23/100)),0)</f>
        <v>0</v>
      </c>
      <c r="O67" s="25">
        <f ca="1">ROUNDUP(O66/(1-('Datos de Entrada (1)'!$D$23/100)),0)</f>
        <v>167</v>
      </c>
      <c r="P67" s="25">
        <f ca="1">ROUNDUP(P66/(1-('Datos de Entrada (1)'!$D$23/100)),0)</f>
        <v>110</v>
      </c>
      <c r="Q67" s="25">
        <f ca="1">ROUNDUP(Q66/(1-('Datos de Entrada (1)'!$D$23/100)),0)</f>
        <v>110</v>
      </c>
      <c r="R67" s="25">
        <f ca="1">ROUNDUP(R66/(1-('Datos de Entrada (1)'!$D$23/100)),0)</f>
        <v>110</v>
      </c>
      <c r="S67" s="25">
        <f ca="1">ROUNDUP(S66/(1-('Datos de Entrada (1)'!$D$23/100)),0)</f>
        <v>0</v>
      </c>
      <c r="T67" s="25">
        <f ca="1">ROUNDUP(T66/(1-('Datos de Entrada (1)'!$D$23/100)),0)</f>
        <v>0</v>
      </c>
      <c r="U67" s="45">
        <f ca="1">ROUNDUP(U66/(1-('Datos de Entrada (1)'!$D$23/100)),0)</f>
        <v>0</v>
      </c>
    </row>
    <row r="68" spans="1:21" x14ac:dyDescent="0.3">
      <c r="A68" s="73" t="s">
        <v>46</v>
      </c>
      <c r="B68" s="87">
        <f ca="1">ROUNDUP(B67/'Datos de Entrada (1)'!$F$23,0)*'Datos de Entrada (1)'!$F$23</f>
        <v>0</v>
      </c>
      <c r="C68" s="25">
        <f ca="1">ROUNDUP(C67/'Datos de Entrada (1)'!$F$23,0)*'Datos de Entrada (1)'!$F$23</f>
        <v>0</v>
      </c>
      <c r="D68" s="25">
        <f ca="1">ROUNDUP(D67/'Datos de Entrada (1)'!$F$23,0)*'Datos de Entrada (1)'!$F$23</f>
        <v>0</v>
      </c>
      <c r="E68" s="25">
        <f ca="1">ROUNDUP(E67/'Datos de Entrada (1)'!$F$23,0)*'Datos de Entrada (1)'!$F$23</f>
        <v>0</v>
      </c>
      <c r="F68" s="25">
        <f ca="1">ROUNDUP(F67/'Datos de Entrada (1)'!$F$23,0)*'Datos de Entrada (1)'!$F$23</f>
        <v>0</v>
      </c>
      <c r="G68" s="25">
        <f ca="1">ROUNDUP(G67/'Datos de Entrada (1)'!$F$23,0)*'Datos de Entrada (1)'!$F$23</f>
        <v>0</v>
      </c>
      <c r="H68" s="25">
        <f ca="1">ROUNDUP(H67/'Datos de Entrada (1)'!$F$23,0)*'Datos de Entrada (1)'!$F$23</f>
        <v>0</v>
      </c>
      <c r="I68" s="25">
        <f ca="1">ROUNDUP(I67/'Datos de Entrada (1)'!$F$23,0)*'Datos de Entrada (1)'!$F$23</f>
        <v>0</v>
      </c>
      <c r="J68" s="25">
        <f ca="1">ROUNDUP(J67/'Datos de Entrada (1)'!$F$23,0)*'Datos de Entrada (1)'!$F$23</f>
        <v>0</v>
      </c>
      <c r="K68" s="25">
        <f ca="1">ROUNDUP(K67/'Datos de Entrada (1)'!$F$23,0)*'Datos de Entrada (1)'!$F$23</f>
        <v>0</v>
      </c>
      <c r="L68" s="25">
        <f ca="1">ROUNDUP(L67/'Datos de Entrada (1)'!$F$23,0)*'Datos de Entrada (1)'!$F$23</f>
        <v>0</v>
      </c>
      <c r="M68" s="25">
        <f ca="1">ROUNDUP(M67/'Datos de Entrada (1)'!$F$23,0)*'Datos de Entrada (1)'!$F$23</f>
        <v>0</v>
      </c>
      <c r="N68" s="25">
        <f ca="1">ROUNDUP(N67/'Datos de Entrada (1)'!$F$23,0)*'Datos de Entrada (1)'!$F$23</f>
        <v>0</v>
      </c>
      <c r="O68" s="25">
        <f ca="1">ROUNDUP(O67/'Datos de Entrada (1)'!$F$23,0)*'Datos de Entrada (1)'!$F$23</f>
        <v>168</v>
      </c>
      <c r="P68" s="25">
        <f ca="1">ROUNDUP(P67/'Datos de Entrada (1)'!$F$23,0)*'Datos de Entrada (1)'!$F$23</f>
        <v>112</v>
      </c>
      <c r="Q68" s="25">
        <f ca="1">ROUNDUP(Q67/'Datos de Entrada (1)'!$F$23,0)*'Datos de Entrada (1)'!$F$23</f>
        <v>112</v>
      </c>
      <c r="R68" s="25">
        <f ca="1">ROUNDUP(R67/'Datos de Entrada (1)'!$F$23,0)*'Datos de Entrada (1)'!$F$23</f>
        <v>112</v>
      </c>
      <c r="S68" s="25">
        <f ca="1">ROUNDUP(S67/'Datos de Entrada (1)'!$F$23,0)*'Datos de Entrada (1)'!$F$23</f>
        <v>0</v>
      </c>
      <c r="T68" s="25">
        <f ca="1">ROUNDUP(T67/'Datos de Entrada (1)'!$F$23,0)*'Datos de Entrada (1)'!$F$23</f>
        <v>0</v>
      </c>
      <c r="U68" s="45">
        <f ca="1">ROUNDUP(U67/'Datos de Entrada (1)'!$F$23,0)*'Datos de Entrada (1)'!$F$23</f>
        <v>0</v>
      </c>
    </row>
    <row r="69" spans="1:21" x14ac:dyDescent="0.3">
      <c r="A69" s="73" t="s">
        <v>47</v>
      </c>
      <c r="B69" s="87">
        <f ca="1">ROUNDDOWN(B68*(1-('Datos de Entrada (1)'!$D$23/100)),0)</f>
        <v>0</v>
      </c>
      <c r="C69" s="25">
        <f ca="1">ROUNDDOWN(C68*(1-('Datos de Entrada (1)'!$D$23/100)),0)</f>
        <v>0</v>
      </c>
      <c r="D69" s="25">
        <f ca="1">ROUNDDOWN(D68*(1-('Datos de Entrada (1)'!$D$23/100)),0)</f>
        <v>0</v>
      </c>
      <c r="E69" s="25">
        <f ca="1">ROUNDDOWN(E68*(1-('Datos de Entrada (1)'!$D$23/100)),0)</f>
        <v>0</v>
      </c>
      <c r="F69" s="25">
        <f ca="1">ROUNDDOWN(F68*(1-('Datos de Entrada (1)'!$D$23/100)),0)</f>
        <v>0</v>
      </c>
      <c r="G69" s="25">
        <f ca="1">ROUNDDOWN(G68*(1-('Datos de Entrada (1)'!$D$23/100)),0)</f>
        <v>0</v>
      </c>
      <c r="H69" s="25">
        <f ca="1">ROUNDDOWN(H68*(1-('Datos de Entrada (1)'!$D$23/100)),0)</f>
        <v>0</v>
      </c>
      <c r="I69" s="25">
        <f ca="1">ROUNDDOWN(I68*(1-('Datos de Entrada (1)'!$D$23/100)),0)</f>
        <v>0</v>
      </c>
      <c r="J69" s="25">
        <f ca="1">ROUNDDOWN(J68*(1-('Datos de Entrada (1)'!$D$23/100)),0)</f>
        <v>0</v>
      </c>
      <c r="K69" s="25">
        <f ca="1">ROUNDDOWN(K68*(1-('Datos de Entrada (1)'!$D$23/100)),0)</f>
        <v>0</v>
      </c>
      <c r="L69" s="25">
        <f ca="1">ROUNDDOWN(L68*(1-('Datos de Entrada (1)'!$D$23/100)),0)</f>
        <v>0</v>
      </c>
      <c r="M69" s="25">
        <f ca="1">ROUNDDOWN(M68*(1-('Datos de Entrada (1)'!$D$23/100)),0)</f>
        <v>0</v>
      </c>
      <c r="N69" s="25">
        <f ca="1">ROUNDDOWN(N68*(1-('Datos de Entrada (1)'!$D$23/100)),0)</f>
        <v>0</v>
      </c>
      <c r="O69" s="25">
        <f ca="1">ROUNDDOWN(O68*(1-('Datos de Entrada (1)'!$D$23/100)),0)</f>
        <v>151</v>
      </c>
      <c r="P69" s="25">
        <f ca="1">ROUNDDOWN(P68*(1-('Datos de Entrada (1)'!$D$23/100)),0)</f>
        <v>100</v>
      </c>
      <c r="Q69" s="25">
        <f ca="1">ROUNDDOWN(Q68*(1-('Datos de Entrada (1)'!$D$23/100)),0)</f>
        <v>100</v>
      </c>
      <c r="R69" s="25">
        <f ca="1">ROUNDDOWN(R68*(1-('Datos de Entrada (1)'!$D$23/100)),0)</f>
        <v>100</v>
      </c>
      <c r="S69" s="25">
        <f ca="1">ROUNDDOWN(S68*(1-('Datos de Entrada (1)'!$D$23/100)),0)</f>
        <v>0</v>
      </c>
      <c r="T69" s="25">
        <f ca="1">ROUNDDOWN(T68*(1-('Datos de Entrada (1)'!$D$23/100)),0)</f>
        <v>0</v>
      </c>
      <c r="U69" s="45">
        <f ca="1">ROUNDDOWN(U68*(1-('Datos de Entrada (1)'!$D$23/100)),0)</f>
        <v>0</v>
      </c>
    </row>
    <row r="70" spans="1:21" ht="15" thickBot="1" x14ac:dyDescent="0.35">
      <c r="A70" s="72" t="s">
        <v>48</v>
      </c>
      <c r="B70" s="88">
        <f ca="1">OFFSET(B68,0,'Datos de Entrada (1)'!$C$23)</f>
        <v>0</v>
      </c>
      <c r="C70" s="46">
        <f ca="1">OFFSET(C68,0,'Datos de Entrada (1)'!$C$23)</f>
        <v>0</v>
      </c>
      <c r="D70" s="46">
        <f ca="1">OFFSET(D68,0,'Datos de Entrada (1)'!$C$23)</f>
        <v>0</v>
      </c>
      <c r="E70" s="46">
        <f ca="1">OFFSET(E68,0,'Datos de Entrada (1)'!$C$23)</f>
        <v>0</v>
      </c>
      <c r="F70" s="46">
        <f ca="1">OFFSET(F68,0,'Datos de Entrada (1)'!$C$23)</f>
        <v>0</v>
      </c>
      <c r="G70" s="46">
        <f ca="1">OFFSET(G68,0,'Datos de Entrada (1)'!$C$23)</f>
        <v>0</v>
      </c>
      <c r="H70" s="46">
        <f ca="1">OFFSET(H68,0,'Datos de Entrada (1)'!$C$23)</f>
        <v>0</v>
      </c>
      <c r="I70" s="46">
        <f ca="1">OFFSET(I68,0,'Datos de Entrada (1)'!$C$23)</f>
        <v>0</v>
      </c>
      <c r="J70" s="46">
        <f ca="1">OFFSET(J68,0,'Datos de Entrada (1)'!$C$23)</f>
        <v>0</v>
      </c>
      <c r="K70" s="46">
        <f ca="1">OFFSET(K68,0,'Datos de Entrada (1)'!$C$23)</f>
        <v>0</v>
      </c>
      <c r="L70" s="46">
        <f ca="1">OFFSET(L68,0,'Datos de Entrada (1)'!$C$23)</f>
        <v>0</v>
      </c>
      <c r="M70" s="46">
        <f ca="1">OFFSET(M68,0,'Datos de Entrada (1)'!$C$23)</f>
        <v>0</v>
      </c>
      <c r="N70" s="46">
        <f ca="1">OFFSET(N68,0,'Datos de Entrada (1)'!$C$23)</f>
        <v>168</v>
      </c>
      <c r="O70" s="46">
        <f ca="1">OFFSET(O68,0,'Datos de Entrada (1)'!$C$23)</f>
        <v>112</v>
      </c>
      <c r="P70" s="46">
        <f ca="1">OFFSET(P68,0,'Datos de Entrada (1)'!$C$23)</f>
        <v>112</v>
      </c>
      <c r="Q70" s="46">
        <f ca="1">OFFSET(Q68,0,'Datos de Entrada (1)'!$C$23)</f>
        <v>112</v>
      </c>
      <c r="R70" s="46">
        <f ca="1">OFFSET(R68,0,'Datos de Entrada (1)'!$C$23)</f>
        <v>0</v>
      </c>
      <c r="S70" s="46">
        <f ca="1">OFFSET(S68,0,'Datos de Entrada (1)'!$C$23)</f>
        <v>0</v>
      </c>
      <c r="T70" s="46">
        <f ca="1">OFFSET(T68,0,'Datos de Entrada (1)'!$C$23)</f>
        <v>0</v>
      </c>
      <c r="U70" s="47">
        <f ca="1">OFFSET(U68,0,'Datos de Entrada (1)'!$C$23)</f>
        <v>0</v>
      </c>
    </row>
    <row r="71" spans="1:21" ht="15" thickBot="1" x14ac:dyDescent="0.35"/>
    <row r="72" spans="1:21" ht="15" thickBot="1" x14ac:dyDescent="0.35">
      <c r="A72" s="79" t="s">
        <v>18</v>
      </c>
      <c r="B72" s="80">
        <v>1</v>
      </c>
      <c r="C72" s="81">
        <v>2</v>
      </c>
      <c r="D72" s="81">
        <v>3</v>
      </c>
      <c r="E72" s="81">
        <v>4</v>
      </c>
      <c r="F72" s="81">
        <v>5</v>
      </c>
      <c r="G72" s="81">
        <v>6</v>
      </c>
      <c r="H72" s="81">
        <v>7</v>
      </c>
      <c r="I72" s="81">
        <v>8</v>
      </c>
      <c r="J72" s="81">
        <v>9</v>
      </c>
      <c r="K72" s="81">
        <v>10</v>
      </c>
      <c r="L72" s="81">
        <v>11</v>
      </c>
      <c r="M72" s="81">
        <v>12</v>
      </c>
      <c r="N72" s="81">
        <v>13</v>
      </c>
      <c r="O72" s="81">
        <v>14</v>
      </c>
      <c r="P72" s="81">
        <v>15</v>
      </c>
      <c r="Q72" s="81">
        <v>16</v>
      </c>
      <c r="R72" s="81">
        <v>17</v>
      </c>
      <c r="S72" s="81">
        <v>18</v>
      </c>
      <c r="T72" s="81">
        <v>19</v>
      </c>
      <c r="U72" s="82">
        <v>20</v>
      </c>
    </row>
    <row r="73" spans="1:21" x14ac:dyDescent="0.3">
      <c r="A73" s="41" t="s">
        <v>42</v>
      </c>
      <c r="B73" s="89">
        <f ca="1">'Datos de Entrada (2)'!$L$21*'LANZ PP CAMBIOS'!B34+IFERROR(VLOOKUP($A$13,'Datos de Entrada (1)'!$A$7:$E$10,MATCH(B72,'Datos de Entrada (1)'!$A$6:$E$6,0),0),0)</f>
        <v>0</v>
      </c>
      <c r="C73" s="42">
        <f ca="1">'Datos de Entrada (2)'!$L$21*'LANZ PP CAMBIOS'!C34+IFERROR(VLOOKUP($A$13,'Datos de Entrada (1)'!$A$7:$E$10,MATCH(C72,'Datos de Entrada (1)'!$A$6:$E$6,0),0),0)</f>
        <v>0</v>
      </c>
      <c r="D73" s="42">
        <f ca="1">'Datos de Entrada (2)'!$L$21*'LANZ PP CAMBIOS'!D34+IFERROR(VLOOKUP($A$13,'Datos de Entrada (1)'!$A$7:$E$10,MATCH(D72,'Datos de Entrada (1)'!$A$6:$E$6,0),0),0)</f>
        <v>0</v>
      </c>
      <c r="E73" s="42">
        <f ca="1">'Datos de Entrada (2)'!$L$21*'LANZ PP CAMBIOS'!E34+IFERROR(VLOOKUP($A$13,'Datos de Entrada (1)'!$A$7:$E$10,MATCH(E72,'Datos de Entrada (1)'!$A$6:$E$6,0),0),0)</f>
        <v>0</v>
      </c>
      <c r="F73" s="42">
        <f ca="1">'Datos de Entrada (2)'!$L$21*'LANZ PP CAMBIOS'!F34+IFERROR(VLOOKUP($A$13,'Datos de Entrada (1)'!$A$7:$E$10,MATCH(F72,'Datos de Entrada (1)'!$A$6:$E$6,0),0),0)</f>
        <v>0</v>
      </c>
      <c r="G73" s="42">
        <f ca="1">'Datos de Entrada (2)'!$L$21*'LANZ PP CAMBIOS'!G34+IFERROR(VLOOKUP($A$13,'Datos de Entrada (1)'!$A$7:$E$10,MATCH(G72,'Datos de Entrada (1)'!$A$6:$E$6,0),0),0)</f>
        <v>0</v>
      </c>
      <c r="H73" s="42">
        <f ca="1">'Datos de Entrada (2)'!$L$21*'LANZ PP CAMBIOS'!H34+IFERROR(VLOOKUP($A$13,'Datos de Entrada (1)'!$A$7:$E$10,MATCH(H72,'Datos de Entrada (1)'!$A$6:$E$6,0),0),0)</f>
        <v>0</v>
      </c>
      <c r="I73" s="42">
        <f ca="1">'Datos de Entrada (2)'!$L$21*'LANZ PP CAMBIOS'!I34+IFERROR(VLOOKUP($A$13,'Datos de Entrada (1)'!$A$7:$E$10,MATCH(I72,'Datos de Entrada (1)'!$A$6:$E$6,0),0),0)</f>
        <v>0</v>
      </c>
      <c r="J73" s="42">
        <f ca="1">'Datos de Entrada (2)'!$L$21*'LANZ PP CAMBIOS'!J34+IFERROR(VLOOKUP($A$13,'Datos de Entrada (1)'!$A$7:$E$10,MATCH(J72,'Datos de Entrada (1)'!$A$6:$E$6,0),0),0)</f>
        <v>0</v>
      </c>
      <c r="K73" s="42">
        <f ca="1">'Datos de Entrada (2)'!$L$21*'LANZ PP CAMBIOS'!K34+IFERROR(VLOOKUP($A$13,'Datos de Entrada (1)'!$A$7:$E$10,MATCH(K72,'Datos de Entrada (1)'!$A$6:$E$6,0),0),0)</f>
        <v>0</v>
      </c>
      <c r="L73" s="42">
        <f ca="1">'Datos de Entrada (2)'!$L$21*'LANZ PP CAMBIOS'!L34+IFERROR(VLOOKUP($A$13,'Datos de Entrada (1)'!$A$7:$E$10,MATCH(L72,'Datos de Entrada (1)'!$A$6:$E$6,0),0),0)</f>
        <v>0</v>
      </c>
      <c r="M73" s="42">
        <f ca="1">'Datos de Entrada (2)'!$L$21*'LANZ PP CAMBIOS'!M34+IFERROR(VLOOKUP($A$13,'Datos de Entrada (1)'!$A$7:$E$10,MATCH(M72,'Datos de Entrada (1)'!$A$6:$E$6,0),0),0)</f>
        <v>0</v>
      </c>
      <c r="N73" s="42">
        <f ca="1">'Datos de Entrada (2)'!$L$21*'LANZ PP CAMBIOS'!N34+IFERROR(VLOOKUP($A$13,'Datos de Entrada (1)'!$A$7:$E$10,MATCH(N72,'Datos de Entrada (1)'!$A$6:$E$6,0),0),0)</f>
        <v>0</v>
      </c>
      <c r="O73" s="42">
        <f ca="1">'Datos de Entrada (2)'!$L$21*'LANZ PP CAMBIOS'!O34+IFERROR(VLOOKUP($A$13,'Datos de Entrada (1)'!$A$7:$E$10,MATCH(O72,'Datos de Entrada (1)'!$A$6:$E$6,0),0),0)</f>
        <v>0</v>
      </c>
      <c r="P73" s="42">
        <f ca="1">'Datos de Entrada (2)'!$L$21*'LANZ PP CAMBIOS'!P34+IFERROR(VLOOKUP($A$13,'Datos de Entrada (1)'!$A$7:$E$10,MATCH(P72,'Datos de Entrada (1)'!$A$6:$E$6,0),0),0)</f>
        <v>0</v>
      </c>
      <c r="Q73" s="42">
        <f ca="1">'Datos de Entrada (2)'!$L$21*'LANZ PP CAMBIOS'!Q34+IFERROR(VLOOKUP($A$13,'Datos de Entrada (1)'!$A$7:$E$10,MATCH(Q72,'Datos de Entrada (1)'!$A$6:$E$6,0),0),0)</f>
        <v>180</v>
      </c>
      <c r="R73" s="42">
        <f ca="1">'Datos de Entrada (2)'!$L$21*'LANZ PP CAMBIOS'!R34+IFERROR(VLOOKUP($A$13,'Datos de Entrada (1)'!$A$7:$E$10,MATCH(R72,'Datos de Entrada (1)'!$A$6:$E$6,0),0),0)</f>
        <v>200</v>
      </c>
      <c r="S73" s="42">
        <f ca="1">'Datos de Entrada (2)'!$L$21*'LANZ PP CAMBIOS'!S34+IFERROR(VLOOKUP($A$13,'Datos de Entrada (1)'!$A$7:$E$10,MATCH(S72,'Datos de Entrada (1)'!$A$6:$E$6,0),0),0)</f>
        <v>200</v>
      </c>
      <c r="T73" s="42">
        <f ca="1">'Datos de Entrada (2)'!$L$21*'LANZ PP CAMBIOS'!T34+IFERROR(VLOOKUP($A$13,'Datos de Entrada (1)'!$A$7:$E$10,MATCH(T72,'Datos de Entrada (1)'!$A$6:$E$6,0),0),0)</f>
        <v>250</v>
      </c>
      <c r="U73" s="43">
        <f ca="1">'Datos de Entrada (2)'!$L$21*'LANZ PP CAMBIOS'!U34+IFERROR(VLOOKUP($A$13,'Datos de Entrada (1)'!$A$7:$E$10,MATCH(U72,'Datos de Entrada (1)'!$A$6:$E$6,0),0),0)</f>
        <v>0</v>
      </c>
    </row>
    <row r="74" spans="1:21" x14ac:dyDescent="0.3">
      <c r="A74" s="73" t="s">
        <v>43</v>
      </c>
      <c r="B74" s="44">
        <f>'Datos de Entrada (1)'!$E$24</f>
        <v>50</v>
      </c>
      <c r="C74" s="25">
        <f ca="1">B74+B78-B73</f>
        <v>50</v>
      </c>
      <c r="D74" s="25">
        <f t="shared" ref="D74:T74" ca="1" si="16">C74+C78-C73</f>
        <v>50</v>
      </c>
      <c r="E74" s="25">
        <f t="shared" ca="1" si="16"/>
        <v>50</v>
      </c>
      <c r="F74" s="25">
        <f t="shared" ca="1" si="16"/>
        <v>50</v>
      </c>
      <c r="G74" s="25">
        <f t="shared" ca="1" si="16"/>
        <v>50</v>
      </c>
      <c r="H74" s="25">
        <f t="shared" ca="1" si="16"/>
        <v>50</v>
      </c>
      <c r="I74" s="25">
        <f t="shared" ca="1" si="16"/>
        <v>50</v>
      </c>
      <c r="J74" s="25">
        <f t="shared" ca="1" si="16"/>
        <v>50</v>
      </c>
      <c r="K74" s="25">
        <f t="shared" ca="1" si="16"/>
        <v>50</v>
      </c>
      <c r="L74" s="25">
        <f t="shared" ca="1" si="16"/>
        <v>50</v>
      </c>
      <c r="M74" s="25">
        <f t="shared" ca="1" si="16"/>
        <v>50</v>
      </c>
      <c r="N74" s="25">
        <f t="shared" ca="1" si="16"/>
        <v>50</v>
      </c>
      <c r="O74" s="25">
        <f t="shared" ca="1" si="16"/>
        <v>50</v>
      </c>
      <c r="P74" s="25">
        <f t="shared" ca="1" si="16"/>
        <v>50</v>
      </c>
      <c r="Q74" s="25">
        <f t="shared" ca="1" si="16"/>
        <v>50</v>
      </c>
      <c r="R74" s="25">
        <f t="shared" ca="1" si="16"/>
        <v>107</v>
      </c>
      <c r="S74" s="25">
        <f t="shared" ca="1" si="16"/>
        <v>101</v>
      </c>
      <c r="T74" s="25">
        <f t="shared" ca="1" si="16"/>
        <v>106</v>
      </c>
      <c r="U74" s="45">
        <f ca="1">T74+T78-T73</f>
        <v>104</v>
      </c>
    </row>
    <row r="75" spans="1:21" x14ac:dyDescent="0.3">
      <c r="A75" s="73" t="s">
        <v>44</v>
      </c>
      <c r="B75" s="87">
        <f ca="1">IF(B73=0,0,MAX(0,B73+'Datos de Entrada (1)'!$B$24-'LANZ PP'!B74))</f>
        <v>0</v>
      </c>
      <c r="C75" s="25">
        <f ca="1">IF(C73=0,0,MAX(0,C73+'Datos de Entrada (1)'!$B$24-'LANZ PP'!C74))</f>
        <v>0</v>
      </c>
      <c r="D75" s="25">
        <f ca="1">IF(D73=0,0,MAX(0,D73+'Datos de Entrada (1)'!$B$24-'LANZ PP'!D74))</f>
        <v>0</v>
      </c>
      <c r="E75" s="25">
        <f ca="1">IF(E73=0,0,MAX(0,E73+'Datos de Entrada (1)'!$B$24-'LANZ PP'!E74))</f>
        <v>0</v>
      </c>
      <c r="F75" s="25">
        <f ca="1">IF(F73=0,0,MAX(0,F73+'Datos de Entrada (1)'!$B$24-'LANZ PP'!F74))</f>
        <v>0</v>
      </c>
      <c r="G75" s="25">
        <f ca="1">IF(G73=0,0,MAX(0,G73+'Datos de Entrada (1)'!$B$24-'LANZ PP'!G74))</f>
        <v>0</v>
      </c>
      <c r="H75" s="25">
        <f ca="1">IF(H73=0,0,MAX(0,H73+'Datos de Entrada (1)'!$B$24-'LANZ PP'!H74))</f>
        <v>0</v>
      </c>
      <c r="I75" s="25">
        <f ca="1">IF(I73=0,0,MAX(0,I73+'Datos de Entrada (1)'!$B$24-'LANZ PP'!I74))</f>
        <v>0</v>
      </c>
      <c r="J75" s="25">
        <f ca="1">IF(J73=0,0,MAX(0,J73+'Datos de Entrada (1)'!$B$24-'LANZ PP'!J74))</f>
        <v>0</v>
      </c>
      <c r="K75" s="25">
        <f ca="1">IF(K73=0,0,MAX(0,K73+'Datos de Entrada (1)'!$B$24-'LANZ PP'!K74))</f>
        <v>0</v>
      </c>
      <c r="L75" s="25">
        <f ca="1">IF(L73=0,0,MAX(0,L73+'Datos de Entrada (1)'!$B$24-'LANZ PP'!L74))</f>
        <v>0</v>
      </c>
      <c r="M75" s="25">
        <f ca="1">IF(M73=0,0,MAX(0,M73+'Datos de Entrada (1)'!$B$24-'LANZ PP'!M74))</f>
        <v>0</v>
      </c>
      <c r="N75" s="25">
        <f ca="1">IF(N73=0,0,MAX(0,N73+'Datos de Entrada (1)'!$B$24-'LANZ PP'!N74))</f>
        <v>0</v>
      </c>
      <c r="O75" s="25">
        <f ca="1">IF(O73=0,0,MAX(0,O73+'Datos de Entrada (1)'!$B$24-'LANZ PP'!O74))</f>
        <v>0</v>
      </c>
      <c r="P75" s="25">
        <f ca="1">IF(P73=0,0,MAX(0,P73+'Datos de Entrada (1)'!$B$24-'LANZ PP'!P74))</f>
        <v>0</v>
      </c>
      <c r="Q75" s="25">
        <f ca="1">IF(Q73=0,0,MAX(0,Q73+'Datos de Entrada (1)'!$B$24-'LANZ PP'!Q74))</f>
        <v>230</v>
      </c>
      <c r="R75" s="25">
        <f ca="1">IF(R73=0,0,MAX(0,R73+'Datos de Entrada (1)'!$B$24-'LANZ PP'!R74))</f>
        <v>193</v>
      </c>
      <c r="S75" s="25">
        <f ca="1">IF(S73=0,0,MAX(0,S73+'Datos de Entrada (1)'!$B$24-'LANZ PP'!S74))</f>
        <v>199</v>
      </c>
      <c r="T75" s="25">
        <f ca="1">IF(T73=0,0,MAX(0,T73+'Datos de Entrada (1)'!$B$24-'LANZ PP'!T74))</f>
        <v>244</v>
      </c>
      <c r="U75" s="45">
        <f ca="1">IF(U73=0,0,MAX(0,U73+'Datos de Entrada (1)'!$B$24-'LANZ PP'!U74))</f>
        <v>0</v>
      </c>
    </row>
    <row r="76" spans="1:21" x14ac:dyDescent="0.3">
      <c r="A76" s="73" t="s">
        <v>45</v>
      </c>
      <c r="B76" s="87">
        <f ca="1">ROUNDUP(B75/(1-('Datos de Entrada (1)'!$D$24/100)),0)</f>
        <v>0</v>
      </c>
      <c r="C76" s="25">
        <f ca="1">ROUNDUP(C75/(1-('Datos de Entrada (1)'!$D$24/100)),0)</f>
        <v>0</v>
      </c>
      <c r="D76" s="25">
        <f ca="1">ROUNDUP(D75/(1-('Datos de Entrada (1)'!$D$24/100)),0)</f>
        <v>0</v>
      </c>
      <c r="E76" s="25">
        <f ca="1">ROUNDUP(E75/(1-('Datos de Entrada (1)'!$D$24/100)),0)</f>
        <v>0</v>
      </c>
      <c r="F76" s="25">
        <f ca="1">ROUNDUP(F75/(1-('Datos de Entrada (1)'!$D$24/100)),0)</f>
        <v>0</v>
      </c>
      <c r="G76" s="25">
        <f ca="1">ROUNDUP(G75/(1-('Datos de Entrada (1)'!$D$24/100)),0)</f>
        <v>0</v>
      </c>
      <c r="H76" s="25">
        <f ca="1">ROUNDUP(H75/(1-('Datos de Entrada (1)'!$D$24/100)),0)</f>
        <v>0</v>
      </c>
      <c r="I76" s="25">
        <f ca="1">ROUNDUP(I75/(1-('Datos de Entrada (1)'!$D$24/100)),0)</f>
        <v>0</v>
      </c>
      <c r="J76" s="25">
        <f ca="1">ROUNDUP(J75/(1-('Datos de Entrada (1)'!$D$24/100)),0)</f>
        <v>0</v>
      </c>
      <c r="K76" s="25">
        <f ca="1">ROUNDUP(K75/(1-('Datos de Entrada (1)'!$D$24/100)),0)</f>
        <v>0</v>
      </c>
      <c r="L76" s="25">
        <f ca="1">ROUNDUP(L75/(1-('Datos de Entrada (1)'!$D$24/100)),0)</f>
        <v>0</v>
      </c>
      <c r="M76" s="25">
        <f ca="1">ROUNDUP(M75/(1-('Datos de Entrada (1)'!$D$24/100)),0)</f>
        <v>0</v>
      </c>
      <c r="N76" s="25">
        <f ca="1">ROUNDUP(N75/(1-('Datos de Entrada (1)'!$D$24/100)),0)</f>
        <v>0</v>
      </c>
      <c r="O76" s="25">
        <f ca="1">ROUNDUP(O75/(1-('Datos de Entrada (1)'!$D$24/100)),0)</f>
        <v>0</v>
      </c>
      <c r="P76" s="25">
        <f ca="1">ROUNDUP(P75/(1-('Datos de Entrada (1)'!$D$24/100)),0)</f>
        <v>0</v>
      </c>
      <c r="Q76" s="25">
        <f ca="1">ROUNDUP(Q75/(1-('Datos de Entrada (1)'!$D$24/100)),0)</f>
        <v>256</v>
      </c>
      <c r="R76" s="25">
        <f ca="1">ROUNDUP(R75/(1-('Datos de Entrada (1)'!$D$24/100)),0)</f>
        <v>215</v>
      </c>
      <c r="S76" s="25">
        <f ca="1">ROUNDUP(S75/(1-('Datos de Entrada (1)'!$D$24/100)),0)</f>
        <v>222</v>
      </c>
      <c r="T76" s="25">
        <f ca="1">ROUNDUP(T75/(1-('Datos de Entrada (1)'!$D$24/100)),0)</f>
        <v>272</v>
      </c>
      <c r="U76" s="45">
        <f ca="1">ROUNDUP(U75/(1-('Datos de Entrada (1)'!$D$24/100)),0)</f>
        <v>0</v>
      </c>
    </row>
    <row r="77" spans="1:21" x14ac:dyDescent="0.3">
      <c r="A77" s="73" t="s">
        <v>46</v>
      </c>
      <c r="B77" s="87">
        <f ca="1">ROUNDUP(B76/'Datos de Entrada (1)'!$F$24,0)*'Datos de Entrada (1)'!$F$24</f>
        <v>0</v>
      </c>
      <c r="C77" s="25">
        <f ca="1">ROUNDUP(C76/'Datos de Entrada (1)'!$F$24,0)*'Datos de Entrada (1)'!$F$24</f>
        <v>0</v>
      </c>
      <c r="D77" s="25">
        <f ca="1">ROUNDUP(D76/'Datos de Entrada (1)'!$F$24,0)*'Datos de Entrada (1)'!$F$24</f>
        <v>0</v>
      </c>
      <c r="E77" s="25">
        <f ca="1">ROUNDUP(E76/'Datos de Entrada (1)'!$F$24,0)*'Datos de Entrada (1)'!$F$24</f>
        <v>0</v>
      </c>
      <c r="F77" s="25">
        <f ca="1">ROUNDUP(F76/'Datos de Entrada (1)'!$F$24,0)*'Datos de Entrada (1)'!$F$24</f>
        <v>0</v>
      </c>
      <c r="G77" s="25">
        <f ca="1">ROUNDUP(G76/'Datos de Entrada (1)'!$F$24,0)*'Datos de Entrada (1)'!$F$24</f>
        <v>0</v>
      </c>
      <c r="H77" s="25">
        <f ca="1">ROUNDUP(H76/'Datos de Entrada (1)'!$F$24,0)*'Datos de Entrada (1)'!$F$24</f>
        <v>0</v>
      </c>
      <c r="I77" s="25">
        <f ca="1">ROUNDUP(I76/'Datos de Entrada (1)'!$F$24,0)*'Datos de Entrada (1)'!$F$24</f>
        <v>0</v>
      </c>
      <c r="J77" s="25">
        <f ca="1">ROUNDUP(J76/'Datos de Entrada (1)'!$F$24,0)*'Datos de Entrada (1)'!$F$24</f>
        <v>0</v>
      </c>
      <c r="K77" s="25">
        <f ca="1">ROUNDUP(K76/'Datos de Entrada (1)'!$F$24,0)*'Datos de Entrada (1)'!$F$24</f>
        <v>0</v>
      </c>
      <c r="L77" s="25">
        <f ca="1">ROUNDUP(L76/'Datos de Entrada (1)'!$F$24,0)*'Datos de Entrada (1)'!$F$24</f>
        <v>0</v>
      </c>
      <c r="M77" s="25">
        <f ca="1">ROUNDUP(M76/'Datos de Entrada (1)'!$F$24,0)*'Datos de Entrada (1)'!$F$24</f>
        <v>0</v>
      </c>
      <c r="N77" s="25">
        <f ca="1">ROUNDUP(N76/'Datos de Entrada (1)'!$F$24,0)*'Datos de Entrada (1)'!$F$24</f>
        <v>0</v>
      </c>
      <c r="O77" s="25">
        <f ca="1">ROUNDUP(O76/'Datos de Entrada (1)'!$F$24,0)*'Datos de Entrada (1)'!$F$24</f>
        <v>0</v>
      </c>
      <c r="P77" s="25">
        <f ca="1">ROUNDUP(P76/'Datos de Entrada (1)'!$F$24,0)*'Datos de Entrada (1)'!$F$24</f>
        <v>0</v>
      </c>
      <c r="Q77" s="25">
        <f ca="1">ROUNDUP(Q76/'Datos de Entrada (1)'!$F$24,0)*'Datos de Entrada (1)'!$F$24</f>
        <v>264</v>
      </c>
      <c r="R77" s="25">
        <f ca="1">ROUNDUP(R76/'Datos de Entrada (1)'!$F$24,0)*'Datos de Entrada (1)'!$F$24</f>
        <v>216</v>
      </c>
      <c r="S77" s="25">
        <f ca="1">ROUNDUP(S76/'Datos de Entrada (1)'!$F$24,0)*'Datos de Entrada (1)'!$F$24</f>
        <v>228</v>
      </c>
      <c r="T77" s="25">
        <f ca="1">ROUNDUP(T76/'Datos de Entrada (1)'!$F$24,0)*'Datos de Entrada (1)'!$F$24</f>
        <v>276</v>
      </c>
      <c r="U77" s="45">
        <f ca="1">ROUNDUP(U76/'Datos de Entrada (1)'!$F$24,0)*'Datos de Entrada (1)'!$F$24</f>
        <v>0</v>
      </c>
    </row>
    <row r="78" spans="1:21" x14ac:dyDescent="0.3">
      <c r="A78" s="73" t="s">
        <v>47</v>
      </c>
      <c r="B78" s="87">
        <f ca="1">ROUNDDOWN(B77*(1-('Datos de Entrada (1)'!$D$24/100)),0)</f>
        <v>0</v>
      </c>
      <c r="C78" s="25">
        <f ca="1">ROUNDDOWN(C77*(1-('Datos de Entrada (1)'!$D$24/100)),0)</f>
        <v>0</v>
      </c>
      <c r="D78" s="25">
        <f ca="1">ROUNDDOWN(D77*(1-('Datos de Entrada (1)'!$D$24/100)),0)</f>
        <v>0</v>
      </c>
      <c r="E78" s="25">
        <f ca="1">ROUNDDOWN(E77*(1-('Datos de Entrada (1)'!$D$24/100)),0)</f>
        <v>0</v>
      </c>
      <c r="F78" s="25">
        <f ca="1">ROUNDDOWN(F77*(1-('Datos de Entrada (1)'!$D$24/100)),0)</f>
        <v>0</v>
      </c>
      <c r="G78" s="25">
        <f ca="1">ROUNDDOWN(G77*(1-('Datos de Entrada (1)'!$D$24/100)),0)</f>
        <v>0</v>
      </c>
      <c r="H78" s="25">
        <f ca="1">ROUNDDOWN(H77*(1-('Datos de Entrada (1)'!$D$24/100)),0)</f>
        <v>0</v>
      </c>
      <c r="I78" s="25">
        <f ca="1">ROUNDDOWN(I77*(1-('Datos de Entrada (1)'!$D$24/100)),0)</f>
        <v>0</v>
      </c>
      <c r="J78" s="25">
        <f ca="1">ROUNDDOWN(J77*(1-('Datos de Entrada (1)'!$D$24/100)),0)</f>
        <v>0</v>
      </c>
      <c r="K78" s="25">
        <f ca="1">ROUNDDOWN(K77*(1-('Datos de Entrada (1)'!$D$24/100)),0)</f>
        <v>0</v>
      </c>
      <c r="L78" s="25">
        <f ca="1">ROUNDDOWN(L77*(1-('Datos de Entrada (1)'!$D$24/100)),0)</f>
        <v>0</v>
      </c>
      <c r="M78" s="25">
        <f ca="1">ROUNDDOWN(M77*(1-('Datos de Entrada (1)'!$D$24/100)),0)</f>
        <v>0</v>
      </c>
      <c r="N78" s="25">
        <f ca="1">ROUNDDOWN(N77*(1-('Datos de Entrada (1)'!$D$24/100)),0)</f>
        <v>0</v>
      </c>
      <c r="O78" s="25">
        <f ca="1">ROUNDDOWN(O77*(1-('Datos de Entrada (1)'!$D$24/100)),0)</f>
        <v>0</v>
      </c>
      <c r="P78" s="25">
        <f ca="1">ROUNDDOWN(P77*(1-('Datos de Entrada (1)'!$D$24/100)),0)</f>
        <v>0</v>
      </c>
      <c r="Q78" s="25">
        <f ca="1">ROUNDDOWN(Q77*(1-('Datos de Entrada (1)'!$D$24/100)),0)</f>
        <v>237</v>
      </c>
      <c r="R78" s="25">
        <f ca="1">ROUNDDOWN(R77*(1-('Datos de Entrada (1)'!$D$24/100)),0)</f>
        <v>194</v>
      </c>
      <c r="S78" s="25">
        <f ca="1">ROUNDDOWN(S77*(1-('Datos de Entrada (1)'!$D$24/100)),0)</f>
        <v>205</v>
      </c>
      <c r="T78" s="25">
        <f ca="1">ROUNDDOWN(T77*(1-('Datos de Entrada (1)'!$D$24/100)),0)</f>
        <v>248</v>
      </c>
      <c r="U78" s="45">
        <f ca="1">ROUNDDOWN(U77*(1-('Datos de Entrada (1)'!$D$24/100)),0)</f>
        <v>0</v>
      </c>
    </row>
    <row r="79" spans="1:21" ht="15" thickBot="1" x14ac:dyDescent="0.35">
      <c r="A79" s="72" t="s">
        <v>48</v>
      </c>
      <c r="B79" s="88">
        <f ca="1">OFFSET(B77,0,'Datos de Entrada (1)'!$C$24)</f>
        <v>0</v>
      </c>
      <c r="C79" s="46">
        <f ca="1">OFFSET(C77,0,'Datos de Entrada (1)'!$C$24)</f>
        <v>0</v>
      </c>
      <c r="D79" s="46">
        <f ca="1">OFFSET(D77,0,'Datos de Entrada (1)'!$C$24)</f>
        <v>0</v>
      </c>
      <c r="E79" s="46">
        <f ca="1">OFFSET(E77,0,'Datos de Entrada (1)'!$C$24)</f>
        <v>0</v>
      </c>
      <c r="F79" s="46">
        <f ca="1">OFFSET(F77,0,'Datos de Entrada (1)'!$C$24)</f>
        <v>0</v>
      </c>
      <c r="G79" s="46">
        <f ca="1">OFFSET(G77,0,'Datos de Entrada (1)'!$C$24)</f>
        <v>0</v>
      </c>
      <c r="H79" s="46">
        <f ca="1">OFFSET(H77,0,'Datos de Entrada (1)'!$C$24)</f>
        <v>0</v>
      </c>
      <c r="I79" s="46">
        <f ca="1">OFFSET(I77,0,'Datos de Entrada (1)'!$C$24)</f>
        <v>0</v>
      </c>
      <c r="J79" s="46">
        <f ca="1">OFFSET(J77,0,'Datos de Entrada (1)'!$C$24)</f>
        <v>0</v>
      </c>
      <c r="K79" s="46">
        <f ca="1">OFFSET(K77,0,'Datos de Entrada (1)'!$C$24)</f>
        <v>0</v>
      </c>
      <c r="L79" s="46">
        <f ca="1">OFFSET(L77,0,'Datos de Entrada (1)'!$C$24)</f>
        <v>0</v>
      </c>
      <c r="M79" s="46">
        <f ca="1">OFFSET(M77,0,'Datos de Entrada (1)'!$C$24)</f>
        <v>0</v>
      </c>
      <c r="N79" s="46">
        <f ca="1">OFFSET(N77,0,'Datos de Entrada (1)'!$C$24)</f>
        <v>0</v>
      </c>
      <c r="O79" s="46">
        <f ca="1">OFFSET(O77,0,'Datos de Entrada (1)'!$C$24)</f>
        <v>264</v>
      </c>
      <c r="P79" s="46">
        <f ca="1">OFFSET(P77,0,'Datos de Entrada (1)'!$C$24)</f>
        <v>216</v>
      </c>
      <c r="Q79" s="46">
        <f ca="1">OFFSET(Q77,0,'Datos de Entrada (1)'!$C$24)</f>
        <v>228</v>
      </c>
      <c r="R79" s="46">
        <f ca="1">OFFSET(R77,0,'Datos de Entrada (1)'!$C$24)</f>
        <v>276</v>
      </c>
      <c r="S79" s="46">
        <f ca="1">OFFSET(S77,0,'Datos de Entrada (1)'!$C$24)</f>
        <v>0</v>
      </c>
      <c r="T79" s="46">
        <f ca="1">OFFSET(T77,0,'Datos de Entrada (1)'!$C$24)</f>
        <v>0</v>
      </c>
      <c r="U79" s="47">
        <f ca="1">OFFSET(U77,0,'Datos de Entrada (1)'!$C$24)</f>
        <v>0</v>
      </c>
    </row>
    <row r="80" spans="1:21" ht="15" thickBot="1" x14ac:dyDescent="0.35"/>
    <row r="81" spans="1:21" ht="15" thickBot="1" x14ac:dyDescent="0.35">
      <c r="A81" s="79" t="s">
        <v>6</v>
      </c>
      <c r="B81" s="80">
        <v>1</v>
      </c>
      <c r="C81" s="81">
        <v>2</v>
      </c>
      <c r="D81" s="81">
        <v>3</v>
      </c>
      <c r="E81" s="81">
        <v>4</v>
      </c>
      <c r="F81" s="81">
        <v>5</v>
      </c>
      <c r="G81" s="81">
        <v>6</v>
      </c>
      <c r="H81" s="81">
        <v>7</v>
      </c>
      <c r="I81" s="81">
        <v>8</v>
      </c>
      <c r="J81" s="81">
        <v>9</v>
      </c>
      <c r="K81" s="81">
        <v>10</v>
      </c>
      <c r="L81" s="81">
        <v>11</v>
      </c>
      <c r="M81" s="81">
        <v>12</v>
      </c>
      <c r="N81" s="81">
        <v>13</v>
      </c>
      <c r="O81" s="81">
        <v>14</v>
      </c>
      <c r="P81" s="81">
        <v>15</v>
      </c>
      <c r="Q81" s="81">
        <v>16</v>
      </c>
      <c r="R81" s="81">
        <v>17</v>
      </c>
      <c r="S81" s="81">
        <v>18</v>
      </c>
      <c r="T81" s="81">
        <v>19</v>
      </c>
      <c r="U81" s="82">
        <v>20</v>
      </c>
    </row>
    <row r="82" spans="1:21" x14ac:dyDescent="0.3">
      <c r="A82" s="41" t="s">
        <v>42</v>
      </c>
      <c r="B82" s="89">
        <f ca="1">'Datos de Entrada (2)'!$K$8*'LANZ PP CAMBIOS'!B25+'Datos de Entrada (2)'!$F$21*'LANZ PP CAMBIOS'!B61++IFERROR(VLOOKUP($A$14,'Datos de Entrada (1)'!$A$7:$E$10,MATCH(B81,'Datos de Entrada (1)'!$A$6:$E$6,0),0),0)</f>
        <v>0</v>
      </c>
      <c r="C82" s="42">
        <f ca="1">'Datos de Entrada (2)'!$K$8*'LANZ PP CAMBIOS'!C25+'Datos de Entrada (2)'!$F$21*'LANZ PP CAMBIOS'!C61++IFERROR(VLOOKUP($A$14,'Datos de Entrada (1)'!$A$7:$E$10,MATCH(C81,'Datos de Entrada (1)'!$A$6:$E$6,0),0),0)</f>
        <v>0</v>
      </c>
      <c r="D82" s="42">
        <f ca="1">'Datos de Entrada (2)'!$K$8*'LANZ PP CAMBIOS'!D25+'Datos de Entrada (2)'!$F$21*'LANZ PP CAMBIOS'!D61++IFERROR(VLOOKUP($A$14,'Datos de Entrada (1)'!$A$7:$E$10,MATCH(D81,'Datos de Entrada (1)'!$A$6:$E$6,0),0),0)</f>
        <v>0</v>
      </c>
      <c r="E82" s="42">
        <f ca="1">'Datos de Entrada (2)'!$K$8*'LANZ PP CAMBIOS'!E25+'Datos de Entrada (2)'!$F$21*'LANZ PP CAMBIOS'!E61++IFERROR(VLOOKUP($A$14,'Datos de Entrada (1)'!$A$7:$E$10,MATCH(E81,'Datos de Entrada (1)'!$A$6:$E$6,0),0),0)</f>
        <v>0</v>
      </c>
      <c r="F82" s="42">
        <f ca="1">'Datos de Entrada (2)'!$K$8*'LANZ PP CAMBIOS'!F25+'Datos de Entrada (2)'!$F$21*'LANZ PP CAMBIOS'!F61++IFERROR(VLOOKUP($A$14,'Datos de Entrada (1)'!$A$7:$E$10,MATCH(F81,'Datos de Entrada (1)'!$A$6:$E$6,0),0),0)</f>
        <v>0</v>
      </c>
      <c r="G82" s="42">
        <f ca="1">'Datos de Entrada (2)'!$K$8*'LANZ PP CAMBIOS'!G25+'Datos de Entrada (2)'!$F$21*'LANZ PP CAMBIOS'!G61++IFERROR(VLOOKUP($A$14,'Datos de Entrada (1)'!$A$7:$E$10,MATCH(G81,'Datos de Entrada (1)'!$A$6:$E$6,0),0),0)</f>
        <v>0</v>
      </c>
      <c r="H82" s="42">
        <f ca="1">'Datos de Entrada (2)'!$K$8*'LANZ PP CAMBIOS'!H25+'Datos de Entrada (2)'!$F$21*'LANZ PP CAMBIOS'!H61++IFERROR(VLOOKUP($A$14,'Datos de Entrada (1)'!$A$7:$E$10,MATCH(H81,'Datos de Entrada (1)'!$A$6:$E$6,0),0),0)</f>
        <v>0</v>
      </c>
      <c r="I82" s="42">
        <f ca="1">'Datos de Entrada (2)'!$K$8*'LANZ PP CAMBIOS'!I25+'Datos de Entrada (2)'!$F$21*'LANZ PP CAMBIOS'!I61++IFERROR(VLOOKUP($A$14,'Datos de Entrada (1)'!$A$7:$E$10,MATCH(I81,'Datos de Entrada (1)'!$A$6:$E$6,0),0),0)</f>
        <v>0</v>
      </c>
      <c r="J82" s="42">
        <f ca="1">'Datos de Entrada (2)'!$K$8*'LANZ PP CAMBIOS'!J25+'Datos de Entrada (2)'!$F$21*'LANZ PP CAMBIOS'!J61++IFERROR(VLOOKUP($A$14,'Datos de Entrada (1)'!$A$7:$E$10,MATCH(J81,'Datos de Entrada (1)'!$A$6:$E$6,0),0),0)</f>
        <v>0</v>
      </c>
      <c r="K82" s="42">
        <f ca="1">'Datos de Entrada (2)'!$K$8*'LANZ PP CAMBIOS'!K25+'Datos de Entrada (2)'!$F$21*'LANZ PP CAMBIOS'!K61++IFERROR(VLOOKUP($A$14,'Datos de Entrada (1)'!$A$7:$E$10,MATCH(K81,'Datos de Entrada (1)'!$A$6:$E$6,0),0),0)</f>
        <v>0</v>
      </c>
      <c r="L82" s="42">
        <f ca="1">'Datos de Entrada (2)'!$K$8*'LANZ PP CAMBIOS'!L25+'Datos de Entrada (2)'!$F$21*'LANZ PP CAMBIOS'!L61++IFERROR(VLOOKUP($A$14,'Datos de Entrada (1)'!$A$7:$E$10,MATCH(L81,'Datos de Entrada (1)'!$A$6:$E$6,0),0),0)</f>
        <v>0</v>
      </c>
      <c r="M82" s="42">
        <f ca="1">'Datos de Entrada (2)'!$K$8*'LANZ PP CAMBIOS'!M25+'Datos de Entrada (2)'!$F$21*'LANZ PP CAMBIOS'!M61++IFERROR(VLOOKUP($A$14,'Datos de Entrada (1)'!$A$7:$E$10,MATCH(M81,'Datos de Entrada (1)'!$A$6:$E$6,0),0),0)</f>
        <v>0</v>
      </c>
      <c r="N82" s="42">
        <f ca="1">'Datos de Entrada (2)'!$K$8*'LANZ PP CAMBIOS'!N25+'Datos de Entrada (2)'!$F$21*'LANZ PP CAMBIOS'!N61++IFERROR(VLOOKUP($A$14,'Datos de Entrada (1)'!$A$7:$E$10,MATCH(N81,'Datos de Entrada (1)'!$A$6:$E$6,0),0),0)</f>
        <v>0</v>
      </c>
      <c r="O82" s="42">
        <f ca="1">'Datos de Entrada (2)'!$K$8*'LANZ PP CAMBIOS'!O25+'Datos de Entrada (2)'!$F$21*'LANZ PP CAMBIOS'!O61++IFERROR(VLOOKUP($A$14,'Datos de Entrada (1)'!$A$7:$E$10,MATCH(O81,'Datos de Entrada (1)'!$A$6:$E$6,0),0),0)</f>
        <v>0</v>
      </c>
      <c r="P82" s="42">
        <f ca="1">'Datos de Entrada (2)'!$K$8*'LANZ PP CAMBIOS'!P25+'Datos de Entrada (2)'!$F$21*'LANZ PP CAMBIOS'!P61++IFERROR(VLOOKUP($A$14,'Datos de Entrada (1)'!$A$7:$E$10,MATCH(P81,'Datos de Entrada (1)'!$A$6:$E$6,0),0),0)</f>
        <v>450</v>
      </c>
      <c r="Q82" s="42">
        <f ca="1">'Datos de Entrada (2)'!$K$8*'LANZ PP CAMBIOS'!Q25+'Datos de Entrada (2)'!$F$21*'LANZ PP CAMBIOS'!Q61++IFERROR(VLOOKUP($A$14,'Datos de Entrada (1)'!$A$7:$E$10,MATCH(Q81,'Datos de Entrada (1)'!$A$6:$E$6,0),0),0)</f>
        <v>755</v>
      </c>
      <c r="R82" s="42">
        <f ca="1">'Datos de Entrada (2)'!$K$8*'LANZ PP CAMBIOS'!R25+'Datos de Entrada (2)'!$F$21*'LANZ PP CAMBIOS'!R61++IFERROR(VLOOKUP($A$14,'Datos de Entrada (1)'!$A$7:$E$10,MATCH(R81,'Datos de Entrada (1)'!$A$6:$E$6,0),0),0)</f>
        <v>755</v>
      </c>
      <c r="S82" s="42">
        <f ca="1">'Datos de Entrada (2)'!$K$8*'LANZ PP CAMBIOS'!S25+'Datos de Entrada (2)'!$F$21*'LANZ PP CAMBIOS'!S61++IFERROR(VLOOKUP($A$14,'Datos de Entrada (1)'!$A$7:$E$10,MATCH(S81,'Datos de Entrada (1)'!$A$6:$E$6,0),0),0)</f>
        <v>1100</v>
      </c>
      <c r="T82" s="42">
        <f ca="1">'Datos de Entrada (2)'!$K$8*'LANZ PP CAMBIOS'!T25+'Datos de Entrada (2)'!$F$21*'LANZ PP CAMBIOS'!T61++IFERROR(VLOOKUP($A$14,'Datos de Entrada (1)'!$A$7:$E$10,MATCH(T81,'Datos de Entrada (1)'!$A$6:$E$6,0),0),0)</f>
        <v>220</v>
      </c>
      <c r="U82" s="43">
        <f ca="1">'Datos de Entrada (2)'!$K$8*'LANZ PP CAMBIOS'!U25+'Datos de Entrada (2)'!$F$21*'LANZ PP CAMBIOS'!U61++IFERROR(VLOOKUP($A$14,'Datos de Entrada (1)'!$A$7:$E$10,MATCH(U81,'Datos de Entrada (1)'!$A$6:$E$6,0),0),0)</f>
        <v>0</v>
      </c>
    </row>
    <row r="83" spans="1:21" x14ac:dyDescent="0.3">
      <c r="A83" s="73" t="s">
        <v>43</v>
      </c>
      <c r="B83" s="44">
        <f>'Datos de Entrada (1)'!$E$25</f>
        <v>150</v>
      </c>
      <c r="C83" s="25">
        <f ca="1">B83+B87-B82</f>
        <v>150</v>
      </c>
      <c r="D83" s="25">
        <f t="shared" ref="D83:T83" ca="1" si="17">C83+C87-C82</f>
        <v>150</v>
      </c>
      <c r="E83" s="25">
        <f t="shared" ca="1" si="17"/>
        <v>150</v>
      </c>
      <c r="F83" s="25">
        <f t="shared" ca="1" si="17"/>
        <v>150</v>
      </c>
      <c r="G83" s="25">
        <f t="shared" ca="1" si="17"/>
        <v>150</v>
      </c>
      <c r="H83" s="25">
        <f t="shared" ca="1" si="17"/>
        <v>150</v>
      </c>
      <c r="I83" s="25">
        <f t="shared" ca="1" si="17"/>
        <v>150</v>
      </c>
      <c r="J83" s="25">
        <f t="shared" ca="1" si="17"/>
        <v>150</v>
      </c>
      <c r="K83" s="25">
        <f t="shared" ca="1" si="17"/>
        <v>150</v>
      </c>
      <c r="L83" s="25">
        <f t="shared" ca="1" si="17"/>
        <v>150</v>
      </c>
      <c r="M83" s="25">
        <f t="shared" ca="1" si="17"/>
        <v>150</v>
      </c>
      <c r="N83" s="25">
        <f t="shared" ca="1" si="17"/>
        <v>150</v>
      </c>
      <c r="O83" s="25">
        <f t="shared" ca="1" si="17"/>
        <v>150</v>
      </c>
      <c r="P83" s="25">
        <f t="shared" ca="1" si="17"/>
        <v>150</v>
      </c>
      <c r="Q83" s="25">
        <f t="shared" ca="1" si="17"/>
        <v>80</v>
      </c>
      <c r="R83" s="25">
        <f t="shared" ca="1" si="17"/>
        <v>85</v>
      </c>
      <c r="S83" s="25">
        <f t="shared" ca="1" si="17"/>
        <v>90</v>
      </c>
      <c r="T83" s="25">
        <f t="shared" ca="1" si="17"/>
        <v>130</v>
      </c>
      <c r="U83" s="45">
        <f ca="1">T83+T87-T82</f>
        <v>100</v>
      </c>
    </row>
    <row r="84" spans="1:21" x14ac:dyDescent="0.3">
      <c r="A84" s="73" t="s">
        <v>44</v>
      </c>
      <c r="B84" s="87">
        <f ca="1">IF(B82=0,0,MAX(0,B82+'Datos de Entrada (1)'!$B$25-'LANZ PP'!B83))</f>
        <v>0</v>
      </c>
      <c r="C84" s="25">
        <f ca="1">IF(C82=0,0,MAX(0,C82+'Datos de Entrada (1)'!$B$25-'LANZ PP'!C83))</f>
        <v>0</v>
      </c>
      <c r="D84" s="25">
        <f ca="1">IF(D82=0,0,MAX(0,D82+'Datos de Entrada (1)'!$B$25-'LANZ PP'!D83))</f>
        <v>0</v>
      </c>
      <c r="E84" s="25">
        <f ca="1">IF(E82=0,0,MAX(0,E82+'Datos de Entrada (1)'!$B$25-'LANZ PP'!E83))</f>
        <v>0</v>
      </c>
      <c r="F84" s="25">
        <f ca="1">IF(F82=0,0,MAX(0,F82+'Datos de Entrada (1)'!$B$25-'LANZ PP'!F83))</f>
        <v>0</v>
      </c>
      <c r="G84" s="25">
        <f ca="1">IF(G82=0,0,MAX(0,G82+'Datos de Entrada (1)'!$B$25-'LANZ PP'!G83))</f>
        <v>0</v>
      </c>
      <c r="H84" s="25">
        <f ca="1">IF(H82=0,0,MAX(0,H82+'Datos de Entrada (1)'!$B$25-'LANZ PP'!H83))</f>
        <v>0</v>
      </c>
      <c r="I84" s="25">
        <f ca="1">IF(I82=0,0,MAX(0,I82+'Datos de Entrada (1)'!$B$25-'LANZ PP'!I83))</f>
        <v>0</v>
      </c>
      <c r="J84" s="25">
        <f ca="1">IF(J82=0,0,MAX(0,J82+'Datos de Entrada (1)'!$B$25-'LANZ PP'!J83))</f>
        <v>0</v>
      </c>
      <c r="K84" s="25">
        <f ca="1">IF(K82=0,0,MAX(0,K82+'Datos de Entrada (1)'!$B$25-'LANZ PP'!K83))</f>
        <v>0</v>
      </c>
      <c r="L84" s="25">
        <f ca="1">IF(L82=0,0,MAX(0,L82+'Datos de Entrada (1)'!$B$25-'LANZ PP'!L83))</f>
        <v>0</v>
      </c>
      <c r="M84" s="25">
        <f ca="1">IF(M82=0,0,MAX(0,M82+'Datos de Entrada (1)'!$B$25-'LANZ PP'!M83))</f>
        <v>0</v>
      </c>
      <c r="N84" s="25">
        <f ca="1">IF(N82=0,0,MAX(0,N82+'Datos de Entrada (1)'!$B$25-'LANZ PP'!N83))</f>
        <v>0</v>
      </c>
      <c r="O84" s="25">
        <f ca="1">IF(O82=0,0,MAX(0,O82+'Datos de Entrada (1)'!$B$25-'LANZ PP'!O83))</f>
        <v>0</v>
      </c>
      <c r="P84" s="25">
        <f ca="1">IF(P82=0,0,MAX(0,P82+'Datos de Entrada (1)'!$B$25-'LANZ PP'!P83))</f>
        <v>350</v>
      </c>
      <c r="Q84" s="25">
        <f ca="1">IF(Q82=0,0,MAX(0,Q82+'Datos de Entrada (1)'!$B$25-'LANZ PP'!Q83))</f>
        <v>725</v>
      </c>
      <c r="R84" s="25">
        <f ca="1">IF(R82=0,0,MAX(0,R82+'Datos de Entrada (1)'!$B$25-'LANZ PP'!R83))</f>
        <v>720</v>
      </c>
      <c r="S84" s="25">
        <f ca="1">IF(S82=0,0,MAX(0,S82+'Datos de Entrada (1)'!$B$25-'LANZ PP'!S83))</f>
        <v>1060</v>
      </c>
      <c r="T84" s="25">
        <f ca="1">IF(T82=0,0,MAX(0,T82+'Datos de Entrada (1)'!$B$25-'LANZ PP'!T83))</f>
        <v>140</v>
      </c>
      <c r="U84" s="45">
        <f ca="1">IF(U82=0,0,MAX(0,U82+'Datos de Entrada (1)'!$B$25-'LANZ PP'!U83))</f>
        <v>0</v>
      </c>
    </row>
    <row r="85" spans="1:21" x14ac:dyDescent="0.3">
      <c r="A85" s="73" t="s">
        <v>45</v>
      </c>
      <c r="B85" s="87">
        <f ca="1">ROUNDUP(B84/(1-('Datos de Entrada (1)'!$D$25/100)),0)</f>
        <v>0</v>
      </c>
      <c r="C85" s="25">
        <f ca="1">ROUNDUP(C84/(1-('Datos de Entrada (1)'!$D$25/100)),0)</f>
        <v>0</v>
      </c>
      <c r="D85" s="25">
        <f ca="1">ROUNDUP(D84/(1-('Datos de Entrada (1)'!$D$25/100)),0)</f>
        <v>0</v>
      </c>
      <c r="E85" s="25">
        <f ca="1">ROUNDUP(E84/(1-('Datos de Entrada (1)'!$D$25/100)),0)</f>
        <v>0</v>
      </c>
      <c r="F85" s="25">
        <f ca="1">ROUNDUP(F84/(1-('Datos de Entrada (1)'!$D$25/100)),0)</f>
        <v>0</v>
      </c>
      <c r="G85" s="25">
        <f ca="1">ROUNDUP(G84/(1-('Datos de Entrada (1)'!$D$25/100)),0)</f>
        <v>0</v>
      </c>
      <c r="H85" s="25">
        <f ca="1">ROUNDUP(H84/(1-('Datos de Entrada (1)'!$D$25/100)),0)</f>
        <v>0</v>
      </c>
      <c r="I85" s="25">
        <f ca="1">ROUNDUP(I84/(1-('Datos de Entrada (1)'!$D$25/100)),0)</f>
        <v>0</v>
      </c>
      <c r="J85" s="25">
        <f ca="1">ROUNDUP(J84/(1-('Datos de Entrada (1)'!$D$25/100)),0)</f>
        <v>0</v>
      </c>
      <c r="K85" s="25">
        <f ca="1">ROUNDUP(K84/(1-('Datos de Entrada (1)'!$D$25/100)),0)</f>
        <v>0</v>
      </c>
      <c r="L85" s="25">
        <f ca="1">ROUNDUP(L84/(1-('Datos de Entrada (1)'!$D$25/100)),0)</f>
        <v>0</v>
      </c>
      <c r="M85" s="25">
        <f ca="1">ROUNDUP(M84/(1-('Datos de Entrada (1)'!$D$25/100)),0)</f>
        <v>0</v>
      </c>
      <c r="N85" s="25">
        <f ca="1">ROUNDUP(N84/(1-('Datos de Entrada (1)'!$D$25/100)),0)</f>
        <v>0</v>
      </c>
      <c r="O85" s="25">
        <f ca="1">ROUNDUP(O84/(1-('Datos de Entrada (1)'!$D$25/100)),0)</f>
        <v>0</v>
      </c>
      <c r="P85" s="25">
        <f ca="1">ROUNDUP(P84/(1-('Datos de Entrada (1)'!$D$25/100)),0)</f>
        <v>369</v>
      </c>
      <c r="Q85" s="25">
        <f ca="1">ROUNDUP(Q84/(1-('Datos de Entrada (1)'!$D$25/100)),0)</f>
        <v>764</v>
      </c>
      <c r="R85" s="25">
        <f ca="1">ROUNDUP(R84/(1-('Datos de Entrada (1)'!$D$25/100)),0)</f>
        <v>758</v>
      </c>
      <c r="S85" s="25">
        <f ca="1">ROUNDUP(S84/(1-('Datos de Entrada (1)'!$D$25/100)),0)</f>
        <v>1116</v>
      </c>
      <c r="T85" s="25">
        <f ca="1">ROUNDUP(T84/(1-('Datos de Entrada (1)'!$D$25/100)),0)</f>
        <v>148</v>
      </c>
      <c r="U85" s="45">
        <f ca="1">ROUNDUP(U84/(1-('Datos de Entrada (1)'!$D$25/100)),0)</f>
        <v>0</v>
      </c>
    </row>
    <row r="86" spans="1:21" x14ac:dyDescent="0.3">
      <c r="A86" s="73" t="s">
        <v>46</v>
      </c>
      <c r="B86" s="87">
        <f ca="1">ROUNDUP(B85/'Datos de Entrada (1)'!$F$25,0)*'Datos de Entrada (1)'!$F$25</f>
        <v>0</v>
      </c>
      <c r="C86" s="25">
        <f ca="1">ROUNDUP(C85/'Datos de Entrada (1)'!$F$25,0)*'Datos de Entrada (1)'!$F$25</f>
        <v>0</v>
      </c>
      <c r="D86" s="25">
        <f ca="1">ROUNDUP(D85/'Datos de Entrada (1)'!$F$25,0)*'Datos de Entrada (1)'!$F$25</f>
        <v>0</v>
      </c>
      <c r="E86" s="25">
        <f ca="1">ROUNDUP(E85/'Datos de Entrada (1)'!$F$25,0)*'Datos de Entrada (1)'!$F$25</f>
        <v>0</v>
      </c>
      <c r="F86" s="25">
        <f ca="1">ROUNDUP(F85/'Datos de Entrada (1)'!$F$25,0)*'Datos de Entrada (1)'!$F$25</f>
        <v>0</v>
      </c>
      <c r="G86" s="25">
        <f ca="1">ROUNDUP(G85/'Datos de Entrada (1)'!$F$25,0)*'Datos de Entrada (1)'!$F$25</f>
        <v>0</v>
      </c>
      <c r="H86" s="25">
        <f ca="1">ROUNDUP(H85/'Datos de Entrada (1)'!$F$25,0)*'Datos de Entrada (1)'!$F$25</f>
        <v>0</v>
      </c>
      <c r="I86" s="25">
        <f ca="1">ROUNDUP(I85/'Datos de Entrada (1)'!$F$25,0)*'Datos de Entrada (1)'!$F$25</f>
        <v>0</v>
      </c>
      <c r="J86" s="25">
        <f ca="1">ROUNDUP(J85/'Datos de Entrada (1)'!$F$25,0)*'Datos de Entrada (1)'!$F$25</f>
        <v>0</v>
      </c>
      <c r="K86" s="25">
        <f ca="1">ROUNDUP(K85/'Datos de Entrada (1)'!$F$25,0)*'Datos de Entrada (1)'!$F$25</f>
        <v>0</v>
      </c>
      <c r="L86" s="25">
        <f ca="1">ROUNDUP(L85/'Datos de Entrada (1)'!$F$25,0)*'Datos de Entrada (1)'!$F$25</f>
        <v>0</v>
      </c>
      <c r="M86" s="25">
        <f ca="1">ROUNDUP(M85/'Datos de Entrada (1)'!$F$25,0)*'Datos de Entrada (1)'!$F$25</f>
        <v>0</v>
      </c>
      <c r="N86" s="25">
        <f ca="1">ROUNDUP(N85/'Datos de Entrada (1)'!$F$25,0)*'Datos de Entrada (1)'!$F$25</f>
        <v>0</v>
      </c>
      <c r="O86" s="25">
        <f ca="1">ROUNDUP(O85/'Datos de Entrada (1)'!$F$25,0)*'Datos de Entrada (1)'!$F$25</f>
        <v>0</v>
      </c>
      <c r="P86" s="25">
        <f ca="1">ROUNDUP(P85/'Datos de Entrada (1)'!$F$25,0)*'Datos de Entrada (1)'!$F$25</f>
        <v>400</v>
      </c>
      <c r="Q86" s="25">
        <f ca="1">ROUNDUP(Q85/'Datos de Entrada (1)'!$F$25,0)*'Datos de Entrada (1)'!$F$25</f>
        <v>800</v>
      </c>
      <c r="R86" s="25">
        <f ca="1">ROUNDUP(R85/'Datos de Entrada (1)'!$F$25,0)*'Datos de Entrada (1)'!$F$25</f>
        <v>800</v>
      </c>
      <c r="S86" s="25">
        <f ca="1">ROUNDUP(S85/'Datos de Entrada (1)'!$F$25,0)*'Datos de Entrada (1)'!$F$25</f>
        <v>1200</v>
      </c>
      <c r="T86" s="25">
        <f ca="1">ROUNDUP(T85/'Datos de Entrada (1)'!$F$25,0)*'Datos de Entrada (1)'!$F$25</f>
        <v>200</v>
      </c>
      <c r="U86" s="45">
        <f ca="1">ROUNDUP(U85/'Datos de Entrada (1)'!$F$25,0)*'Datos de Entrada (1)'!$F$25</f>
        <v>0</v>
      </c>
    </row>
    <row r="87" spans="1:21" x14ac:dyDescent="0.3">
      <c r="A87" s="73" t="s">
        <v>47</v>
      </c>
      <c r="B87" s="87">
        <f ca="1">ROUNDDOWN(B86*(1-('Datos de Entrada (1)'!$D$25/100)),0)</f>
        <v>0</v>
      </c>
      <c r="C87" s="25">
        <f ca="1">ROUNDDOWN(C86*(1-('Datos de Entrada (1)'!$D$25/100)),0)</f>
        <v>0</v>
      </c>
      <c r="D87" s="25">
        <f ca="1">ROUNDDOWN(D86*(1-('Datos de Entrada (1)'!$D$25/100)),0)</f>
        <v>0</v>
      </c>
      <c r="E87" s="25">
        <f ca="1">ROUNDDOWN(E86*(1-('Datos de Entrada (1)'!$D$25/100)),0)</f>
        <v>0</v>
      </c>
      <c r="F87" s="25">
        <f ca="1">ROUNDDOWN(F86*(1-('Datos de Entrada (1)'!$D$25/100)),0)</f>
        <v>0</v>
      </c>
      <c r="G87" s="25">
        <f ca="1">ROUNDDOWN(G86*(1-('Datos de Entrada (1)'!$D$25/100)),0)</f>
        <v>0</v>
      </c>
      <c r="H87" s="25">
        <f ca="1">ROUNDDOWN(H86*(1-('Datos de Entrada (1)'!$D$25/100)),0)</f>
        <v>0</v>
      </c>
      <c r="I87" s="25">
        <f ca="1">ROUNDDOWN(I86*(1-('Datos de Entrada (1)'!$D$25/100)),0)</f>
        <v>0</v>
      </c>
      <c r="J87" s="25">
        <f ca="1">ROUNDDOWN(J86*(1-('Datos de Entrada (1)'!$D$25/100)),0)</f>
        <v>0</v>
      </c>
      <c r="K87" s="25">
        <f ca="1">ROUNDDOWN(K86*(1-('Datos de Entrada (1)'!$D$25/100)),0)</f>
        <v>0</v>
      </c>
      <c r="L87" s="25">
        <f ca="1">ROUNDDOWN(L86*(1-('Datos de Entrada (1)'!$D$25/100)),0)</f>
        <v>0</v>
      </c>
      <c r="M87" s="25">
        <f ca="1">ROUNDDOWN(M86*(1-('Datos de Entrada (1)'!$D$25/100)),0)</f>
        <v>0</v>
      </c>
      <c r="N87" s="25">
        <f ca="1">ROUNDDOWN(N86*(1-('Datos de Entrada (1)'!$D$25/100)),0)</f>
        <v>0</v>
      </c>
      <c r="O87" s="25">
        <f ca="1">ROUNDDOWN(O86*(1-('Datos de Entrada (1)'!$D$25/100)),0)</f>
        <v>0</v>
      </c>
      <c r="P87" s="25">
        <f ca="1">ROUNDDOWN(P86*(1-('Datos de Entrada (1)'!$D$25/100)),0)</f>
        <v>380</v>
      </c>
      <c r="Q87" s="25">
        <f ca="1">ROUNDDOWN(Q86*(1-('Datos de Entrada (1)'!$D$25/100)),0)</f>
        <v>760</v>
      </c>
      <c r="R87" s="25">
        <f ca="1">ROUNDDOWN(R86*(1-('Datos de Entrada (1)'!$D$25/100)),0)</f>
        <v>760</v>
      </c>
      <c r="S87" s="25">
        <f ca="1">ROUNDDOWN(S86*(1-('Datos de Entrada (1)'!$D$25/100)),0)</f>
        <v>1140</v>
      </c>
      <c r="T87" s="25">
        <f ca="1">ROUNDDOWN(T86*(1-('Datos de Entrada (1)'!$D$25/100)),0)</f>
        <v>190</v>
      </c>
      <c r="U87" s="45">
        <f ca="1">ROUNDDOWN(U86*(1-('Datos de Entrada (1)'!$D$25/100)),0)</f>
        <v>0</v>
      </c>
    </row>
    <row r="88" spans="1:21" ht="15" thickBot="1" x14ac:dyDescent="0.35">
      <c r="A88" s="72" t="s">
        <v>48</v>
      </c>
      <c r="B88" s="88">
        <f ca="1">OFFSET(B86,0,'Datos de Entrada (1)'!$C$25)</f>
        <v>0</v>
      </c>
      <c r="C88" s="46">
        <f ca="1">OFFSET(C86,0,'Datos de Entrada (1)'!$C$25)</f>
        <v>0</v>
      </c>
      <c r="D88" s="46">
        <f ca="1">OFFSET(D86,0,'Datos de Entrada (1)'!$C$25)</f>
        <v>0</v>
      </c>
      <c r="E88" s="46">
        <f ca="1">OFFSET(E86,0,'Datos de Entrada (1)'!$C$25)</f>
        <v>0</v>
      </c>
      <c r="F88" s="46">
        <f ca="1">OFFSET(F86,0,'Datos de Entrada (1)'!$C$25)</f>
        <v>0</v>
      </c>
      <c r="G88" s="46">
        <f ca="1">OFFSET(G86,0,'Datos de Entrada (1)'!$C$25)</f>
        <v>0</v>
      </c>
      <c r="H88" s="46">
        <f ca="1">OFFSET(H86,0,'Datos de Entrada (1)'!$C$25)</f>
        <v>0</v>
      </c>
      <c r="I88" s="46">
        <f ca="1">OFFSET(I86,0,'Datos de Entrada (1)'!$C$25)</f>
        <v>0</v>
      </c>
      <c r="J88" s="46">
        <f ca="1">OFFSET(J86,0,'Datos de Entrada (1)'!$C$25)</f>
        <v>0</v>
      </c>
      <c r="K88" s="46">
        <f ca="1">OFFSET(K86,0,'Datos de Entrada (1)'!$C$25)</f>
        <v>0</v>
      </c>
      <c r="L88" s="46">
        <f ca="1">OFFSET(L86,0,'Datos de Entrada (1)'!$C$25)</f>
        <v>0</v>
      </c>
      <c r="M88" s="46">
        <f ca="1">OFFSET(M86,0,'Datos de Entrada (1)'!$C$25)</f>
        <v>0</v>
      </c>
      <c r="N88" s="46">
        <f ca="1">OFFSET(N86,0,'Datos de Entrada (1)'!$C$25)</f>
        <v>0</v>
      </c>
      <c r="O88" s="46">
        <f ca="1">OFFSET(O86,0,'Datos de Entrada (1)'!$C$25)</f>
        <v>400</v>
      </c>
      <c r="P88" s="46">
        <f ca="1">OFFSET(P86,0,'Datos de Entrada (1)'!$C$25)</f>
        <v>800</v>
      </c>
      <c r="Q88" s="46">
        <f ca="1">OFFSET(Q86,0,'Datos de Entrada (1)'!$C$25)</f>
        <v>800</v>
      </c>
      <c r="R88" s="46">
        <f ca="1">OFFSET(R86,0,'Datos de Entrada (1)'!$C$25)</f>
        <v>1200</v>
      </c>
      <c r="S88" s="46">
        <f ca="1">OFFSET(S86,0,'Datos de Entrada (1)'!$C$25)</f>
        <v>200</v>
      </c>
      <c r="T88" s="46">
        <f ca="1">OFFSET(T86,0,'Datos de Entrada (1)'!$C$25)</f>
        <v>0</v>
      </c>
      <c r="U88" s="47">
        <f ca="1">OFFSET(U86,0,'Datos de Entrada (1)'!$C$25)</f>
        <v>0</v>
      </c>
    </row>
    <row r="89" spans="1:21" ht="15" thickBot="1" x14ac:dyDescent="0.35"/>
    <row r="90" spans="1:21" ht="15" thickBot="1" x14ac:dyDescent="0.35">
      <c r="A90" s="79" t="s">
        <v>34</v>
      </c>
      <c r="B90" s="80">
        <v>1</v>
      </c>
      <c r="C90" s="81">
        <v>2</v>
      </c>
      <c r="D90" s="81">
        <v>3</v>
      </c>
      <c r="E90" s="81">
        <v>4</v>
      </c>
      <c r="F90" s="81">
        <v>5</v>
      </c>
      <c r="G90" s="81">
        <v>6</v>
      </c>
      <c r="H90" s="81">
        <v>7</v>
      </c>
      <c r="I90" s="81">
        <v>8</v>
      </c>
      <c r="J90" s="81">
        <v>9</v>
      </c>
      <c r="K90" s="81">
        <v>10</v>
      </c>
      <c r="L90" s="81">
        <v>11</v>
      </c>
      <c r="M90" s="81">
        <v>12</v>
      </c>
      <c r="N90" s="81">
        <v>13</v>
      </c>
      <c r="O90" s="81">
        <v>14</v>
      </c>
      <c r="P90" s="81">
        <v>15</v>
      </c>
      <c r="Q90" s="81">
        <v>16</v>
      </c>
      <c r="R90" s="81">
        <v>17</v>
      </c>
      <c r="S90" s="81">
        <v>18</v>
      </c>
      <c r="T90" s="81">
        <v>19</v>
      </c>
      <c r="U90" s="82">
        <v>20</v>
      </c>
    </row>
    <row r="91" spans="1:21" x14ac:dyDescent="0.3">
      <c r="A91" s="41" t="s">
        <v>42</v>
      </c>
      <c r="B91" s="89">
        <f ca="1">'Datos de Entrada (2)'!$H$8*'LANZ PP CAMBIOS'!B43+'Datos de Entrada (2)'!$I$21*'LANZ PP CAMBIOS'!B61+IFERROR(VLOOKUP($A$15,'Datos de Entrada (1)'!$A$7:$E$10,MATCH(B90,'Datos de Entrada (1)'!$A$6:$E$6,0),0),0)</f>
        <v>0</v>
      </c>
      <c r="C91" s="42">
        <f ca="1">'Datos de Entrada (2)'!$H$8*'LANZ PP CAMBIOS'!C43+'Datos de Entrada (2)'!$I$21*'LANZ PP CAMBIOS'!C61+IFERROR(VLOOKUP($A$15,'Datos de Entrada (1)'!$A$7:$E$10,MATCH(C90,'Datos de Entrada (1)'!$A$6:$E$6,0),0),0)</f>
        <v>0</v>
      </c>
      <c r="D91" s="42">
        <f ca="1">'Datos de Entrada (2)'!$H$8*'LANZ PP CAMBIOS'!D43+'Datos de Entrada (2)'!$I$21*'LANZ PP CAMBIOS'!D61+IFERROR(VLOOKUP($A$15,'Datos de Entrada (1)'!$A$7:$E$10,MATCH(D90,'Datos de Entrada (1)'!$A$6:$E$6,0),0),0)</f>
        <v>0</v>
      </c>
      <c r="E91" s="42">
        <f ca="1">'Datos de Entrada (2)'!$H$8*'LANZ PP CAMBIOS'!E43+'Datos de Entrada (2)'!$I$21*'LANZ PP CAMBIOS'!E61+IFERROR(VLOOKUP($A$15,'Datos de Entrada (1)'!$A$7:$E$10,MATCH(E90,'Datos de Entrada (1)'!$A$6:$E$6,0),0),0)</f>
        <v>0</v>
      </c>
      <c r="F91" s="42">
        <f ca="1">'Datos de Entrada (2)'!$H$8*'LANZ PP CAMBIOS'!F43+'Datos de Entrada (2)'!$I$21*'LANZ PP CAMBIOS'!F61+IFERROR(VLOOKUP($A$15,'Datos de Entrada (1)'!$A$7:$E$10,MATCH(F90,'Datos de Entrada (1)'!$A$6:$E$6,0),0),0)</f>
        <v>0</v>
      </c>
      <c r="G91" s="42">
        <f ca="1">'Datos de Entrada (2)'!$H$8*'LANZ PP CAMBIOS'!G43+'Datos de Entrada (2)'!$I$21*'LANZ PP CAMBIOS'!G61+IFERROR(VLOOKUP($A$15,'Datos de Entrada (1)'!$A$7:$E$10,MATCH(G90,'Datos de Entrada (1)'!$A$6:$E$6,0),0),0)</f>
        <v>0</v>
      </c>
      <c r="H91" s="42">
        <f ca="1">'Datos de Entrada (2)'!$H$8*'LANZ PP CAMBIOS'!H43+'Datos de Entrada (2)'!$I$21*'LANZ PP CAMBIOS'!H61+IFERROR(VLOOKUP($A$15,'Datos de Entrada (1)'!$A$7:$E$10,MATCH(H90,'Datos de Entrada (1)'!$A$6:$E$6,0),0),0)</f>
        <v>0</v>
      </c>
      <c r="I91" s="42">
        <f ca="1">'Datos de Entrada (2)'!$H$8*'LANZ PP CAMBIOS'!I43+'Datos de Entrada (2)'!$I$21*'LANZ PP CAMBIOS'!I61+IFERROR(VLOOKUP($A$15,'Datos de Entrada (1)'!$A$7:$E$10,MATCH(I90,'Datos de Entrada (1)'!$A$6:$E$6,0),0),0)</f>
        <v>0</v>
      </c>
      <c r="J91" s="42">
        <f ca="1">'Datos de Entrada (2)'!$H$8*'LANZ PP CAMBIOS'!J43+'Datos de Entrada (2)'!$I$21*'LANZ PP CAMBIOS'!J61+IFERROR(VLOOKUP($A$15,'Datos de Entrada (1)'!$A$7:$E$10,MATCH(J90,'Datos de Entrada (1)'!$A$6:$E$6,0),0),0)</f>
        <v>0</v>
      </c>
      <c r="K91" s="42">
        <f ca="1">'Datos de Entrada (2)'!$H$8*'LANZ PP CAMBIOS'!K43+'Datos de Entrada (2)'!$I$21*'LANZ PP CAMBIOS'!K61+IFERROR(VLOOKUP($A$15,'Datos de Entrada (1)'!$A$7:$E$10,MATCH(K90,'Datos de Entrada (1)'!$A$6:$E$6,0),0),0)</f>
        <v>0</v>
      </c>
      <c r="L91" s="42">
        <f ca="1">'Datos de Entrada (2)'!$H$8*'LANZ PP CAMBIOS'!L43+'Datos de Entrada (2)'!$I$21*'LANZ PP CAMBIOS'!L61+IFERROR(VLOOKUP($A$15,'Datos de Entrada (1)'!$A$7:$E$10,MATCH(L90,'Datos de Entrada (1)'!$A$6:$E$6,0),0),0)</f>
        <v>0</v>
      </c>
      <c r="M91" s="42">
        <f ca="1">'Datos de Entrada (2)'!$H$8*'LANZ PP CAMBIOS'!M43+'Datos de Entrada (2)'!$I$21*'LANZ PP CAMBIOS'!M61+IFERROR(VLOOKUP($A$15,'Datos de Entrada (1)'!$A$7:$E$10,MATCH(M90,'Datos de Entrada (1)'!$A$6:$E$6,0),0),0)</f>
        <v>0</v>
      </c>
      <c r="N91" s="42">
        <f ca="1">'Datos de Entrada (2)'!$H$8*'LANZ PP CAMBIOS'!N43+'Datos de Entrada (2)'!$I$21*'LANZ PP CAMBIOS'!N61+IFERROR(VLOOKUP($A$15,'Datos de Entrada (1)'!$A$7:$E$10,MATCH(N90,'Datos de Entrada (1)'!$A$6:$E$6,0),0),0)</f>
        <v>0</v>
      </c>
      <c r="O91" s="42">
        <f ca="1">'Datos de Entrada (2)'!$H$8*'LANZ PP CAMBIOS'!O43+'Datos de Entrada (2)'!$I$21*'LANZ PP CAMBIOS'!O61+IFERROR(VLOOKUP($A$15,'Datos de Entrada (1)'!$A$7:$E$10,MATCH(O90,'Datos de Entrada (1)'!$A$6:$E$6,0),0),0)</f>
        <v>200</v>
      </c>
      <c r="P91" s="42">
        <f ca="1">'Datos de Entrada (2)'!$H$8*'LANZ PP CAMBIOS'!P43+'Datos de Entrada (2)'!$I$21*'LANZ PP CAMBIOS'!P61+IFERROR(VLOOKUP($A$15,'Datos de Entrada (1)'!$A$7:$E$10,MATCH(P90,'Datos de Entrada (1)'!$A$6:$E$6,0),0),0)</f>
        <v>500</v>
      </c>
      <c r="Q91" s="42">
        <f ca="1">'Datos de Entrada (2)'!$H$8*'LANZ PP CAMBIOS'!Q43+'Datos de Entrada (2)'!$I$21*'LANZ PP CAMBIOS'!Q61+IFERROR(VLOOKUP($A$15,'Datos de Entrada (1)'!$A$7:$E$10,MATCH(Q90,'Datos de Entrada (1)'!$A$6:$E$6,0),0),0)</f>
        <v>650</v>
      </c>
      <c r="R91" s="42">
        <f ca="1">'Datos de Entrada (2)'!$H$8*'LANZ PP CAMBIOS'!R43+'Datos de Entrada (2)'!$I$21*'LANZ PP CAMBIOS'!R61+IFERROR(VLOOKUP($A$15,'Datos de Entrada (1)'!$A$7:$E$10,MATCH(R90,'Datos de Entrada (1)'!$A$6:$E$6,0),0),0)</f>
        <v>650</v>
      </c>
      <c r="S91" s="42">
        <f ca="1">'Datos de Entrada (2)'!$H$8*'LANZ PP CAMBIOS'!S43+'Datos de Entrada (2)'!$I$21*'LANZ PP CAMBIOS'!S61+IFERROR(VLOOKUP($A$15,'Datos de Entrada (1)'!$A$7:$E$10,MATCH(S90,'Datos de Entrada (1)'!$A$6:$E$6,0),0),0)</f>
        <v>600</v>
      </c>
      <c r="T91" s="42">
        <f ca="1">'Datos de Entrada (2)'!$H$8*'LANZ PP CAMBIOS'!T43+'Datos de Entrada (2)'!$I$21*'LANZ PP CAMBIOS'!T61+IFERROR(VLOOKUP($A$15,'Datos de Entrada (1)'!$A$7:$E$10,MATCH(T90,'Datos de Entrada (1)'!$A$6:$E$6,0),0),0)</f>
        <v>0</v>
      </c>
      <c r="U91" s="43">
        <f ca="1">'Datos de Entrada (2)'!$H$8*'LANZ PP CAMBIOS'!U43+'Datos de Entrada (2)'!$I$21*'LANZ PP CAMBIOS'!U61+IFERROR(VLOOKUP($A$15,'Datos de Entrada (1)'!$A$7:$E$10,MATCH(U90,'Datos de Entrada (1)'!$A$6:$E$6,0),0),0)</f>
        <v>0</v>
      </c>
    </row>
    <row r="92" spans="1:21" x14ac:dyDescent="0.3">
      <c r="A92" s="73" t="s">
        <v>43</v>
      </c>
      <c r="B92" s="44">
        <f>'Datos de Entrada (1)'!$E$26</f>
        <v>100</v>
      </c>
      <c r="C92" s="25">
        <f ca="1">B92+B96-B91</f>
        <v>100</v>
      </c>
      <c r="D92" s="25">
        <f t="shared" ref="D92:T92" ca="1" si="18">C92+C96-C91</f>
        <v>100</v>
      </c>
      <c r="E92" s="25">
        <f t="shared" ca="1" si="18"/>
        <v>100</v>
      </c>
      <c r="F92" s="25">
        <f t="shared" ca="1" si="18"/>
        <v>100</v>
      </c>
      <c r="G92" s="25">
        <f t="shared" ca="1" si="18"/>
        <v>100</v>
      </c>
      <c r="H92" s="25">
        <f t="shared" ca="1" si="18"/>
        <v>100</v>
      </c>
      <c r="I92" s="25">
        <f t="shared" ca="1" si="18"/>
        <v>100</v>
      </c>
      <c r="J92" s="25">
        <f t="shared" ca="1" si="18"/>
        <v>100</v>
      </c>
      <c r="K92" s="25">
        <f t="shared" ca="1" si="18"/>
        <v>100</v>
      </c>
      <c r="L92" s="25">
        <f t="shared" ca="1" si="18"/>
        <v>100</v>
      </c>
      <c r="M92" s="25">
        <f t="shared" ca="1" si="18"/>
        <v>100</v>
      </c>
      <c r="N92" s="25">
        <f t="shared" ca="1" si="18"/>
        <v>100</v>
      </c>
      <c r="O92" s="25">
        <f t="shared" ca="1" si="18"/>
        <v>100</v>
      </c>
      <c r="P92" s="25">
        <f t="shared" ca="1" si="18"/>
        <v>91</v>
      </c>
      <c r="Q92" s="25">
        <f t="shared" ca="1" si="18"/>
        <v>101</v>
      </c>
      <c r="R92" s="25">
        <f t="shared" ca="1" si="18"/>
        <v>88</v>
      </c>
      <c r="S92" s="25">
        <f t="shared" ca="1" si="18"/>
        <v>75</v>
      </c>
      <c r="T92" s="25">
        <f t="shared" ca="1" si="18"/>
        <v>112</v>
      </c>
      <c r="U92" s="45">
        <f ca="1">T92+T96-T91</f>
        <v>112</v>
      </c>
    </row>
    <row r="93" spans="1:21" x14ac:dyDescent="0.3">
      <c r="A93" s="73" t="s">
        <v>44</v>
      </c>
      <c r="B93" s="87">
        <f ca="1">IF(B91=0,0,MAX(0,B91+'Datos de Entrada (1)'!$B$26-'LANZ PP'!B92))</f>
        <v>0</v>
      </c>
      <c r="C93" s="25">
        <f ca="1">IF(C91=0,0,MAX(0,C91+'Datos de Entrada (1)'!$B$26-'LANZ PP'!C92))</f>
        <v>0</v>
      </c>
      <c r="D93" s="25">
        <f ca="1">IF(D91=0,0,MAX(0,D91+'Datos de Entrada (1)'!$B$26-'LANZ PP'!D92))</f>
        <v>0</v>
      </c>
      <c r="E93" s="25">
        <f ca="1">IF(E91=0,0,MAX(0,E91+'Datos de Entrada (1)'!$B$26-'LANZ PP'!E92))</f>
        <v>0</v>
      </c>
      <c r="F93" s="25">
        <f ca="1">IF(F91=0,0,MAX(0,F91+'Datos de Entrada (1)'!$B$26-'LANZ PP'!F92))</f>
        <v>0</v>
      </c>
      <c r="G93" s="25">
        <f ca="1">IF(G91=0,0,MAX(0,G91+'Datos de Entrada (1)'!$B$26-'LANZ PP'!G92))</f>
        <v>0</v>
      </c>
      <c r="H93" s="25">
        <f ca="1">IF(H91=0,0,MAX(0,H91+'Datos de Entrada (1)'!$B$26-'LANZ PP'!H92))</f>
        <v>0</v>
      </c>
      <c r="I93" s="25">
        <f ca="1">IF(I91=0,0,MAX(0,I91+'Datos de Entrada (1)'!$B$26-'LANZ PP'!I92))</f>
        <v>0</v>
      </c>
      <c r="J93" s="25">
        <f ca="1">IF(J91=0,0,MAX(0,J91+'Datos de Entrada (1)'!$B$26-'LANZ PP'!J92))</f>
        <v>0</v>
      </c>
      <c r="K93" s="25">
        <f ca="1">IF(K91=0,0,MAX(0,K91+'Datos de Entrada (1)'!$B$26-'LANZ PP'!K92))</f>
        <v>0</v>
      </c>
      <c r="L93" s="25">
        <f ca="1">IF(L91=0,0,MAX(0,L91+'Datos de Entrada (1)'!$B$26-'LANZ PP'!L92))</f>
        <v>0</v>
      </c>
      <c r="M93" s="25">
        <f ca="1">IF(M91=0,0,MAX(0,M91+'Datos de Entrada (1)'!$B$26-'LANZ PP'!M92))</f>
        <v>0</v>
      </c>
      <c r="N93" s="25">
        <f ca="1">IF(N91=0,0,MAX(0,N91+'Datos de Entrada (1)'!$B$26-'LANZ PP'!N92))</f>
        <v>0</v>
      </c>
      <c r="O93" s="25">
        <f ca="1">IF(O91=0,0,MAX(0,O91+'Datos de Entrada (1)'!$B$26-'LANZ PP'!O92))</f>
        <v>175</v>
      </c>
      <c r="P93" s="25">
        <f ca="1">IF(P91=0,0,MAX(0,P91+'Datos de Entrada (1)'!$B$26-'LANZ PP'!P92))</f>
        <v>484</v>
      </c>
      <c r="Q93" s="25">
        <f ca="1">IF(Q91=0,0,MAX(0,Q91+'Datos de Entrada (1)'!$B$26-'LANZ PP'!Q92))</f>
        <v>624</v>
      </c>
      <c r="R93" s="25">
        <f ca="1">IF(R91=0,0,MAX(0,R91+'Datos de Entrada (1)'!$B$26-'LANZ PP'!R92))</f>
        <v>637</v>
      </c>
      <c r="S93" s="25">
        <f ca="1">IF(S91=0,0,MAX(0,S91+'Datos de Entrada (1)'!$B$26-'LANZ PP'!S92))</f>
        <v>600</v>
      </c>
      <c r="T93" s="25">
        <f ca="1">IF(T91=0,0,MAX(0,T91+'Datos de Entrada (1)'!$B$26-'LANZ PP'!T92))</f>
        <v>0</v>
      </c>
      <c r="U93" s="45">
        <f ca="1">IF(U91=0,0,MAX(0,U91+'Datos de Entrada (1)'!$B$26-'LANZ PP'!U92))</f>
        <v>0</v>
      </c>
    </row>
    <row r="94" spans="1:21" x14ac:dyDescent="0.3">
      <c r="A94" s="73" t="s">
        <v>45</v>
      </c>
      <c r="B94" s="87">
        <f ca="1">ROUNDUP(B93/(1-('Datos de Entrada (1)'!$D$26/100)),0)</f>
        <v>0</v>
      </c>
      <c r="C94" s="25">
        <f ca="1">ROUNDUP(C93/(1-('Datos de Entrada (1)'!$D$26/100)),0)</f>
        <v>0</v>
      </c>
      <c r="D94" s="25">
        <f ca="1">ROUNDUP(D93/(1-('Datos de Entrada (1)'!$D$26/100)),0)</f>
        <v>0</v>
      </c>
      <c r="E94" s="25">
        <f ca="1">ROUNDUP(E93/(1-('Datos de Entrada (1)'!$D$26/100)),0)</f>
        <v>0</v>
      </c>
      <c r="F94" s="25">
        <f ca="1">ROUNDUP(F93/(1-('Datos de Entrada (1)'!$D$26/100)),0)</f>
        <v>0</v>
      </c>
      <c r="G94" s="25">
        <f ca="1">ROUNDUP(G93/(1-('Datos de Entrada (1)'!$D$26/100)),0)</f>
        <v>0</v>
      </c>
      <c r="H94" s="25">
        <f ca="1">ROUNDUP(H93/(1-('Datos de Entrada (1)'!$D$26/100)),0)</f>
        <v>0</v>
      </c>
      <c r="I94" s="25">
        <f ca="1">ROUNDUP(I93/(1-('Datos de Entrada (1)'!$D$26/100)),0)</f>
        <v>0</v>
      </c>
      <c r="J94" s="25">
        <f ca="1">ROUNDUP(J93/(1-('Datos de Entrada (1)'!$D$26/100)),0)</f>
        <v>0</v>
      </c>
      <c r="K94" s="25">
        <f ca="1">ROUNDUP(K93/(1-('Datos de Entrada (1)'!$D$26/100)),0)</f>
        <v>0</v>
      </c>
      <c r="L94" s="25">
        <f ca="1">ROUNDUP(L93/(1-('Datos de Entrada (1)'!$D$26/100)),0)</f>
        <v>0</v>
      </c>
      <c r="M94" s="25">
        <f ca="1">ROUNDUP(M93/(1-('Datos de Entrada (1)'!$D$26/100)),0)</f>
        <v>0</v>
      </c>
      <c r="N94" s="25">
        <f ca="1">ROUNDUP(N93/(1-('Datos de Entrada (1)'!$D$26/100)),0)</f>
        <v>0</v>
      </c>
      <c r="O94" s="25">
        <f ca="1">ROUNDUP(O93/(1-('Datos de Entrada (1)'!$D$26/100)),0)</f>
        <v>206</v>
      </c>
      <c r="P94" s="25">
        <f ca="1">ROUNDUP(P93/(1-('Datos de Entrada (1)'!$D$26/100)),0)</f>
        <v>570</v>
      </c>
      <c r="Q94" s="25">
        <f ca="1">ROUNDUP(Q93/(1-('Datos de Entrada (1)'!$D$26/100)),0)</f>
        <v>735</v>
      </c>
      <c r="R94" s="25">
        <f ca="1">ROUNDUP(R93/(1-('Datos de Entrada (1)'!$D$26/100)),0)</f>
        <v>750</v>
      </c>
      <c r="S94" s="25">
        <f ca="1">ROUNDUP(S93/(1-('Datos de Entrada (1)'!$D$26/100)),0)</f>
        <v>706</v>
      </c>
      <c r="T94" s="25">
        <f ca="1">ROUNDUP(T93/(1-('Datos de Entrada (1)'!$D$26/100)),0)</f>
        <v>0</v>
      </c>
      <c r="U94" s="45">
        <f ca="1">ROUNDUP(U93/(1-('Datos de Entrada (1)'!$D$26/100)),0)</f>
        <v>0</v>
      </c>
    </row>
    <row r="95" spans="1:21" x14ac:dyDescent="0.3">
      <c r="A95" s="73" t="s">
        <v>46</v>
      </c>
      <c r="B95" s="87">
        <f ca="1">ROUNDUP(B94/'Datos de Entrada (1)'!$F$26,0)*'Datos de Entrada (1)'!$F$26</f>
        <v>0</v>
      </c>
      <c r="C95" s="25">
        <f ca="1">ROUNDUP(C94/'Datos de Entrada (1)'!$F$26,0)*'Datos de Entrada (1)'!$F$26</f>
        <v>0</v>
      </c>
      <c r="D95" s="25">
        <f ca="1">ROUNDUP(D94/'Datos de Entrada (1)'!$F$26,0)*'Datos de Entrada (1)'!$F$26</f>
        <v>0</v>
      </c>
      <c r="E95" s="25">
        <f ca="1">ROUNDUP(E94/'Datos de Entrada (1)'!$F$26,0)*'Datos de Entrada (1)'!$F$26</f>
        <v>0</v>
      </c>
      <c r="F95" s="25">
        <f ca="1">ROUNDUP(F94/'Datos de Entrada (1)'!$F$26,0)*'Datos de Entrada (1)'!$F$26</f>
        <v>0</v>
      </c>
      <c r="G95" s="25">
        <f ca="1">ROUNDUP(G94/'Datos de Entrada (1)'!$F$26,0)*'Datos de Entrada (1)'!$F$26</f>
        <v>0</v>
      </c>
      <c r="H95" s="25">
        <f ca="1">ROUNDUP(H94/'Datos de Entrada (1)'!$F$26,0)*'Datos de Entrada (1)'!$F$26</f>
        <v>0</v>
      </c>
      <c r="I95" s="25">
        <f ca="1">ROUNDUP(I94/'Datos de Entrada (1)'!$F$26,0)*'Datos de Entrada (1)'!$F$26</f>
        <v>0</v>
      </c>
      <c r="J95" s="25">
        <f ca="1">ROUNDUP(J94/'Datos de Entrada (1)'!$F$26,0)*'Datos de Entrada (1)'!$F$26</f>
        <v>0</v>
      </c>
      <c r="K95" s="25">
        <f ca="1">ROUNDUP(K94/'Datos de Entrada (1)'!$F$26,0)*'Datos de Entrada (1)'!$F$26</f>
        <v>0</v>
      </c>
      <c r="L95" s="25">
        <f ca="1">ROUNDUP(L94/'Datos de Entrada (1)'!$F$26,0)*'Datos de Entrada (1)'!$F$26</f>
        <v>0</v>
      </c>
      <c r="M95" s="25">
        <f ca="1">ROUNDUP(M94/'Datos de Entrada (1)'!$F$26,0)*'Datos de Entrada (1)'!$F$26</f>
        <v>0</v>
      </c>
      <c r="N95" s="25">
        <f ca="1">ROUNDUP(N94/'Datos de Entrada (1)'!$F$26,0)*'Datos de Entrada (1)'!$F$26</f>
        <v>0</v>
      </c>
      <c r="O95" s="25">
        <f ca="1">ROUNDUP(O94/'Datos de Entrada (1)'!$F$26,0)*'Datos de Entrada (1)'!$F$26</f>
        <v>225</v>
      </c>
      <c r="P95" s="25">
        <f ca="1">ROUNDUP(P94/'Datos de Entrada (1)'!$F$26,0)*'Datos de Entrada (1)'!$F$26</f>
        <v>600</v>
      </c>
      <c r="Q95" s="25">
        <f ca="1">ROUNDUP(Q94/'Datos de Entrada (1)'!$F$26,0)*'Datos de Entrada (1)'!$F$26</f>
        <v>750</v>
      </c>
      <c r="R95" s="25">
        <f ca="1">ROUNDUP(R94/'Datos de Entrada (1)'!$F$26,0)*'Datos de Entrada (1)'!$F$26</f>
        <v>750</v>
      </c>
      <c r="S95" s="25">
        <f ca="1">ROUNDUP(S94/'Datos de Entrada (1)'!$F$26,0)*'Datos de Entrada (1)'!$F$26</f>
        <v>750</v>
      </c>
      <c r="T95" s="25">
        <f ca="1">ROUNDUP(T94/'Datos de Entrada (1)'!$F$26,0)*'Datos de Entrada (1)'!$F$26</f>
        <v>0</v>
      </c>
      <c r="U95" s="45">
        <f ca="1">ROUNDUP(U94/'Datos de Entrada (1)'!$F$26,0)*'Datos de Entrada (1)'!$F$26</f>
        <v>0</v>
      </c>
    </row>
    <row r="96" spans="1:21" x14ac:dyDescent="0.3">
      <c r="A96" s="73" t="s">
        <v>47</v>
      </c>
      <c r="B96" s="87">
        <f ca="1">ROUNDDOWN(B95*(1-('Datos de Entrada (1)'!$D$26/100)),0)</f>
        <v>0</v>
      </c>
      <c r="C96" s="25">
        <f ca="1">ROUNDDOWN(C95*(1-('Datos de Entrada (1)'!$D$26/100)),0)</f>
        <v>0</v>
      </c>
      <c r="D96" s="25">
        <f ca="1">ROUNDDOWN(D95*(1-('Datos de Entrada (1)'!$D$26/100)),0)</f>
        <v>0</v>
      </c>
      <c r="E96" s="25">
        <f ca="1">ROUNDDOWN(E95*(1-('Datos de Entrada (1)'!$D$26/100)),0)</f>
        <v>0</v>
      </c>
      <c r="F96" s="25">
        <f ca="1">ROUNDDOWN(F95*(1-('Datos de Entrada (1)'!$D$26/100)),0)</f>
        <v>0</v>
      </c>
      <c r="G96" s="25">
        <f ca="1">ROUNDDOWN(G95*(1-('Datos de Entrada (1)'!$D$26/100)),0)</f>
        <v>0</v>
      </c>
      <c r="H96" s="25">
        <f ca="1">ROUNDDOWN(H95*(1-('Datos de Entrada (1)'!$D$26/100)),0)</f>
        <v>0</v>
      </c>
      <c r="I96" s="25">
        <f ca="1">ROUNDDOWN(I95*(1-('Datos de Entrada (1)'!$D$26/100)),0)</f>
        <v>0</v>
      </c>
      <c r="J96" s="25">
        <f ca="1">ROUNDDOWN(J95*(1-('Datos de Entrada (1)'!$D$26/100)),0)</f>
        <v>0</v>
      </c>
      <c r="K96" s="25">
        <f ca="1">ROUNDDOWN(K95*(1-('Datos de Entrada (1)'!$D$26/100)),0)</f>
        <v>0</v>
      </c>
      <c r="L96" s="25">
        <f ca="1">ROUNDDOWN(L95*(1-('Datos de Entrada (1)'!$D$26/100)),0)</f>
        <v>0</v>
      </c>
      <c r="M96" s="25">
        <f ca="1">ROUNDDOWN(M95*(1-('Datos de Entrada (1)'!$D$26/100)),0)</f>
        <v>0</v>
      </c>
      <c r="N96" s="25">
        <f ca="1">ROUNDDOWN(N95*(1-('Datos de Entrada (1)'!$D$26/100)),0)</f>
        <v>0</v>
      </c>
      <c r="O96" s="25">
        <f ca="1">ROUNDDOWN(O95*(1-('Datos de Entrada (1)'!$D$26/100)),0)</f>
        <v>191</v>
      </c>
      <c r="P96" s="25">
        <f ca="1">ROUNDDOWN(P95*(1-('Datos de Entrada (1)'!$D$26/100)),0)</f>
        <v>510</v>
      </c>
      <c r="Q96" s="25">
        <f ca="1">ROUNDDOWN(Q95*(1-('Datos de Entrada (1)'!$D$26/100)),0)</f>
        <v>637</v>
      </c>
      <c r="R96" s="25">
        <f ca="1">ROUNDDOWN(R95*(1-('Datos de Entrada (1)'!$D$26/100)),0)</f>
        <v>637</v>
      </c>
      <c r="S96" s="25">
        <f ca="1">ROUNDDOWN(S95*(1-('Datos de Entrada (1)'!$D$26/100)),0)</f>
        <v>637</v>
      </c>
      <c r="T96" s="25">
        <f ca="1">ROUNDDOWN(T95*(1-('Datos de Entrada (1)'!$D$26/100)),0)</f>
        <v>0</v>
      </c>
      <c r="U96" s="45">
        <f ca="1">ROUNDDOWN(U95*(1-('Datos de Entrada (1)'!$D$26/100)),0)</f>
        <v>0</v>
      </c>
    </row>
    <row r="97" spans="1:21" ht="15" thickBot="1" x14ac:dyDescent="0.35">
      <c r="A97" s="72" t="s">
        <v>48</v>
      </c>
      <c r="B97" s="88">
        <f ca="1">OFFSET(B95,0,'Datos de Entrada (1)'!$C$26)</f>
        <v>0</v>
      </c>
      <c r="C97" s="46">
        <f ca="1">OFFSET(C95,0,'Datos de Entrada (1)'!$C$26)</f>
        <v>0</v>
      </c>
      <c r="D97" s="46">
        <f ca="1">OFFSET(D95,0,'Datos de Entrada (1)'!$C$26)</f>
        <v>0</v>
      </c>
      <c r="E97" s="46">
        <f ca="1">OFFSET(E95,0,'Datos de Entrada (1)'!$C$26)</f>
        <v>0</v>
      </c>
      <c r="F97" s="46">
        <f ca="1">OFFSET(F95,0,'Datos de Entrada (1)'!$C$26)</f>
        <v>0</v>
      </c>
      <c r="G97" s="46">
        <f ca="1">OFFSET(G95,0,'Datos de Entrada (1)'!$C$26)</f>
        <v>0</v>
      </c>
      <c r="H97" s="46">
        <f ca="1">OFFSET(H95,0,'Datos de Entrada (1)'!$C$26)</f>
        <v>0</v>
      </c>
      <c r="I97" s="46">
        <f ca="1">OFFSET(I95,0,'Datos de Entrada (1)'!$C$26)</f>
        <v>0</v>
      </c>
      <c r="J97" s="46">
        <f ca="1">OFFSET(J95,0,'Datos de Entrada (1)'!$C$26)</f>
        <v>0</v>
      </c>
      <c r="K97" s="46">
        <f ca="1">OFFSET(K95,0,'Datos de Entrada (1)'!$C$26)</f>
        <v>0</v>
      </c>
      <c r="L97" s="46">
        <f ca="1">OFFSET(L95,0,'Datos de Entrada (1)'!$C$26)</f>
        <v>0</v>
      </c>
      <c r="M97" s="46">
        <f ca="1">OFFSET(M95,0,'Datos de Entrada (1)'!$C$26)</f>
        <v>0</v>
      </c>
      <c r="N97" s="46">
        <f ca="1">OFFSET(N95,0,'Datos de Entrada (1)'!$C$26)</f>
        <v>225</v>
      </c>
      <c r="O97" s="46">
        <f ca="1">OFFSET(O95,0,'Datos de Entrada (1)'!$C$26)</f>
        <v>600</v>
      </c>
      <c r="P97" s="46">
        <f ca="1">OFFSET(P95,0,'Datos de Entrada (1)'!$C$26)</f>
        <v>750</v>
      </c>
      <c r="Q97" s="46">
        <f ca="1">OFFSET(Q95,0,'Datos de Entrada (1)'!$C$26)</f>
        <v>750</v>
      </c>
      <c r="R97" s="46">
        <f ca="1">OFFSET(R95,0,'Datos de Entrada (1)'!$C$26)</f>
        <v>750</v>
      </c>
      <c r="S97" s="46">
        <f ca="1">OFFSET(S95,0,'Datos de Entrada (1)'!$C$26)</f>
        <v>0</v>
      </c>
      <c r="T97" s="46">
        <f ca="1">OFFSET(T95,0,'Datos de Entrada (1)'!$C$26)</f>
        <v>0</v>
      </c>
      <c r="U97" s="47">
        <f ca="1">OFFSET(U95,0,'Datos de Entrada (1)'!$C$26)</f>
        <v>0</v>
      </c>
    </row>
    <row r="98" spans="1:21" ht="15" thickBot="1" x14ac:dyDescent="0.35"/>
    <row r="99" spans="1:21" ht="15" thickBot="1" x14ac:dyDescent="0.35">
      <c r="A99" s="83" t="s">
        <v>35</v>
      </c>
      <c r="B99" s="84">
        <v>1</v>
      </c>
      <c r="C99" s="85">
        <v>2</v>
      </c>
      <c r="D99" s="85">
        <v>3</v>
      </c>
      <c r="E99" s="85">
        <v>4</v>
      </c>
      <c r="F99" s="85">
        <v>5</v>
      </c>
      <c r="G99" s="85">
        <v>6</v>
      </c>
      <c r="H99" s="85">
        <v>7</v>
      </c>
      <c r="I99" s="85">
        <v>8</v>
      </c>
      <c r="J99" s="85">
        <v>9</v>
      </c>
      <c r="K99" s="85">
        <v>10</v>
      </c>
      <c r="L99" s="85">
        <v>11</v>
      </c>
      <c r="M99" s="85">
        <v>12</v>
      </c>
      <c r="N99" s="85">
        <v>13</v>
      </c>
      <c r="O99" s="85">
        <v>14</v>
      </c>
      <c r="P99" s="85">
        <v>15</v>
      </c>
      <c r="Q99" s="85">
        <v>16</v>
      </c>
      <c r="R99" s="85">
        <v>17</v>
      </c>
      <c r="S99" s="85">
        <v>18</v>
      </c>
      <c r="T99" s="85">
        <v>19</v>
      </c>
      <c r="U99" s="86">
        <v>20</v>
      </c>
    </row>
    <row r="100" spans="1:21" x14ac:dyDescent="0.3">
      <c r="A100" s="41" t="s">
        <v>42</v>
      </c>
      <c r="B100" s="89">
        <f ca="1">'Datos de Entrada (2)'!$D$24*'LANZ PP CAMBIOS'!B52+'Datos de Entrada (2)'!$I$24*'LANZ PP CAMBIOS'!B97++IFERROR(VLOOKUP($A$16,'Datos de Entrada (1)'!$A$7:$E$10,MATCH(B99,'Datos de Entrada (1)'!$A$6:$E$6,0),0),0)</f>
        <v>0</v>
      </c>
      <c r="C100" s="42">
        <f ca="1">'Datos de Entrada (2)'!$D$24*'LANZ PP CAMBIOS'!C52+'Datos de Entrada (2)'!$I$24*'LANZ PP CAMBIOS'!C97++IFERROR(VLOOKUP($A$16,'Datos de Entrada (1)'!$A$7:$E$10,MATCH(C99,'Datos de Entrada (1)'!$A$6:$E$6,0),0),0)</f>
        <v>0</v>
      </c>
      <c r="D100" s="42">
        <f ca="1">'Datos de Entrada (2)'!$D$24*'LANZ PP CAMBIOS'!D52+'Datos de Entrada (2)'!$I$24*'LANZ PP CAMBIOS'!D97++IFERROR(VLOOKUP($A$16,'Datos de Entrada (1)'!$A$7:$E$10,MATCH(D99,'Datos de Entrada (1)'!$A$6:$E$6,0),0),0)</f>
        <v>0</v>
      </c>
      <c r="E100" s="42">
        <f ca="1">'Datos de Entrada (2)'!$D$24*'LANZ PP CAMBIOS'!E52+'Datos de Entrada (2)'!$I$24*'LANZ PP CAMBIOS'!E97++IFERROR(VLOOKUP($A$16,'Datos de Entrada (1)'!$A$7:$E$10,MATCH(E99,'Datos de Entrada (1)'!$A$6:$E$6,0),0),0)</f>
        <v>0</v>
      </c>
      <c r="F100" s="42">
        <f ca="1">'Datos de Entrada (2)'!$D$24*'LANZ PP CAMBIOS'!F52+'Datos de Entrada (2)'!$I$24*'LANZ PP CAMBIOS'!F97++IFERROR(VLOOKUP($A$16,'Datos de Entrada (1)'!$A$7:$E$10,MATCH(F99,'Datos de Entrada (1)'!$A$6:$E$6,0),0),0)</f>
        <v>0</v>
      </c>
      <c r="G100" s="42">
        <f ca="1">'Datos de Entrada (2)'!$D$24*'LANZ PP CAMBIOS'!G52+'Datos de Entrada (2)'!$I$24*'LANZ PP CAMBIOS'!G97++IFERROR(VLOOKUP($A$16,'Datos de Entrada (1)'!$A$7:$E$10,MATCH(G99,'Datos de Entrada (1)'!$A$6:$E$6,0),0),0)</f>
        <v>0</v>
      </c>
      <c r="H100" s="42">
        <f ca="1">'Datos de Entrada (2)'!$D$24*'LANZ PP CAMBIOS'!H52+'Datos de Entrada (2)'!$I$24*'LANZ PP CAMBIOS'!H97++IFERROR(VLOOKUP($A$16,'Datos de Entrada (1)'!$A$7:$E$10,MATCH(H99,'Datos de Entrada (1)'!$A$6:$E$6,0),0),0)</f>
        <v>0</v>
      </c>
      <c r="I100" s="42">
        <f ca="1">'Datos de Entrada (2)'!$D$24*'LANZ PP CAMBIOS'!I52+'Datos de Entrada (2)'!$I$24*'LANZ PP CAMBIOS'!I97++IFERROR(VLOOKUP($A$16,'Datos de Entrada (1)'!$A$7:$E$10,MATCH(I99,'Datos de Entrada (1)'!$A$6:$E$6,0),0),0)</f>
        <v>0</v>
      </c>
      <c r="J100" s="42">
        <f ca="1">'Datos de Entrada (2)'!$D$24*'LANZ PP CAMBIOS'!J52+'Datos de Entrada (2)'!$I$24*'LANZ PP CAMBIOS'!J97++IFERROR(VLOOKUP($A$16,'Datos de Entrada (1)'!$A$7:$E$10,MATCH(J99,'Datos de Entrada (1)'!$A$6:$E$6,0),0),0)</f>
        <v>0</v>
      </c>
      <c r="K100" s="42">
        <f ca="1">'Datos de Entrada (2)'!$D$24*'LANZ PP CAMBIOS'!K52+'Datos de Entrada (2)'!$I$24*'LANZ PP CAMBIOS'!K97++IFERROR(VLOOKUP($A$16,'Datos de Entrada (1)'!$A$7:$E$10,MATCH(K99,'Datos de Entrada (1)'!$A$6:$E$6,0),0),0)</f>
        <v>0</v>
      </c>
      <c r="L100" s="42">
        <f ca="1">'Datos de Entrada (2)'!$D$24*'LANZ PP CAMBIOS'!L52+'Datos de Entrada (2)'!$I$24*'LANZ PP CAMBIOS'!L97++IFERROR(VLOOKUP($A$16,'Datos de Entrada (1)'!$A$7:$E$10,MATCH(L99,'Datos de Entrada (1)'!$A$6:$E$6,0),0),0)</f>
        <v>0</v>
      </c>
      <c r="M100" s="42">
        <f ca="1">'Datos de Entrada (2)'!$D$24*'LANZ PP CAMBIOS'!M52+'Datos de Entrada (2)'!$I$24*'LANZ PP CAMBIOS'!M97++IFERROR(VLOOKUP($A$16,'Datos de Entrada (1)'!$A$7:$E$10,MATCH(M99,'Datos de Entrada (1)'!$A$6:$E$6,0),0),0)</f>
        <v>0</v>
      </c>
      <c r="N100" s="42">
        <f ca="1">'Datos de Entrada (2)'!$D$24*'LANZ PP CAMBIOS'!N52+'Datos de Entrada (2)'!$I$24*'LANZ PP CAMBIOS'!N97++IFERROR(VLOOKUP($A$16,'Datos de Entrada (1)'!$A$7:$E$10,MATCH(N99,'Datos de Entrada (1)'!$A$6:$E$6,0),0),0)</f>
        <v>225</v>
      </c>
      <c r="O100" s="42">
        <f ca="1">'Datos de Entrada (2)'!$D$24*'LANZ PP CAMBIOS'!O52+'Datos de Entrada (2)'!$I$24*'LANZ PP CAMBIOS'!O97++IFERROR(VLOOKUP($A$16,'Datos de Entrada (1)'!$A$7:$E$10,MATCH(O99,'Datos de Entrada (1)'!$A$6:$E$6,0),0),0)</f>
        <v>1400</v>
      </c>
      <c r="P100" s="42">
        <f ca="1">'Datos de Entrada (2)'!$D$24*'LANZ PP CAMBIOS'!P52+'Datos de Entrada (2)'!$I$24*'LANZ PP CAMBIOS'!P97++IFERROR(VLOOKUP($A$16,'Datos de Entrada (1)'!$A$7:$E$10,MATCH(P99,'Datos de Entrada (1)'!$A$6:$E$6,0),0),0)</f>
        <v>1650</v>
      </c>
      <c r="Q100" s="42">
        <f ca="1">'Datos de Entrada (2)'!$D$24*'LANZ PP CAMBIOS'!Q52+'Datos de Entrada (2)'!$I$24*'LANZ PP CAMBIOS'!Q97++IFERROR(VLOOKUP($A$16,'Datos de Entrada (1)'!$A$7:$E$10,MATCH(Q99,'Datos de Entrada (1)'!$A$6:$E$6,0),0),0)</f>
        <v>1550</v>
      </c>
      <c r="R100" s="42">
        <f ca="1">'Datos de Entrada (2)'!$D$24*'LANZ PP CAMBIOS'!R52+'Datos de Entrada (2)'!$I$24*'LANZ PP CAMBIOS'!R97++IFERROR(VLOOKUP($A$16,'Datos de Entrada (1)'!$A$7:$E$10,MATCH(R99,'Datos de Entrada (1)'!$A$6:$E$6,0),0),0)</f>
        <v>1900</v>
      </c>
      <c r="S100" s="42">
        <f ca="1">'Datos de Entrada (2)'!$D$24*'LANZ PP CAMBIOS'!S52+'Datos de Entrada (2)'!$I$24*'LANZ PP CAMBIOS'!S97++IFERROR(VLOOKUP($A$16,'Datos de Entrada (1)'!$A$7:$E$10,MATCH(S99,'Datos de Entrada (1)'!$A$6:$E$6,0),0),0)</f>
        <v>25</v>
      </c>
      <c r="T100" s="42">
        <f ca="1">'Datos de Entrada (2)'!$D$24*'LANZ PP CAMBIOS'!T52+'Datos de Entrada (2)'!$I$24*'LANZ PP CAMBIOS'!T97++IFERROR(VLOOKUP($A$16,'Datos de Entrada (1)'!$A$7:$E$10,MATCH(T99,'Datos de Entrada (1)'!$A$6:$E$6,0),0),0)</f>
        <v>100</v>
      </c>
      <c r="U100" s="43">
        <f ca="1">'Datos de Entrada (2)'!$D$24*'LANZ PP CAMBIOS'!U52+'Datos de Entrada (2)'!$I$24*'LANZ PP CAMBIOS'!U97++IFERROR(VLOOKUP($A$16,'Datos de Entrada (1)'!$A$7:$E$10,MATCH(U99,'Datos de Entrada (1)'!$A$6:$E$6,0),0),0)</f>
        <v>10</v>
      </c>
    </row>
    <row r="101" spans="1:21" x14ac:dyDescent="0.3">
      <c r="A101" s="73" t="s">
        <v>43</v>
      </c>
      <c r="B101" s="44">
        <f>'Datos de Entrada (1)'!$E$27</f>
        <v>10</v>
      </c>
      <c r="C101" s="25">
        <f ca="1">B101+B105-B100</f>
        <v>10</v>
      </c>
      <c r="D101" s="25">
        <f t="shared" ref="D101:T101" ca="1" si="19">C101+C105-C100</f>
        <v>10</v>
      </c>
      <c r="E101" s="25">
        <f t="shared" ca="1" si="19"/>
        <v>10</v>
      </c>
      <c r="F101" s="25">
        <f t="shared" ca="1" si="19"/>
        <v>10</v>
      </c>
      <c r="G101" s="25">
        <f t="shared" ca="1" si="19"/>
        <v>10</v>
      </c>
      <c r="H101" s="25">
        <f t="shared" ca="1" si="19"/>
        <v>10</v>
      </c>
      <c r="I101" s="25">
        <f t="shared" ca="1" si="19"/>
        <v>10</v>
      </c>
      <c r="J101" s="25">
        <f t="shared" ca="1" si="19"/>
        <v>10</v>
      </c>
      <c r="K101" s="25">
        <f t="shared" ca="1" si="19"/>
        <v>10</v>
      </c>
      <c r="L101" s="25">
        <f t="shared" ca="1" si="19"/>
        <v>10</v>
      </c>
      <c r="M101" s="25">
        <f t="shared" ca="1" si="19"/>
        <v>10</v>
      </c>
      <c r="N101" s="25">
        <f t="shared" ca="1" si="19"/>
        <v>10</v>
      </c>
      <c r="O101" s="25">
        <f t="shared" ca="1" si="19"/>
        <v>55</v>
      </c>
      <c r="P101" s="25">
        <f t="shared" ca="1" si="19"/>
        <v>51</v>
      </c>
      <c r="Q101" s="25">
        <f t="shared" ca="1" si="19"/>
        <v>54</v>
      </c>
      <c r="R101" s="25">
        <f t="shared" ca="1" si="19"/>
        <v>57</v>
      </c>
      <c r="S101" s="25">
        <f t="shared" ca="1" si="19"/>
        <v>52</v>
      </c>
      <c r="T101" s="25">
        <f t="shared" ca="1" si="19"/>
        <v>55</v>
      </c>
      <c r="U101" s="45">
        <f ca="1">T101+T105-T100</f>
        <v>54</v>
      </c>
    </row>
    <row r="102" spans="1:21" x14ac:dyDescent="0.3">
      <c r="A102" s="73" t="s">
        <v>44</v>
      </c>
      <c r="B102" s="87">
        <f ca="1">IF(B100=0,0,MAX(0,B100+'Datos de Entrada (1)'!$B$27-'LANZ PP'!B101))</f>
        <v>0</v>
      </c>
      <c r="C102" s="25">
        <f ca="1">IF(C100=0,0,MAX(0,C100+'Datos de Entrada (1)'!$B$27-'LANZ PP'!C101))</f>
        <v>0</v>
      </c>
      <c r="D102" s="25">
        <f ca="1">IF(D100=0,0,MAX(0,D100+'Datos de Entrada (1)'!$B$27-'LANZ PP'!D101))</f>
        <v>0</v>
      </c>
      <c r="E102" s="25">
        <f ca="1">IF(E100=0,0,MAX(0,E100+'Datos de Entrada (1)'!$B$27-'LANZ PP'!E101))</f>
        <v>0</v>
      </c>
      <c r="F102" s="25">
        <f ca="1">IF(F100=0,0,MAX(0,F100+'Datos de Entrada (1)'!$B$27-'LANZ PP'!F101))</f>
        <v>0</v>
      </c>
      <c r="G102" s="25">
        <f ca="1">IF(G100=0,0,MAX(0,G100+'Datos de Entrada (1)'!$B$27-'LANZ PP'!G101))</f>
        <v>0</v>
      </c>
      <c r="H102" s="25">
        <f ca="1">IF(H100=0,0,MAX(0,H100+'Datos de Entrada (1)'!$B$27-'LANZ PP'!H101))</f>
        <v>0</v>
      </c>
      <c r="I102" s="25">
        <f ca="1">IF(I100=0,0,MAX(0,I100+'Datos de Entrada (1)'!$B$27-'LANZ PP'!I101))</f>
        <v>0</v>
      </c>
      <c r="J102" s="25">
        <f ca="1">IF(J100=0,0,MAX(0,J100+'Datos de Entrada (1)'!$B$27-'LANZ PP'!J101))</f>
        <v>0</v>
      </c>
      <c r="K102" s="25">
        <f ca="1">IF(K100=0,0,MAX(0,K100+'Datos de Entrada (1)'!$B$27-'LANZ PP'!K101))</f>
        <v>0</v>
      </c>
      <c r="L102" s="25">
        <f ca="1">IF(L100=0,0,MAX(0,L100+'Datos de Entrada (1)'!$B$27-'LANZ PP'!L101))</f>
        <v>0</v>
      </c>
      <c r="M102" s="25">
        <f ca="1">IF(M100=0,0,MAX(0,M100+'Datos de Entrada (1)'!$B$27-'LANZ PP'!M101))</f>
        <v>0</v>
      </c>
      <c r="N102" s="25">
        <f ca="1">IF(N100=0,0,MAX(0,N100+'Datos de Entrada (1)'!$B$27-'LANZ PP'!N101))</f>
        <v>265</v>
      </c>
      <c r="O102" s="25">
        <f ca="1">IF(O100=0,0,MAX(0,O100+'Datos de Entrada (1)'!$B$27-'LANZ PP'!O101))</f>
        <v>1395</v>
      </c>
      <c r="P102" s="25">
        <f ca="1">IF(P100=0,0,MAX(0,P100+'Datos de Entrada (1)'!$B$27-'LANZ PP'!P101))</f>
        <v>1649</v>
      </c>
      <c r="Q102" s="25">
        <f ca="1">IF(Q100=0,0,MAX(0,Q100+'Datos de Entrada (1)'!$B$27-'LANZ PP'!Q101))</f>
        <v>1546</v>
      </c>
      <c r="R102" s="25">
        <f ca="1">IF(R100=0,0,MAX(0,R100+'Datos de Entrada (1)'!$B$27-'LANZ PP'!R101))</f>
        <v>1893</v>
      </c>
      <c r="S102" s="25">
        <f ca="1">IF(S100=0,0,MAX(0,S100+'Datos de Entrada (1)'!$B$27-'LANZ PP'!S101))</f>
        <v>23</v>
      </c>
      <c r="T102" s="25">
        <f ca="1">IF(T100=0,0,MAX(0,T100+'Datos de Entrada (1)'!$B$27-'LANZ PP'!T101))</f>
        <v>95</v>
      </c>
      <c r="U102" s="45">
        <f ca="1">IF(U100=0,0,MAX(0,U100+'Datos de Entrada (1)'!$B$27-'LANZ PP'!U101))</f>
        <v>6</v>
      </c>
    </row>
    <row r="103" spans="1:21" x14ac:dyDescent="0.3">
      <c r="A103" s="73" t="s">
        <v>45</v>
      </c>
      <c r="B103" s="87">
        <f ca="1">ROUNDUP(B102/(1-('Datos de Entrada (1)'!$D$27/100)),0)</f>
        <v>0</v>
      </c>
      <c r="C103" s="25">
        <f ca="1">ROUNDUP(C102/(1-('Datos de Entrada (1)'!$D$27/100)),0)</f>
        <v>0</v>
      </c>
      <c r="D103" s="25">
        <f ca="1">ROUNDUP(D102/(1-('Datos de Entrada (1)'!$D$27/100)),0)</f>
        <v>0</v>
      </c>
      <c r="E103" s="25">
        <f ca="1">ROUNDUP(E102/(1-('Datos de Entrada (1)'!$D$27/100)),0)</f>
        <v>0</v>
      </c>
      <c r="F103" s="25">
        <f ca="1">ROUNDUP(F102/(1-('Datos de Entrada (1)'!$D$27/100)),0)</f>
        <v>0</v>
      </c>
      <c r="G103" s="25">
        <f ca="1">ROUNDUP(G102/(1-('Datos de Entrada (1)'!$D$27/100)),0)</f>
        <v>0</v>
      </c>
      <c r="H103" s="25">
        <f ca="1">ROUNDUP(H102/(1-('Datos de Entrada (1)'!$D$27/100)),0)</f>
        <v>0</v>
      </c>
      <c r="I103" s="25">
        <f ca="1">ROUNDUP(I102/(1-('Datos de Entrada (1)'!$D$27/100)),0)</f>
        <v>0</v>
      </c>
      <c r="J103" s="25">
        <f ca="1">ROUNDUP(J102/(1-('Datos de Entrada (1)'!$D$27/100)),0)</f>
        <v>0</v>
      </c>
      <c r="K103" s="25">
        <f ca="1">ROUNDUP(K102/(1-('Datos de Entrada (1)'!$D$27/100)),0)</f>
        <v>0</v>
      </c>
      <c r="L103" s="25">
        <f ca="1">ROUNDUP(L102/(1-('Datos de Entrada (1)'!$D$27/100)),0)</f>
        <v>0</v>
      </c>
      <c r="M103" s="25">
        <f ca="1">ROUNDUP(M102/(1-('Datos de Entrada (1)'!$D$27/100)),0)</f>
        <v>0</v>
      </c>
      <c r="N103" s="25">
        <f ca="1">ROUNDUP(N102/(1-('Datos de Entrada (1)'!$D$27/100)),0)</f>
        <v>279</v>
      </c>
      <c r="O103" s="25">
        <f ca="1">ROUNDUP(O102/(1-('Datos de Entrada (1)'!$D$27/100)),0)</f>
        <v>1469</v>
      </c>
      <c r="P103" s="25">
        <f ca="1">ROUNDUP(P102/(1-('Datos de Entrada (1)'!$D$27/100)),0)</f>
        <v>1736</v>
      </c>
      <c r="Q103" s="25">
        <f ca="1">ROUNDUP(Q102/(1-('Datos de Entrada (1)'!$D$27/100)),0)</f>
        <v>1628</v>
      </c>
      <c r="R103" s="25">
        <f ca="1">ROUNDUP(R102/(1-('Datos de Entrada (1)'!$D$27/100)),0)</f>
        <v>1993</v>
      </c>
      <c r="S103" s="25">
        <f ca="1">ROUNDUP(S102/(1-('Datos de Entrada (1)'!$D$27/100)),0)</f>
        <v>25</v>
      </c>
      <c r="T103" s="25">
        <f ca="1">ROUNDUP(T102/(1-('Datos de Entrada (1)'!$D$27/100)),0)</f>
        <v>100</v>
      </c>
      <c r="U103" s="45">
        <f ca="1">ROUNDUP(U102/(1-('Datos de Entrada (1)'!$D$27/100)),0)</f>
        <v>7</v>
      </c>
    </row>
    <row r="104" spans="1:21" x14ac:dyDescent="0.3">
      <c r="A104" s="73" t="s">
        <v>46</v>
      </c>
      <c r="B104" s="87">
        <f ca="1">ROUNDUP(B103/'Datos de Entrada (1)'!$F$27,0)*'Datos de Entrada (1)'!$F$27</f>
        <v>0</v>
      </c>
      <c r="C104" s="25">
        <f ca="1">ROUNDUP(C103/'Datos de Entrada (1)'!$F$27,0)*'Datos de Entrada (1)'!$F$27</f>
        <v>0</v>
      </c>
      <c r="D104" s="25">
        <f ca="1">ROUNDUP(D103/'Datos de Entrada (1)'!$F$27,0)*'Datos de Entrada (1)'!$F$27</f>
        <v>0</v>
      </c>
      <c r="E104" s="25">
        <f ca="1">ROUNDUP(E103/'Datos de Entrada (1)'!$F$27,0)*'Datos de Entrada (1)'!$F$27</f>
        <v>0</v>
      </c>
      <c r="F104" s="25">
        <f ca="1">ROUNDUP(F103/'Datos de Entrada (1)'!$F$27,0)*'Datos de Entrada (1)'!$F$27</f>
        <v>0</v>
      </c>
      <c r="G104" s="25">
        <f ca="1">ROUNDUP(G103/'Datos de Entrada (1)'!$F$27,0)*'Datos de Entrada (1)'!$F$27</f>
        <v>0</v>
      </c>
      <c r="H104" s="25">
        <f ca="1">ROUNDUP(H103/'Datos de Entrada (1)'!$F$27,0)*'Datos de Entrada (1)'!$F$27</f>
        <v>0</v>
      </c>
      <c r="I104" s="25">
        <f ca="1">ROUNDUP(I103/'Datos de Entrada (1)'!$F$27,0)*'Datos de Entrada (1)'!$F$27</f>
        <v>0</v>
      </c>
      <c r="J104" s="25">
        <f ca="1">ROUNDUP(J103/'Datos de Entrada (1)'!$F$27,0)*'Datos de Entrada (1)'!$F$27</f>
        <v>0</v>
      </c>
      <c r="K104" s="25">
        <f ca="1">ROUNDUP(K103/'Datos de Entrada (1)'!$F$27,0)*'Datos de Entrada (1)'!$F$27</f>
        <v>0</v>
      </c>
      <c r="L104" s="25">
        <f ca="1">ROUNDUP(L103/'Datos de Entrada (1)'!$F$27,0)*'Datos de Entrada (1)'!$F$27</f>
        <v>0</v>
      </c>
      <c r="M104" s="25">
        <f ca="1">ROUNDUP(M103/'Datos de Entrada (1)'!$F$27,0)*'Datos de Entrada (1)'!$F$27</f>
        <v>0</v>
      </c>
      <c r="N104" s="25">
        <f ca="1">ROUNDUP(N103/'Datos de Entrada (1)'!$F$27,0)*'Datos de Entrada (1)'!$F$27</f>
        <v>285</v>
      </c>
      <c r="O104" s="25">
        <f ca="1">ROUNDUP(O103/'Datos de Entrada (1)'!$F$27,0)*'Datos de Entrada (1)'!$F$27</f>
        <v>1470</v>
      </c>
      <c r="P104" s="25">
        <f ca="1">ROUNDUP(P103/'Datos de Entrada (1)'!$F$27,0)*'Datos de Entrada (1)'!$F$27</f>
        <v>1740</v>
      </c>
      <c r="Q104" s="25">
        <f ca="1">ROUNDUP(Q103/'Datos de Entrada (1)'!$F$27,0)*'Datos de Entrada (1)'!$F$27</f>
        <v>1635</v>
      </c>
      <c r="R104" s="25">
        <f ca="1">ROUNDUP(R103/'Datos de Entrada (1)'!$F$27,0)*'Datos de Entrada (1)'!$F$27</f>
        <v>1995</v>
      </c>
      <c r="S104" s="25">
        <f ca="1">ROUNDUP(S103/'Datos de Entrada (1)'!$F$27,0)*'Datos de Entrada (1)'!$F$27</f>
        <v>30</v>
      </c>
      <c r="T104" s="25">
        <f ca="1">ROUNDUP(T103/'Datos de Entrada (1)'!$F$27,0)*'Datos de Entrada (1)'!$F$27</f>
        <v>105</v>
      </c>
      <c r="U104" s="45">
        <f ca="1">ROUNDUP(U103/'Datos de Entrada (1)'!$F$27,0)*'Datos de Entrada (1)'!$F$27</f>
        <v>15</v>
      </c>
    </row>
    <row r="105" spans="1:21" x14ac:dyDescent="0.3">
      <c r="A105" s="73" t="s">
        <v>47</v>
      </c>
      <c r="B105" s="87">
        <f ca="1">ROUNDDOWN(B104*(1-('Datos de Entrada (1)'!$D$27/100)),0)</f>
        <v>0</v>
      </c>
      <c r="C105" s="25">
        <f ca="1">ROUNDDOWN(C104*(1-('Datos de Entrada (1)'!$D$27/100)),0)</f>
        <v>0</v>
      </c>
      <c r="D105" s="25">
        <f ca="1">ROUNDDOWN(D104*(1-('Datos de Entrada (1)'!$D$27/100)),0)</f>
        <v>0</v>
      </c>
      <c r="E105" s="25">
        <f ca="1">ROUNDDOWN(E104*(1-('Datos de Entrada (1)'!$D$27/100)),0)</f>
        <v>0</v>
      </c>
      <c r="F105" s="25">
        <f ca="1">ROUNDDOWN(F104*(1-('Datos de Entrada (1)'!$D$27/100)),0)</f>
        <v>0</v>
      </c>
      <c r="G105" s="25">
        <f ca="1">ROUNDDOWN(G104*(1-('Datos de Entrada (1)'!$D$27/100)),0)</f>
        <v>0</v>
      </c>
      <c r="H105" s="25">
        <f ca="1">ROUNDDOWN(H104*(1-('Datos de Entrada (1)'!$D$27/100)),0)</f>
        <v>0</v>
      </c>
      <c r="I105" s="25">
        <f ca="1">ROUNDDOWN(I104*(1-('Datos de Entrada (1)'!$D$27/100)),0)</f>
        <v>0</v>
      </c>
      <c r="J105" s="25">
        <f ca="1">ROUNDDOWN(J104*(1-('Datos de Entrada (1)'!$D$27/100)),0)</f>
        <v>0</v>
      </c>
      <c r="K105" s="25">
        <f ca="1">ROUNDDOWN(K104*(1-('Datos de Entrada (1)'!$D$27/100)),0)</f>
        <v>0</v>
      </c>
      <c r="L105" s="25">
        <f ca="1">ROUNDDOWN(L104*(1-('Datos de Entrada (1)'!$D$27/100)),0)</f>
        <v>0</v>
      </c>
      <c r="M105" s="25">
        <f ca="1">ROUNDDOWN(M104*(1-('Datos de Entrada (1)'!$D$27/100)),0)</f>
        <v>0</v>
      </c>
      <c r="N105" s="25">
        <f ca="1">ROUNDDOWN(N104*(1-('Datos de Entrada (1)'!$D$27/100)),0)</f>
        <v>270</v>
      </c>
      <c r="O105" s="25">
        <f ca="1">ROUNDDOWN(O104*(1-('Datos de Entrada (1)'!$D$27/100)),0)</f>
        <v>1396</v>
      </c>
      <c r="P105" s="25">
        <f ca="1">ROUNDDOWN(P104*(1-('Datos de Entrada (1)'!$D$27/100)),0)</f>
        <v>1653</v>
      </c>
      <c r="Q105" s="25">
        <f ca="1">ROUNDDOWN(Q104*(1-('Datos de Entrada (1)'!$D$27/100)),0)</f>
        <v>1553</v>
      </c>
      <c r="R105" s="25">
        <f ca="1">ROUNDDOWN(R104*(1-('Datos de Entrada (1)'!$D$27/100)),0)</f>
        <v>1895</v>
      </c>
      <c r="S105" s="25">
        <f ca="1">ROUNDDOWN(S104*(1-('Datos de Entrada (1)'!$D$27/100)),0)</f>
        <v>28</v>
      </c>
      <c r="T105" s="25">
        <f ca="1">ROUNDDOWN(T104*(1-('Datos de Entrada (1)'!$D$27/100)),0)</f>
        <v>99</v>
      </c>
      <c r="U105" s="45">
        <f ca="1">ROUNDDOWN(U104*(1-('Datos de Entrada (1)'!$D$27/100)),0)</f>
        <v>14</v>
      </c>
    </row>
    <row r="106" spans="1:21" ht="15" thickBot="1" x14ac:dyDescent="0.35">
      <c r="A106" s="72" t="s">
        <v>48</v>
      </c>
      <c r="B106" s="88">
        <f ca="1">OFFSET(B104,0,'Datos de Entrada (1)'!$C$27)</f>
        <v>0</v>
      </c>
      <c r="C106" s="46">
        <f ca="1">OFFSET(C104,0,'Datos de Entrada (1)'!$C$27)</f>
        <v>0</v>
      </c>
      <c r="D106" s="46">
        <f ca="1">OFFSET(D104,0,'Datos de Entrada (1)'!$C$27)</f>
        <v>0</v>
      </c>
      <c r="E106" s="46">
        <f ca="1">OFFSET(E104,0,'Datos de Entrada (1)'!$C$27)</f>
        <v>0</v>
      </c>
      <c r="F106" s="46">
        <f ca="1">OFFSET(F104,0,'Datos de Entrada (1)'!$C$27)</f>
        <v>0</v>
      </c>
      <c r="G106" s="46">
        <f ca="1">OFFSET(G104,0,'Datos de Entrada (1)'!$C$27)</f>
        <v>0</v>
      </c>
      <c r="H106" s="46">
        <f ca="1">OFFSET(H104,0,'Datos de Entrada (1)'!$C$27)</f>
        <v>0</v>
      </c>
      <c r="I106" s="46">
        <f ca="1">OFFSET(I104,0,'Datos de Entrada (1)'!$C$27)</f>
        <v>0</v>
      </c>
      <c r="J106" s="46">
        <f ca="1">OFFSET(J104,0,'Datos de Entrada (1)'!$C$27)</f>
        <v>0</v>
      </c>
      <c r="K106" s="46">
        <f ca="1">OFFSET(K104,0,'Datos de Entrada (1)'!$C$27)</f>
        <v>0</v>
      </c>
      <c r="L106" s="46">
        <f ca="1">OFFSET(L104,0,'Datos de Entrada (1)'!$C$27)</f>
        <v>285</v>
      </c>
      <c r="M106" s="46">
        <f ca="1">OFFSET(M104,0,'Datos de Entrada (1)'!$C$27)</f>
        <v>1470</v>
      </c>
      <c r="N106" s="46">
        <f ca="1">OFFSET(N104,0,'Datos de Entrada (1)'!$C$27)</f>
        <v>1740</v>
      </c>
      <c r="O106" s="46">
        <f ca="1">OFFSET(O104,0,'Datos de Entrada (1)'!$C$27)</f>
        <v>1635</v>
      </c>
      <c r="P106" s="46">
        <f ca="1">OFFSET(P104,0,'Datos de Entrada (1)'!$C$27)</f>
        <v>1995</v>
      </c>
      <c r="Q106" s="46">
        <f ca="1">OFFSET(Q104,0,'Datos de Entrada (1)'!$C$27)</f>
        <v>30</v>
      </c>
      <c r="R106" s="46">
        <f ca="1">OFFSET(R104,0,'Datos de Entrada (1)'!$C$27)</f>
        <v>105</v>
      </c>
      <c r="S106" s="46">
        <f ca="1">OFFSET(S104,0,'Datos de Entrada (1)'!$C$27)</f>
        <v>15</v>
      </c>
      <c r="T106" s="46">
        <f ca="1">OFFSET(T104,0,'Datos de Entrada (1)'!$C$27)</f>
        <v>0</v>
      </c>
      <c r="U106" s="47">
        <f ca="1">OFFSET(U104,0,'Datos de Entrada (1)'!$C$27)</f>
        <v>0</v>
      </c>
    </row>
  </sheetData>
  <mergeCells count="4">
    <mergeCell ref="A1:N1"/>
    <mergeCell ref="A2:N2"/>
    <mergeCell ref="R5:U5"/>
    <mergeCell ref="C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de Entrada (1)</vt:lpstr>
      <vt:lpstr>Datos de Entrada (2)</vt:lpstr>
      <vt:lpstr>LANZ PP</vt:lpstr>
      <vt:lpstr>LANZ PP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2025-10-17T15:58:16Z</dcterms:modified>
</cp:coreProperties>
</file>