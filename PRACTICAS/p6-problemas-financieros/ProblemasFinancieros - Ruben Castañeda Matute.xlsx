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asat\Downloads\"/>
    </mc:Choice>
  </mc:AlternateContent>
  <xr:revisionPtr revIDLastSave="0" documentId="13_ncr:1_{6411EF85-FABC-4A80-81A9-F1965C4DE7C4}" xr6:coauthVersionLast="47" xr6:coauthVersionMax="47" xr10:uidLastSave="{00000000-0000-0000-0000-000000000000}"/>
  <bookViews>
    <workbookView xWindow="-108" yWindow="-108" windowWidth="23256" windowHeight="12456" activeTab="6" xr2:uid="{FE00EF9A-C8D0-447D-AF97-ECCBA9EF1E7F}"/>
  </bookViews>
  <sheets>
    <sheet name="P1" sheetId="1" r:id="rId1"/>
    <sheet name="P2" sheetId="6" r:id="rId2"/>
    <sheet name="P3" sheetId="2" r:id="rId3"/>
    <sheet name="P4" sheetId="3" r:id="rId4"/>
    <sheet name="P5" sheetId="4" r:id="rId5"/>
    <sheet name="P6" sheetId="7" r:id="rId6"/>
    <sheet name="P7"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2" l="1"/>
  <c r="U75" i="5" l="1"/>
  <c r="U73" i="5"/>
  <c r="P75" i="5"/>
  <c r="P73" i="5"/>
  <c r="U64" i="5"/>
  <c r="U62" i="5"/>
  <c r="P60" i="5"/>
  <c r="P54" i="5"/>
  <c r="P52" i="5"/>
  <c r="P46" i="5"/>
  <c r="P44" i="5"/>
  <c r="P42" i="5"/>
  <c r="U297" i="5"/>
  <c r="U299" i="5"/>
  <c r="U301" i="5" s="1"/>
  <c r="U295" i="5"/>
  <c r="Q297" i="5"/>
  <c r="S297" i="5" s="1"/>
  <c r="U293" i="5"/>
  <c r="S299" i="5"/>
  <c r="S301" i="5"/>
  <c r="S295" i="5"/>
  <c r="S293" i="5"/>
  <c r="Q299" i="5"/>
  <c r="Q301" i="5"/>
  <c r="Q295" i="5"/>
  <c r="Q293" i="5"/>
  <c r="O295" i="5"/>
  <c r="O297" i="5"/>
  <c r="O299" i="5"/>
  <c r="O301" i="5"/>
  <c r="O303" i="5"/>
  <c r="O305" i="5"/>
  <c r="O307" i="5"/>
  <c r="O309" i="5"/>
  <c r="O311" i="5"/>
  <c r="O313" i="5"/>
  <c r="O315" i="5"/>
  <c r="O317" i="5"/>
  <c r="O319" i="5"/>
  <c r="O321" i="5"/>
  <c r="O323" i="5"/>
  <c r="O325" i="5"/>
  <c r="O327" i="5"/>
  <c r="O329" i="5"/>
  <c r="O331" i="5"/>
  <c r="O333" i="5"/>
  <c r="O335" i="5"/>
  <c r="O337" i="5"/>
  <c r="O339" i="5"/>
  <c r="O341" i="5"/>
  <c r="O343" i="5"/>
  <c r="O345" i="5"/>
  <c r="O347" i="5"/>
  <c r="O349" i="5"/>
  <c r="O351" i="5"/>
  <c r="O353" i="5"/>
  <c r="O355" i="5"/>
  <c r="O357" i="5"/>
  <c r="O359" i="5"/>
  <c r="O361" i="5"/>
  <c r="O363" i="5"/>
  <c r="O365" i="5"/>
  <c r="O367" i="5"/>
  <c r="O369" i="5"/>
  <c r="O371" i="5"/>
  <c r="O373" i="5"/>
  <c r="O375" i="5"/>
  <c r="O377" i="5"/>
  <c r="O379" i="5"/>
  <c r="O381" i="5"/>
  <c r="O383" i="5"/>
  <c r="O385" i="5"/>
  <c r="O387" i="5"/>
  <c r="O389" i="5"/>
  <c r="O391" i="5"/>
  <c r="O393" i="5"/>
  <c r="O395" i="5"/>
  <c r="O397" i="5"/>
  <c r="O399" i="5"/>
  <c r="O401" i="5"/>
  <c r="O403" i="5"/>
  <c r="O405" i="5"/>
  <c r="O407" i="5"/>
  <c r="O409" i="5"/>
  <c r="O411" i="5"/>
  <c r="O413" i="5"/>
  <c r="O415" i="5"/>
  <c r="O417" i="5"/>
  <c r="O419" i="5"/>
  <c r="O421" i="5"/>
  <c r="O423" i="5"/>
  <c r="O425" i="5"/>
  <c r="O427" i="5"/>
  <c r="O429" i="5"/>
  <c r="O431" i="5"/>
  <c r="O433" i="5"/>
  <c r="O435" i="5"/>
  <c r="O437" i="5"/>
  <c r="O439" i="5"/>
  <c r="O441" i="5"/>
  <c r="O443" i="5"/>
  <c r="O445" i="5"/>
  <c r="O447" i="5"/>
  <c r="O449" i="5"/>
  <c r="O451" i="5"/>
  <c r="O453" i="5"/>
  <c r="O455" i="5"/>
  <c r="O457" i="5"/>
  <c r="O459" i="5"/>
  <c r="O461" i="5"/>
  <c r="O463" i="5"/>
  <c r="O465" i="5"/>
  <c r="O467" i="5"/>
  <c r="O469" i="5"/>
  <c r="O471" i="5"/>
  <c r="O473" i="5"/>
  <c r="O475" i="5"/>
  <c r="O477" i="5"/>
  <c r="O479" i="5"/>
  <c r="O481" i="5"/>
  <c r="O483" i="5"/>
  <c r="O485" i="5"/>
  <c r="O487" i="5"/>
  <c r="O489" i="5"/>
  <c r="O491" i="5"/>
  <c r="O493" i="5"/>
  <c r="O495" i="5"/>
  <c r="O497" i="5"/>
  <c r="O499" i="5"/>
  <c r="O501" i="5"/>
  <c r="O503" i="5"/>
  <c r="O505" i="5"/>
  <c r="O507" i="5"/>
  <c r="O509" i="5"/>
  <c r="O511" i="5"/>
  <c r="O513" i="5"/>
  <c r="O515" i="5"/>
  <c r="O517" i="5"/>
  <c r="O519" i="5"/>
  <c r="O521" i="5"/>
  <c r="O523" i="5"/>
  <c r="O525" i="5"/>
  <c r="O527" i="5"/>
  <c r="O529" i="5"/>
  <c r="O531" i="5"/>
  <c r="O533" i="5"/>
  <c r="O535" i="5"/>
  <c r="O537" i="5"/>
  <c r="O539" i="5"/>
  <c r="O541" i="5"/>
  <c r="O543" i="5"/>
  <c r="O545" i="5"/>
  <c r="O547" i="5"/>
  <c r="O549" i="5"/>
  <c r="O551" i="5"/>
  <c r="O553" i="5"/>
  <c r="O555" i="5"/>
  <c r="O557" i="5"/>
  <c r="O559" i="5"/>
  <c r="O561" i="5"/>
  <c r="O563" i="5"/>
  <c r="O565" i="5"/>
  <c r="O567" i="5"/>
  <c r="O569" i="5"/>
  <c r="O571" i="5"/>
  <c r="O573" i="5"/>
  <c r="O575" i="5"/>
  <c r="O577" i="5"/>
  <c r="O579" i="5"/>
  <c r="O581" i="5"/>
  <c r="O583" i="5"/>
  <c r="O585" i="5"/>
  <c r="O587" i="5"/>
  <c r="O589" i="5"/>
  <c r="O591" i="5"/>
  <c r="O593" i="5"/>
  <c r="O595" i="5"/>
  <c r="O597" i="5"/>
  <c r="O599" i="5"/>
  <c r="O601" i="5"/>
  <c r="O603" i="5"/>
  <c r="O605" i="5"/>
  <c r="O607" i="5"/>
  <c r="O609" i="5"/>
  <c r="O611" i="5"/>
  <c r="O613" i="5"/>
  <c r="O615" i="5"/>
  <c r="O617" i="5"/>
  <c r="O619" i="5"/>
  <c r="O621" i="5"/>
  <c r="O623" i="5"/>
  <c r="O625" i="5"/>
  <c r="O627" i="5"/>
  <c r="O629" i="5"/>
  <c r="O631" i="5"/>
  <c r="O633" i="5"/>
  <c r="O635" i="5"/>
  <c r="O637" i="5"/>
  <c r="O639" i="5"/>
  <c r="O641" i="5"/>
  <c r="O643" i="5"/>
  <c r="O645" i="5"/>
  <c r="O647" i="5"/>
  <c r="O649" i="5"/>
  <c r="O651" i="5"/>
  <c r="O293" i="5"/>
  <c r="D297" i="5"/>
  <c r="D299" i="5"/>
  <c r="D301" i="5"/>
  <c r="D303" i="5"/>
  <c r="D305" i="5"/>
  <c r="D307" i="5"/>
  <c r="D309" i="5"/>
  <c r="D311" i="5"/>
  <c r="D313" i="5"/>
  <c r="D315" i="5"/>
  <c r="D317" i="5"/>
  <c r="D319" i="5"/>
  <c r="D321" i="5"/>
  <c r="D323" i="5"/>
  <c r="D325" i="5"/>
  <c r="D327" i="5"/>
  <c r="D329" i="5"/>
  <c r="D331" i="5"/>
  <c r="D333" i="5"/>
  <c r="D335" i="5"/>
  <c r="D337" i="5"/>
  <c r="D339" i="5"/>
  <c r="D341" i="5"/>
  <c r="D343" i="5"/>
  <c r="D345" i="5"/>
  <c r="D347" i="5"/>
  <c r="D349" i="5"/>
  <c r="D351" i="5"/>
  <c r="D353" i="5"/>
  <c r="D355" i="5"/>
  <c r="D357" i="5"/>
  <c r="D359" i="5"/>
  <c r="D361" i="5"/>
  <c r="D363" i="5"/>
  <c r="D365" i="5"/>
  <c r="D367" i="5"/>
  <c r="D369" i="5"/>
  <c r="D371" i="5"/>
  <c r="D373" i="5"/>
  <c r="D375" i="5"/>
  <c r="D377" i="5"/>
  <c r="D379" i="5"/>
  <c r="D381" i="5"/>
  <c r="D383" i="5"/>
  <c r="D385" i="5"/>
  <c r="D387" i="5"/>
  <c r="D389" i="5"/>
  <c r="D391" i="5"/>
  <c r="D393" i="5"/>
  <c r="D395" i="5"/>
  <c r="D397" i="5"/>
  <c r="D399" i="5"/>
  <c r="D401" i="5"/>
  <c r="D403" i="5"/>
  <c r="D405" i="5"/>
  <c r="D407" i="5"/>
  <c r="D409" i="5"/>
  <c r="D411" i="5"/>
  <c r="D413" i="5"/>
  <c r="D415" i="5"/>
  <c r="D417" i="5"/>
  <c r="D419" i="5"/>
  <c r="D421" i="5"/>
  <c r="D423" i="5"/>
  <c r="D425" i="5"/>
  <c r="D427" i="5"/>
  <c r="D429" i="5"/>
  <c r="D431" i="5"/>
  <c r="D433" i="5"/>
  <c r="D435" i="5"/>
  <c r="D437" i="5"/>
  <c r="D439" i="5"/>
  <c r="D441" i="5"/>
  <c r="D443" i="5"/>
  <c r="D445" i="5"/>
  <c r="D447" i="5"/>
  <c r="D449" i="5"/>
  <c r="D451" i="5"/>
  <c r="D453" i="5"/>
  <c r="D455" i="5"/>
  <c r="D457" i="5"/>
  <c r="D459" i="5"/>
  <c r="D461" i="5"/>
  <c r="D463" i="5"/>
  <c r="D465" i="5"/>
  <c r="D467" i="5"/>
  <c r="D469" i="5"/>
  <c r="D471" i="5"/>
  <c r="D473" i="5"/>
  <c r="D475" i="5"/>
  <c r="D477" i="5"/>
  <c r="D479" i="5"/>
  <c r="D481" i="5"/>
  <c r="D483" i="5"/>
  <c r="D485" i="5"/>
  <c r="D487" i="5"/>
  <c r="D489" i="5"/>
  <c r="D491" i="5"/>
  <c r="D493" i="5"/>
  <c r="D495" i="5"/>
  <c r="D497" i="5"/>
  <c r="D499" i="5"/>
  <c r="D501" i="5"/>
  <c r="D503" i="5"/>
  <c r="D505" i="5"/>
  <c r="D507" i="5"/>
  <c r="D509" i="5"/>
  <c r="D511" i="5"/>
  <c r="D513" i="5"/>
  <c r="D515" i="5"/>
  <c r="D517" i="5"/>
  <c r="D519" i="5"/>
  <c r="D521" i="5"/>
  <c r="D523" i="5"/>
  <c r="D525" i="5"/>
  <c r="D527" i="5"/>
  <c r="D529" i="5"/>
  <c r="D531" i="5"/>
  <c r="D533" i="5"/>
  <c r="D535" i="5"/>
  <c r="D537" i="5"/>
  <c r="D539" i="5"/>
  <c r="D541" i="5"/>
  <c r="D543" i="5"/>
  <c r="D545" i="5"/>
  <c r="D547" i="5"/>
  <c r="D549" i="5"/>
  <c r="D551" i="5"/>
  <c r="D553" i="5"/>
  <c r="D555" i="5"/>
  <c r="D557" i="5"/>
  <c r="D559" i="5"/>
  <c r="D561" i="5"/>
  <c r="D563" i="5"/>
  <c r="D565" i="5"/>
  <c r="D567" i="5"/>
  <c r="D569" i="5"/>
  <c r="D571" i="5"/>
  <c r="D573" i="5"/>
  <c r="D575" i="5"/>
  <c r="D577" i="5"/>
  <c r="D579" i="5"/>
  <c r="D581" i="5"/>
  <c r="D583" i="5"/>
  <c r="D585" i="5"/>
  <c r="D587" i="5"/>
  <c r="D589" i="5"/>
  <c r="D591" i="5"/>
  <c r="D593" i="5"/>
  <c r="D595" i="5"/>
  <c r="D597" i="5"/>
  <c r="D599" i="5"/>
  <c r="D601" i="5"/>
  <c r="D603" i="5"/>
  <c r="D605" i="5"/>
  <c r="D607" i="5"/>
  <c r="D609" i="5"/>
  <c r="D611" i="5"/>
  <c r="D613" i="5"/>
  <c r="D615" i="5"/>
  <c r="D617" i="5"/>
  <c r="D619" i="5"/>
  <c r="D621" i="5"/>
  <c r="D623" i="5"/>
  <c r="D625" i="5"/>
  <c r="D627" i="5"/>
  <c r="D629" i="5"/>
  <c r="D631" i="5"/>
  <c r="D633" i="5"/>
  <c r="D635" i="5"/>
  <c r="D637" i="5"/>
  <c r="D639" i="5"/>
  <c r="D641" i="5"/>
  <c r="D643" i="5"/>
  <c r="D645" i="5"/>
  <c r="D647" i="5"/>
  <c r="D649" i="5"/>
  <c r="D651" i="5"/>
  <c r="D295" i="5"/>
  <c r="D293" i="5"/>
  <c r="F293" i="5"/>
  <c r="H293" i="5"/>
  <c r="J293" i="5" s="1"/>
  <c r="F295" i="5" s="1"/>
  <c r="H295" i="5" s="1"/>
  <c r="S18" i="5"/>
  <c r="S26" i="5"/>
  <c r="S23" i="5"/>
  <c r="S16" i="5"/>
  <c r="F44" i="5"/>
  <c r="J42" i="5"/>
  <c r="P36" i="5"/>
  <c r="J36" i="5"/>
  <c r="N18" i="5"/>
  <c r="I22" i="5"/>
  <c r="I18" i="5"/>
  <c r="S20" i="5" s="1"/>
  <c r="P53" i="7"/>
  <c r="P51" i="7"/>
  <c r="P43" i="7"/>
  <c r="P45" i="7"/>
  <c r="P37" i="7"/>
  <c r="P35" i="7"/>
  <c r="P33" i="7"/>
  <c r="P27" i="7"/>
  <c r="J27" i="7"/>
  <c r="J87" i="7"/>
  <c r="J85" i="7"/>
  <c r="D87" i="7"/>
  <c r="D89" i="7"/>
  <c r="D91" i="7"/>
  <c r="D93" i="7"/>
  <c r="D95" i="7"/>
  <c r="D97" i="7"/>
  <c r="D99" i="7"/>
  <c r="D101" i="7"/>
  <c r="D103" i="7"/>
  <c r="D105" i="7"/>
  <c r="D107" i="7"/>
  <c r="D109" i="7"/>
  <c r="D111" i="7"/>
  <c r="D113" i="7"/>
  <c r="D115" i="7"/>
  <c r="D117" i="7"/>
  <c r="D119" i="7"/>
  <c r="D121" i="7"/>
  <c r="D123" i="7"/>
  <c r="D125" i="7"/>
  <c r="D127" i="7"/>
  <c r="D129" i="7"/>
  <c r="D131" i="7"/>
  <c r="D133" i="7"/>
  <c r="D135" i="7"/>
  <c r="D137" i="7"/>
  <c r="D139" i="7"/>
  <c r="D141" i="7"/>
  <c r="D143" i="7"/>
  <c r="D145" i="7"/>
  <c r="D147" i="7"/>
  <c r="D149" i="7"/>
  <c r="D151" i="7"/>
  <c r="D153" i="7"/>
  <c r="D155" i="7"/>
  <c r="D157" i="7"/>
  <c r="D159" i="7"/>
  <c r="D161" i="7"/>
  <c r="D163" i="7"/>
  <c r="D165" i="7"/>
  <c r="D167" i="7"/>
  <c r="D169" i="7"/>
  <c r="D171" i="7"/>
  <c r="D173" i="7"/>
  <c r="D175" i="7"/>
  <c r="D177" i="7"/>
  <c r="D179" i="7"/>
  <c r="D181" i="7"/>
  <c r="D183" i="7"/>
  <c r="D185" i="7"/>
  <c r="D187" i="7"/>
  <c r="D189" i="7"/>
  <c r="D191" i="7"/>
  <c r="D193" i="7"/>
  <c r="D195" i="7"/>
  <c r="D197" i="7"/>
  <c r="D199" i="7"/>
  <c r="D201" i="7"/>
  <c r="D203" i="7"/>
  <c r="D205" i="7"/>
  <c r="D207" i="7"/>
  <c r="D209" i="7"/>
  <c r="D211" i="7"/>
  <c r="D213" i="7"/>
  <c r="D215" i="7"/>
  <c r="D217" i="7"/>
  <c r="D219" i="7"/>
  <c r="D221" i="7"/>
  <c r="D223" i="7"/>
  <c r="D225" i="7"/>
  <c r="D227" i="7"/>
  <c r="D229" i="7"/>
  <c r="D231" i="7"/>
  <c r="D233" i="7"/>
  <c r="D235" i="7"/>
  <c r="D237" i="7"/>
  <c r="D239" i="7"/>
  <c r="D241" i="7"/>
  <c r="D243" i="7"/>
  <c r="D245" i="7"/>
  <c r="D247" i="7"/>
  <c r="D249" i="7"/>
  <c r="D251" i="7"/>
  <c r="D253" i="7"/>
  <c r="D255" i="7"/>
  <c r="D257" i="7"/>
  <c r="D259" i="7"/>
  <c r="D261" i="7"/>
  <c r="D263" i="7"/>
  <c r="D265" i="7"/>
  <c r="D267" i="7"/>
  <c r="D269" i="7"/>
  <c r="D271" i="7"/>
  <c r="D273" i="7"/>
  <c r="D275" i="7"/>
  <c r="D277" i="7"/>
  <c r="D279" i="7"/>
  <c r="D281" i="7"/>
  <c r="D283" i="7"/>
  <c r="D285" i="7"/>
  <c r="D287" i="7"/>
  <c r="D289" i="7"/>
  <c r="D291" i="7"/>
  <c r="D293" i="7"/>
  <c r="D295" i="7"/>
  <c r="D297" i="7"/>
  <c r="D299" i="7"/>
  <c r="D301" i="7"/>
  <c r="D303" i="7"/>
  <c r="D305" i="7"/>
  <c r="D307" i="7"/>
  <c r="D309" i="7"/>
  <c r="D311" i="7"/>
  <c r="D313" i="7"/>
  <c r="D315" i="7"/>
  <c r="D317" i="7"/>
  <c r="D319" i="7"/>
  <c r="D321" i="7"/>
  <c r="D323" i="7"/>
  <c r="D325" i="7"/>
  <c r="D327" i="7"/>
  <c r="D329" i="7"/>
  <c r="D331" i="7"/>
  <c r="D333" i="7"/>
  <c r="D335" i="7"/>
  <c r="D337" i="7"/>
  <c r="D339" i="7"/>
  <c r="D341" i="7"/>
  <c r="D343" i="7"/>
  <c r="D345" i="7"/>
  <c r="D347" i="7"/>
  <c r="D349" i="7"/>
  <c r="D351" i="7"/>
  <c r="D353" i="7"/>
  <c r="D355" i="7"/>
  <c r="D357" i="7"/>
  <c r="D359" i="7"/>
  <c r="D361" i="7"/>
  <c r="D363" i="7"/>
  <c r="D365" i="7"/>
  <c r="D367" i="7"/>
  <c r="D369" i="7"/>
  <c r="D371" i="7"/>
  <c r="D373" i="7"/>
  <c r="D375" i="7"/>
  <c r="D377" i="7"/>
  <c r="D379" i="7"/>
  <c r="D381" i="7"/>
  <c r="D383" i="7"/>
  <c r="D385" i="7"/>
  <c r="D387" i="7"/>
  <c r="D389" i="7"/>
  <c r="D391" i="7"/>
  <c r="D393" i="7"/>
  <c r="D395" i="7"/>
  <c r="D397" i="7"/>
  <c r="D399" i="7"/>
  <c r="D401" i="7"/>
  <c r="D403" i="7"/>
  <c r="D405" i="7"/>
  <c r="D407" i="7"/>
  <c r="D409" i="7"/>
  <c r="D411" i="7"/>
  <c r="D413" i="7"/>
  <c r="D415" i="7"/>
  <c r="D417" i="7"/>
  <c r="D419" i="7"/>
  <c r="D421" i="7"/>
  <c r="D423" i="7"/>
  <c r="D425" i="7"/>
  <c r="D427" i="7"/>
  <c r="D429" i="7"/>
  <c r="D431" i="7"/>
  <c r="D433" i="7"/>
  <c r="D435" i="7"/>
  <c r="D437" i="7"/>
  <c r="D439" i="7"/>
  <c r="D441" i="7"/>
  <c r="D443" i="7"/>
  <c r="D445" i="7"/>
  <c r="D447" i="7"/>
  <c r="D449" i="7"/>
  <c r="D451" i="7"/>
  <c r="D453" i="7"/>
  <c r="D455" i="7"/>
  <c r="D457" i="7"/>
  <c r="D459" i="7"/>
  <c r="D461" i="7"/>
  <c r="D463" i="7"/>
  <c r="D465" i="7"/>
  <c r="D467" i="7"/>
  <c r="D469" i="7"/>
  <c r="D471" i="7"/>
  <c r="D473" i="7"/>
  <c r="D475" i="7"/>
  <c r="D477" i="7"/>
  <c r="D479" i="7"/>
  <c r="D481" i="7"/>
  <c r="D483" i="7"/>
  <c r="D485" i="7"/>
  <c r="D487" i="7"/>
  <c r="D489" i="7"/>
  <c r="D491" i="7"/>
  <c r="D493" i="7"/>
  <c r="D495" i="7"/>
  <c r="D497" i="7"/>
  <c r="D499" i="7"/>
  <c r="D501" i="7"/>
  <c r="D503" i="7"/>
  <c r="D505" i="7"/>
  <c r="D507" i="7"/>
  <c r="D509" i="7"/>
  <c r="D511" i="7"/>
  <c r="D513" i="7"/>
  <c r="D515" i="7"/>
  <c r="D517" i="7"/>
  <c r="D519" i="7"/>
  <c r="D521" i="7"/>
  <c r="D523" i="7"/>
  <c r="D525" i="7"/>
  <c r="D527" i="7"/>
  <c r="D529" i="7"/>
  <c r="D531" i="7"/>
  <c r="D533" i="7"/>
  <c r="D535" i="7"/>
  <c r="D537" i="7"/>
  <c r="D539" i="7"/>
  <c r="D541" i="7"/>
  <c r="D543" i="7"/>
  <c r="D545" i="7"/>
  <c r="D547" i="7"/>
  <c r="D549" i="7"/>
  <c r="D551" i="7"/>
  <c r="D553" i="7"/>
  <c r="D555" i="7"/>
  <c r="D557" i="7"/>
  <c r="D559" i="7"/>
  <c r="D561" i="7"/>
  <c r="D563" i="7"/>
  <c r="D565" i="7"/>
  <c r="D567" i="7"/>
  <c r="D569" i="7"/>
  <c r="D571" i="7"/>
  <c r="D573" i="7"/>
  <c r="D575" i="7"/>
  <c r="D577" i="7"/>
  <c r="D579" i="7"/>
  <c r="D581" i="7"/>
  <c r="D583" i="7"/>
  <c r="D585" i="7"/>
  <c r="D587" i="7"/>
  <c r="D589" i="7"/>
  <c r="D591" i="7"/>
  <c r="D593" i="7"/>
  <c r="D595" i="7"/>
  <c r="D597" i="7"/>
  <c r="D599" i="7"/>
  <c r="D601" i="7"/>
  <c r="D603" i="7"/>
  <c r="D605" i="7"/>
  <c r="D607" i="7"/>
  <c r="D609" i="7"/>
  <c r="D611" i="7"/>
  <c r="D613" i="7"/>
  <c r="D615" i="7"/>
  <c r="D617" i="7"/>
  <c r="D619" i="7"/>
  <c r="D621" i="7"/>
  <c r="D623" i="7"/>
  <c r="D625" i="7"/>
  <c r="D627" i="7"/>
  <c r="D629" i="7"/>
  <c r="D631" i="7"/>
  <c r="D633" i="7"/>
  <c r="D635" i="7"/>
  <c r="D85" i="7"/>
  <c r="F85" i="7"/>
  <c r="L15" i="7"/>
  <c r="J33" i="7"/>
  <c r="G19" i="7"/>
  <c r="G15" i="7"/>
  <c r="L19" i="7" s="1"/>
  <c r="P44" i="4"/>
  <c r="P42" i="4"/>
  <c r="P36" i="4"/>
  <c r="P34" i="4"/>
  <c r="P32" i="4"/>
  <c r="J30" i="4"/>
  <c r="D636" i="4"/>
  <c r="F636" i="4"/>
  <c r="H636" i="4"/>
  <c r="J636" i="4" s="1"/>
  <c r="J40" i="4"/>
  <c r="H40" i="4"/>
  <c r="F40" i="4"/>
  <c r="F38" i="4"/>
  <c r="H38" i="4"/>
  <c r="J38" i="4" s="1"/>
  <c r="D40" i="4"/>
  <c r="D42" i="4"/>
  <c r="D44" i="4"/>
  <c r="D46" i="4"/>
  <c r="D48" i="4"/>
  <c r="D50" i="4"/>
  <c r="D52" i="4"/>
  <c r="D54" i="4"/>
  <c r="D56" i="4"/>
  <c r="D58" i="4"/>
  <c r="D60" i="4"/>
  <c r="D62" i="4"/>
  <c r="D64" i="4"/>
  <c r="D66" i="4"/>
  <c r="D68" i="4"/>
  <c r="D70" i="4"/>
  <c r="D72" i="4"/>
  <c r="D74" i="4"/>
  <c r="D76" i="4"/>
  <c r="D78" i="4"/>
  <c r="D80" i="4"/>
  <c r="D82" i="4"/>
  <c r="D84" i="4"/>
  <c r="D86" i="4"/>
  <c r="D88" i="4"/>
  <c r="D90" i="4"/>
  <c r="D92" i="4"/>
  <c r="D94" i="4"/>
  <c r="D96" i="4"/>
  <c r="D98" i="4"/>
  <c r="D100" i="4"/>
  <c r="D102" i="4"/>
  <c r="D104" i="4"/>
  <c r="D106" i="4"/>
  <c r="D108" i="4"/>
  <c r="D110" i="4"/>
  <c r="D112" i="4"/>
  <c r="D114" i="4"/>
  <c r="D116" i="4"/>
  <c r="D118" i="4"/>
  <c r="D120" i="4"/>
  <c r="D122" i="4"/>
  <c r="D124" i="4"/>
  <c r="D126" i="4"/>
  <c r="D128" i="4"/>
  <c r="D130" i="4"/>
  <c r="D132" i="4"/>
  <c r="D134" i="4"/>
  <c r="D136" i="4"/>
  <c r="D138" i="4"/>
  <c r="D140" i="4"/>
  <c r="D142" i="4"/>
  <c r="D144" i="4"/>
  <c r="D146" i="4"/>
  <c r="D148" i="4"/>
  <c r="D150" i="4"/>
  <c r="D152" i="4"/>
  <c r="D154" i="4"/>
  <c r="D156" i="4"/>
  <c r="D158" i="4"/>
  <c r="D160" i="4"/>
  <c r="D162" i="4"/>
  <c r="D164" i="4"/>
  <c r="D166" i="4"/>
  <c r="D168" i="4"/>
  <c r="D170" i="4"/>
  <c r="D172" i="4"/>
  <c r="D174" i="4"/>
  <c r="D176" i="4"/>
  <c r="D178" i="4"/>
  <c r="D180" i="4"/>
  <c r="D182" i="4"/>
  <c r="D184" i="4"/>
  <c r="D186" i="4"/>
  <c r="D188" i="4"/>
  <c r="D190" i="4"/>
  <c r="D192" i="4"/>
  <c r="D194" i="4"/>
  <c r="D196" i="4"/>
  <c r="D198" i="4"/>
  <c r="D200" i="4"/>
  <c r="D202" i="4"/>
  <c r="D204" i="4"/>
  <c r="D206" i="4"/>
  <c r="D208" i="4"/>
  <c r="D210" i="4"/>
  <c r="D212" i="4"/>
  <c r="D214" i="4"/>
  <c r="D216" i="4"/>
  <c r="D218" i="4"/>
  <c r="D220" i="4"/>
  <c r="D222" i="4"/>
  <c r="D224" i="4"/>
  <c r="D226" i="4"/>
  <c r="D228" i="4"/>
  <c r="D230" i="4"/>
  <c r="D232" i="4"/>
  <c r="D234" i="4"/>
  <c r="D236" i="4"/>
  <c r="D238" i="4"/>
  <c r="D240" i="4"/>
  <c r="D242" i="4"/>
  <c r="D244" i="4"/>
  <c r="D246" i="4"/>
  <c r="D248" i="4"/>
  <c r="D250" i="4"/>
  <c r="D252" i="4"/>
  <c r="D254" i="4"/>
  <c r="D256" i="4"/>
  <c r="D258" i="4"/>
  <c r="D260" i="4"/>
  <c r="D262" i="4"/>
  <c r="D264" i="4"/>
  <c r="D266" i="4"/>
  <c r="D268" i="4"/>
  <c r="D270" i="4"/>
  <c r="D272" i="4"/>
  <c r="D274" i="4"/>
  <c r="D276" i="4"/>
  <c r="D278" i="4"/>
  <c r="D280" i="4"/>
  <c r="D282" i="4"/>
  <c r="D284" i="4"/>
  <c r="D286" i="4"/>
  <c r="D288" i="4"/>
  <c r="D290" i="4"/>
  <c r="D292" i="4"/>
  <c r="D294" i="4"/>
  <c r="D296" i="4"/>
  <c r="D298" i="4"/>
  <c r="D300" i="4"/>
  <c r="D302" i="4"/>
  <c r="D304" i="4"/>
  <c r="D306" i="4"/>
  <c r="D308" i="4"/>
  <c r="D310" i="4"/>
  <c r="D312" i="4"/>
  <c r="D314" i="4"/>
  <c r="D316" i="4"/>
  <c r="D318" i="4"/>
  <c r="D320" i="4"/>
  <c r="D322" i="4"/>
  <c r="D324" i="4"/>
  <c r="D326" i="4"/>
  <c r="D328" i="4"/>
  <c r="D330" i="4"/>
  <c r="D332" i="4"/>
  <c r="D334" i="4"/>
  <c r="D336" i="4"/>
  <c r="D338" i="4"/>
  <c r="D340" i="4"/>
  <c r="D342" i="4"/>
  <c r="D344" i="4"/>
  <c r="D346" i="4"/>
  <c r="D348" i="4"/>
  <c r="D350" i="4"/>
  <c r="D352" i="4"/>
  <c r="D354" i="4"/>
  <c r="D356" i="4"/>
  <c r="D358" i="4"/>
  <c r="D360" i="4"/>
  <c r="D362" i="4"/>
  <c r="D364" i="4"/>
  <c r="D366" i="4"/>
  <c r="D368" i="4"/>
  <c r="D370" i="4"/>
  <c r="D372" i="4"/>
  <c r="D374" i="4"/>
  <c r="D376" i="4"/>
  <c r="D378" i="4"/>
  <c r="D380" i="4"/>
  <c r="D382" i="4"/>
  <c r="D384" i="4"/>
  <c r="D386" i="4"/>
  <c r="D388" i="4"/>
  <c r="D390" i="4"/>
  <c r="D392" i="4"/>
  <c r="D394" i="4"/>
  <c r="D396" i="4"/>
  <c r="D398" i="4"/>
  <c r="D400" i="4"/>
  <c r="D402" i="4"/>
  <c r="D404" i="4"/>
  <c r="D406" i="4"/>
  <c r="D408" i="4"/>
  <c r="D410" i="4"/>
  <c r="D412" i="4"/>
  <c r="D414" i="4"/>
  <c r="D416" i="4"/>
  <c r="D418" i="4"/>
  <c r="D420" i="4"/>
  <c r="D422" i="4"/>
  <c r="D424" i="4"/>
  <c r="D426" i="4"/>
  <c r="D428" i="4"/>
  <c r="D430" i="4"/>
  <c r="D432" i="4"/>
  <c r="D434" i="4"/>
  <c r="D436" i="4"/>
  <c r="D438" i="4"/>
  <c r="D440" i="4"/>
  <c r="D442" i="4"/>
  <c r="D444" i="4"/>
  <c r="D446" i="4"/>
  <c r="D448" i="4"/>
  <c r="D450" i="4"/>
  <c r="D452" i="4"/>
  <c r="D454" i="4"/>
  <c r="D456" i="4"/>
  <c r="D458" i="4"/>
  <c r="D460" i="4"/>
  <c r="D462" i="4"/>
  <c r="D464" i="4"/>
  <c r="D466" i="4"/>
  <c r="D468" i="4"/>
  <c r="D470" i="4"/>
  <c r="D472" i="4"/>
  <c r="D474" i="4"/>
  <c r="D476" i="4"/>
  <c r="D478" i="4"/>
  <c r="D480" i="4"/>
  <c r="D482" i="4"/>
  <c r="D484" i="4"/>
  <c r="D486" i="4"/>
  <c r="D488" i="4"/>
  <c r="D490" i="4"/>
  <c r="D492" i="4"/>
  <c r="D494" i="4"/>
  <c r="D496" i="4"/>
  <c r="D498" i="4"/>
  <c r="D500" i="4"/>
  <c r="D502" i="4"/>
  <c r="D504" i="4"/>
  <c r="D506" i="4"/>
  <c r="D508" i="4"/>
  <c r="D510" i="4"/>
  <c r="D512" i="4"/>
  <c r="D514" i="4"/>
  <c r="D516" i="4"/>
  <c r="D518" i="4"/>
  <c r="D520" i="4"/>
  <c r="D522" i="4"/>
  <c r="D524" i="4"/>
  <c r="D526" i="4"/>
  <c r="D528" i="4"/>
  <c r="D530" i="4"/>
  <c r="D532" i="4"/>
  <c r="D534" i="4"/>
  <c r="D536" i="4"/>
  <c r="D538" i="4"/>
  <c r="D540" i="4"/>
  <c r="D542" i="4"/>
  <c r="D544" i="4"/>
  <c r="D546" i="4"/>
  <c r="D548" i="4"/>
  <c r="D550" i="4"/>
  <c r="D552" i="4"/>
  <c r="D554" i="4"/>
  <c r="D556" i="4"/>
  <c r="D558" i="4"/>
  <c r="D560" i="4"/>
  <c r="D562" i="4"/>
  <c r="D564" i="4"/>
  <c r="D566" i="4"/>
  <c r="D568" i="4"/>
  <c r="D570" i="4"/>
  <c r="D572" i="4"/>
  <c r="D574" i="4"/>
  <c r="D576" i="4"/>
  <c r="D578" i="4"/>
  <c r="D580" i="4"/>
  <c r="D582" i="4"/>
  <c r="D584" i="4"/>
  <c r="D586" i="4"/>
  <c r="D588" i="4"/>
  <c r="D590" i="4"/>
  <c r="D592" i="4"/>
  <c r="D594" i="4"/>
  <c r="D596" i="4"/>
  <c r="D598" i="4"/>
  <c r="D600" i="4"/>
  <c r="D602" i="4"/>
  <c r="D604" i="4"/>
  <c r="D606" i="4"/>
  <c r="D608" i="4"/>
  <c r="D610" i="4"/>
  <c r="D612" i="4"/>
  <c r="D614" i="4"/>
  <c r="D616" i="4"/>
  <c r="D618" i="4"/>
  <c r="D620" i="4"/>
  <c r="D622" i="4"/>
  <c r="D624" i="4"/>
  <c r="D626" i="4"/>
  <c r="D628" i="4"/>
  <c r="D630" i="4"/>
  <c r="D632" i="4"/>
  <c r="D634" i="4"/>
  <c r="D38" i="4"/>
  <c r="J36" i="4"/>
  <c r="D30" i="4"/>
  <c r="G22" i="4"/>
  <c r="G18" i="4"/>
  <c r="J107" i="3"/>
  <c r="J59" i="3"/>
  <c r="J61" i="3"/>
  <c r="J63" i="3"/>
  <c r="J65" i="3"/>
  <c r="J67" i="3"/>
  <c r="J69" i="3"/>
  <c r="J71" i="3"/>
  <c r="J73" i="3"/>
  <c r="J75" i="3"/>
  <c r="J77" i="3"/>
  <c r="J79" i="3"/>
  <c r="J81" i="3"/>
  <c r="J83" i="3"/>
  <c r="J85" i="3"/>
  <c r="J87" i="3"/>
  <c r="J89" i="3"/>
  <c r="J91" i="3"/>
  <c r="J93" i="3"/>
  <c r="J95" i="3"/>
  <c r="J97" i="3"/>
  <c r="J99" i="3"/>
  <c r="J101" i="3"/>
  <c r="J103" i="3"/>
  <c r="J105" i="3"/>
  <c r="J57" i="3"/>
  <c r="D43" i="3"/>
  <c r="J55" i="3"/>
  <c r="H59" i="3"/>
  <c r="H61" i="3"/>
  <c r="H63" i="3"/>
  <c r="H65" i="3"/>
  <c r="H67" i="3"/>
  <c r="H69" i="3"/>
  <c r="H71" i="3"/>
  <c r="H73" i="3"/>
  <c r="H75" i="3"/>
  <c r="H77" i="3"/>
  <c r="H79" i="3"/>
  <c r="H81" i="3"/>
  <c r="H83" i="3"/>
  <c r="H85" i="3"/>
  <c r="H87" i="3"/>
  <c r="H89" i="3"/>
  <c r="H91" i="3"/>
  <c r="H93" i="3"/>
  <c r="H95" i="3"/>
  <c r="H97" i="3"/>
  <c r="H99" i="3"/>
  <c r="H101" i="3"/>
  <c r="H103" i="3"/>
  <c r="H105" i="3"/>
  <c r="H57" i="3"/>
  <c r="H55" i="3"/>
  <c r="F59" i="3"/>
  <c r="F61" i="3"/>
  <c r="F63" i="3" s="1"/>
  <c r="F65" i="3" s="1"/>
  <c r="F67" i="3" s="1"/>
  <c r="F69" i="3" s="1"/>
  <c r="F71" i="3" s="1"/>
  <c r="F73" i="3" s="1"/>
  <c r="F75" i="3" s="1"/>
  <c r="F77" i="3" s="1"/>
  <c r="F79" i="3" s="1"/>
  <c r="F81" i="3" s="1"/>
  <c r="F83" i="3" s="1"/>
  <c r="F85" i="3" s="1"/>
  <c r="F87" i="3" s="1"/>
  <c r="F89" i="3" s="1"/>
  <c r="F91" i="3" s="1"/>
  <c r="F93" i="3" s="1"/>
  <c r="F95" i="3" s="1"/>
  <c r="F97" i="3" s="1"/>
  <c r="F99" i="3" s="1"/>
  <c r="F101" i="3" s="1"/>
  <c r="F103" i="3" s="1"/>
  <c r="F105" i="3" s="1"/>
  <c r="D59" i="3"/>
  <c r="D61" i="3"/>
  <c r="D63" i="3" s="1"/>
  <c r="D65" i="3" s="1"/>
  <c r="D67" i="3" s="1"/>
  <c r="D69" i="3" s="1"/>
  <c r="D71" i="3" s="1"/>
  <c r="D73" i="3" s="1"/>
  <c r="D75" i="3" s="1"/>
  <c r="D77" i="3" s="1"/>
  <c r="D79" i="3" s="1"/>
  <c r="D81" i="3" s="1"/>
  <c r="D83" i="3" s="1"/>
  <c r="D85" i="3" s="1"/>
  <c r="D87" i="3" s="1"/>
  <c r="D89" i="3" s="1"/>
  <c r="D91" i="3" s="1"/>
  <c r="D93" i="3" s="1"/>
  <c r="D95" i="3" s="1"/>
  <c r="D97" i="3" s="1"/>
  <c r="D99" i="3" s="1"/>
  <c r="D101" i="3" s="1"/>
  <c r="D103" i="3" s="1"/>
  <c r="D105" i="3" s="1"/>
  <c r="F57" i="3"/>
  <c r="D57" i="3"/>
  <c r="D55" i="3"/>
  <c r="I28" i="3"/>
  <c r="F55" i="3" s="1"/>
  <c r="I26" i="3"/>
  <c r="I22" i="3"/>
  <c r="I16" i="3"/>
  <c r="I24" i="3" s="1"/>
  <c r="I39" i="2"/>
  <c r="N39" i="2"/>
  <c r="K27" i="2"/>
  <c r="K33" i="2"/>
  <c r="K31" i="2"/>
  <c r="M27" i="6"/>
  <c r="D27" i="6"/>
  <c r="M25" i="1"/>
  <c r="D25" i="1"/>
  <c r="K15" i="1"/>
  <c r="K17" i="1"/>
  <c r="K19" i="1" s="1"/>
  <c r="Q303" i="5" l="1"/>
  <c r="S303" i="5" s="1"/>
  <c r="U303" i="5" s="1"/>
  <c r="J295" i="5"/>
  <c r="N22" i="5"/>
  <c r="N25" i="5" s="1"/>
  <c r="N27" i="5" s="1"/>
  <c r="D36" i="5"/>
  <c r="D27" i="7"/>
  <c r="Q13" i="7" s="1"/>
  <c r="Q15" i="7" s="1"/>
  <c r="Q18" i="7" s="1"/>
  <c r="F35" i="7"/>
  <c r="F42" i="4"/>
  <c r="H42" i="4" s="1"/>
  <c r="J42" i="4" s="1"/>
  <c r="I18" i="3"/>
  <c r="D36" i="3" s="1"/>
  <c r="Q305" i="5" l="1"/>
  <c r="S305" i="5" s="1"/>
  <c r="U305" i="5" s="1"/>
  <c r="F297" i="5"/>
  <c r="H297" i="5" s="1"/>
  <c r="J297" i="5" s="1"/>
  <c r="N30" i="5"/>
  <c r="F94" i="5"/>
  <c r="D66" i="5"/>
  <c r="D68" i="5"/>
  <c r="D70" i="5"/>
  <c r="D72" i="5"/>
  <c r="D74" i="5"/>
  <c r="D76" i="5"/>
  <c r="D46" i="5"/>
  <c r="D78" i="5"/>
  <c r="D64" i="5"/>
  <c r="D48" i="5"/>
  <c r="D80" i="5"/>
  <c r="D50" i="5"/>
  <c r="D82" i="5"/>
  <c r="D52" i="5"/>
  <c r="D84" i="5"/>
  <c r="D62" i="5"/>
  <c r="D54" i="5"/>
  <c r="D86" i="5"/>
  <c r="D56" i="5"/>
  <c r="D88" i="5"/>
  <c r="D58" i="5"/>
  <c r="D90" i="5"/>
  <c r="D44" i="5"/>
  <c r="H44" i="5" s="1"/>
  <c r="J44" i="5" s="1"/>
  <c r="F46" i="5" s="1"/>
  <c r="H46" i="5" s="1"/>
  <c r="J46" i="5" s="1"/>
  <c r="F48" i="5" s="1"/>
  <c r="H48" i="5" s="1"/>
  <c r="J48" i="5" s="1"/>
  <c r="D60" i="5"/>
  <c r="D65" i="7"/>
  <c r="D51" i="7"/>
  <c r="D67" i="7"/>
  <c r="D53" i="7"/>
  <c r="D57" i="7"/>
  <c r="D37" i="7"/>
  <c r="H37" i="7" s="1"/>
  <c r="J37" i="7" s="1"/>
  <c r="F39" i="7" s="1"/>
  <c r="H39" i="7" s="1"/>
  <c r="J39" i="7" s="1"/>
  <c r="F41" i="7" s="1"/>
  <c r="D69" i="7"/>
  <c r="D39" i="7"/>
  <c r="D71" i="7"/>
  <c r="D41" i="7"/>
  <c r="D73" i="7"/>
  <c r="D43" i="7"/>
  <c r="D75" i="7"/>
  <c r="D45" i="7"/>
  <c r="D77" i="7"/>
  <c r="D47" i="7"/>
  <c r="D79" i="7"/>
  <c r="D49" i="7"/>
  <c r="D81" i="7"/>
  <c r="D55" i="7"/>
  <c r="D59" i="7"/>
  <c r="D63" i="7"/>
  <c r="D35" i="7"/>
  <c r="H35" i="7" s="1"/>
  <c r="J35" i="7" s="1"/>
  <c r="F37" i="7" s="1"/>
  <c r="D61" i="7"/>
  <c r="F44" i="4"/>
  <c r="H44" i="4" s="1"/>
  <c r="J44" i="4" s="1"/>
  <c r="U307" i="5" l="1"/>
  <c r="Q307" i="5"/>
  <c r="S307" i="5" s="1"/>
  <c r="F299" i="5"/>
  <c r="H299" i="5" s="1"/>
  <c r="J299" i="5"/>
  <c r="F301" i="5"/>
  <c r="H301" i="5" s="1"/>
  <c r="J301" i="5" s="1"/>
  <c r="D116" i="5"/>
  <c r="D148" i="5"/>
  <c r="D180" i="5"/>
  <c r="D212" i="5"/>
  <c r="D244" i="5"/>
  <c r="D276" i="5"/>
  <c r="D178" i="5"/>
  <c r="D118" i="5"/>
  <c r="D150" i="5"/>
  <c r="D182" i="5"/>
  <c r="D214" i="5"/>
  <c r="D246" i="5"/>
  <c r="D278" i="5"/>
  <c r="D146" i="5"/>
  <c r="D120" i="5"/>
  <c r="D152" i="5"/>
  <c r="D184" i="5"/>
  <c r="D216" i="5"/>
  <c r="D248" i="5"/>
  <c r="D280" i="5"/>
  <c r="D114" i="5"/>
  <c r="D122" i="5"/>
  <c r="D154" i="5"/>
  <c r="D186" i="5"/>
  <c r="D218" i="5"/>
  <c r="D250" i="5"/>
  <c r="D282" i="5"/>
  <c r="D242" i="5"/>
  <c r="D124" i="5"/>
  <c r="D156" i="5"/>
  <c r="D188" i="5"/>
  <c r="D220" i="5"/>
  <c r="D252" i="5"/>
  <c r="D284" i="5"/>
  <c r="D126" i="5"/>
  <c r="D158" i="5"/>
  <c r="D190" i="5"/>
  <c r="D222" i="5"/>
  <c r="D254" i="5"/>
  <c r="D94" i="5"/>
  <c r="H94" i="5" s="1"/>
  <c r="J94" i="5" s="1"/>
  <c r="F96" i="5" s="1"/>
  <c r="D96" i="5"/>
  <c r="H96" i="5" s="1"/>
  <c r="J96" i="5" s="1"/>
  <c r="F98" i="5" s="1"/>
  <c r="D128" i="5"/>
  <c r="D160" i="5"/>
  <c r="D192" i="5"/>
  <c r="D224" i="5"/>
  <c r="D256" i="5"/>
  <c r="D144" i="5"/>
  <c r="D98" i="5"/>
  <c r="H98" i="5" s="1"/>
  <c r="J98" i="5" s="1"/>
  <c r="F100" i="5" s="1"/>
  <c r="D130" i="5"/>
  <c r="D162" i="5"/>
  <c r="D194" i="5"/>
  <c r="D226" i="5"/>
  <c r="D258" i="5"/>
  <c r="D112" i="5"/>
  <c r="D100" i="5"/>
  <c r="H100" i="5" s="1"/>
  <c r="J100" i="5" s="1"/>
  <c r="F102" i="5" s="1"/>
  <c r="D132" i="5"/>
  <c r="D164" i="5"/>
  <c r="D196" i="5"/>
  <c r="D228" i="5"/>
  <c r="D260" i="5"/>
  <c r="D240" i="5"/>
  <c r="D210" i="5"/>
  <c r="D102" i="5"/>
  <c r="D134" i="5"/>
  <c r="D166" i="5"/>
  <c r="D198" i="5"/>
  <c r="D230" i="5"/>
  <c r="D262" i="5"/>
  <c r="D104" i="5"/>
  <c r="D136" i="5"/>
  <c r="D168" i="5"/>
  <c r="D200" i="5"/>
  <c r="D232" i="5"/>
  <c r="D264" i="5"/>
  <c r="D208" i="5"/>
  <c r="D106" i="5"/>
  <c r="D138" i="5"/>
  <c r="D170" i="5"/>
  <c r="D202" i="5"/>
  <c r="D234" i="5"/>
  <c r="D266" i="5"/>
  <c r="D108" i="5"/>
  <c r="D140" i="5"/>
  <c r="D172" i="5"/>
  <c r="D204" i="5"/>
  <c r="D236" i="5"/>
  <c r="D268" i="5"/>
  <c r="D272" i="5"/>
  <c r="D110" i="5"/>
  <c r="D142" i="5"/>
  <c r="D174" i="5"/>
  <c r="D206" i="5"/>
  <c r="D238" i="5"/>
  <c r="D270" i="5"/>
  <c r="D176" i="5"/>
  <c r="D274" i="5"/>
  <c r="S29" i="5"/>
  <c r="F50" i="5"/>
  <c r="H50" i="5" s="1"/>
  <c r="J50" i="5" s="1"/>
  <c r="H41" i="7"/>
  <c r="J41" i="7" s="1"/>
  <c r="F43" i="7" s="1"/>
  <c r="F46" i="4"/>
  <c r="H46" i="4" s="1"/>
  <c r="J46" i="4" s="1"/>
  <c r="U309" i="5" l="1"/>
  <c r="Q309" i="5"/>
  <c r="S309" i="5" s="1"/>
  <c r="F303" i="5"/>
  <c r="H303" i="5" s="1"/>
  <c r="J303" i="5" s="1"/>
  <c r="F52" i="5"/>
  <c r="H52" i="5" s="1"/>
  <c r="J52" i="5" s="1"/>
  <c r="H102" i="5"/>
  <c r="J102" i="5" s="1"/>
  <c r="F104" i="5" s="1"/>
  <c r="H43" i="7"/>
  <c r="J43" i="7"/>
  <c r="F45" i="7" s="1"/>
  <c r="F48" i="4"/>
  <c r="H48" i="4" s="1"/>
  <c r="J48" i="4" s="1"/>
  <c r="U311" i="5" l="1"/>
  <c r="Q311" i="5"/>
  <c r="S311" i="5" s="1"/>
  <c r="F305" i="5"/>
  <c r="H305" i="5" s="1"/>
  <c r="J305" i="5" s="1"/>
  <c r="H104" i="5"/>
  <c r="J104" i="5" s="1"/>
  <c r="F106" i="5" s="1"/>
  <c r="F54" i="5"/>
  <c r="H54" i="5" s="1"/>
  <c r="J54" i="5" s="1"/>
  <c r="H45" i="7"/>
  <c r="J45" i="7" s="1"/>
  <c r="F47" i="7" s="1"/>
  <c r="F50" i="4"/>
  <c r="H50" i="4" s="1"/>
  <c r="J50" i="4" s="1"/>
  <c r="Q313" i="5" l="1"/>
  <c r="S313" i="5" s="1"/>
  <c r="U313" i="5" s="1"/>
  <c r="F307" i="5"/>
  <c r="H307" i="5" s="1"/>
  <c r="J307" i="5" s="1"/>
  <c r="F56" i="5"/>
  <c r="H56" i="5" s="1"/>
  <c r="J56" i="5" s="1"/>
  <c r="H106" i="5"/>
  <c r="J106" i="5" s="1"/>
  <c r="F108" i="5" s="1"/>
  <c r="H47" i="7"/>
  <c r="J47" i="7" s="1"/>
  <c r="F49" i="7" s="1"/>
  <c r="F52" i="4"/>
  <c r="H52" i="4" s="1"/>
  <c r="J52" i="4"/>
  <c r="Q315" i="5" l="1"/>
  <c r="S315" i="5" s="1"/>
  <c r="U315" i="5" s="1"/>
  <c r="F309" i="5"/>
  <c r="H309" i="5" s="1"/>
  <c r="J309" i="5" s="1"/>
  <c r="H108" i="5"/>
  <c r="J108" i="5" s="1"/>
  <c r="F110" i="5" s="1"/>
  <c r="F58" i="5"/>
  <c r="H58" i="5" s="1"/>
  <c r="J58" i="5" s="1"/>
  <c r="H49" i="7"/>
  <c r="J49" i="7" s="1"/>
  <c r="F51" i="7" s="1"/>
  <c r="F54" i="4"/>
  <c r="H54" i="4" s="1"/>
  <c r="J54" i="4" s="1"/>
  <c r="U317" i="5" l="1"/>
  <c r="Q317" i="5"/>
  <c r="S317" i="5" s="1"/>
  <c r="F311" i="5"/>
  <c r="H311" i="5" s="1"/>
  <c r="J311" i="5" s="1"/>
  <c r="F60" i="5"/>
  <c r="H60" i="5" s="1"/>
  <c r="J60" i="5" s="1"/>
  <c r="H110" i="5"/>
  <c r="J110" i="5" s="1"/>
  <c r="F112" i="5" s="1"/>
  <c r="H51" i="7"/>
  <c r="J51" i="7" s="1"/>
  <c r="F53" i="7" s="1"/>
  <c r="F56" i="4"/>
  <c r="H56" i="4" s="1"/>
  <c r="J56" i="4" s="1"/>
  <c r="Q319" i="5" l="1"/>
  <c r="S319" i="5" s="1"/>
  <c r="U319" i="5" s="1"/>
  <c r="F313" i="5"/>
  <c r="H313" i="5" s="1"/>
  <c r="J313" i="5" s="1"/>
  <c r="H112" i="5"/>
  <c r="J112" i="5" s="1"/>
  <c r="F114" i="5" s="1"/>
  <c r="F62" i="5"/>
  <c r="H62" i="5" s="1"/>
  <c r="J62" i="5" s="1"/>
  <c r="H53" i="7"/>
  <c r="J53" i="7" s="1"/>
  <c r="F55" i="7" s="1"/>
  <c r="F58" i="4"/>
  <c r="H58" i="4" s="1"/>
  <c r="J58" i="4" s="1"/>
  <c r="Q321" i="5" l="1"/>
  <c r="S321" i="5" s="1"/>
  <c r="U321" i="5" s="1"/>
  <c r="F315" i="5"/>
  <c r="H315" i="5" s="1"/>
  <c r="J315" i="5" s="1"/>
  <c r="F64" i="5"/>
  <c r="H64" i="5" s="1"/>
  <c r="J64" i="5" s="1"/>
  <c r="H114" i="5"/>
  <c r="J114" i="5" s="1"/>
  <c r="F116" i="5" s="1"/>
  <c r="H55" i="7"/>
  <c r="J55" i="7" s="1"/>
  <c r="F57" i="7" s="1"/>
  <c r="F60" i="4"/>
  <c r="H60" i="4" s="1"/>
  <c r="J60" i="4" s="1"/>
  <c r="Q323" i="5" l="1"/>
  <c r="S323" i="5" s="1"/>
  <c r="U323" i="5"/>
  <c r="F317" i="5"/>
  <c r="H317" i="5" s="1"/>
  <c r="J317" i="5" s="1"/>
  <c r="H116" i="5"/>
  <c r="J116" i="5" s="1"/>
  <c r="F118" i="5" s="1"/>
  <c r="F66" i="5"/>
  <c r="H66" i="5" s="1"/>
  <c r="J66" i="5" s="1"/>
  <c r="H57" i="7"/>
  <c r="J57" i="7" s="1"/>
  <c r="F59" i="7" s="1"/>
  <c r="F62" i="4"/>
  <c r="H62" i="4" s="1"/>
  <c r="J62" i="4" s="1"/>
  <c r="Q325" i="5" l="1"/>
  <c r="S325" i="5" s="1"/>
  <c r="U325" i="5"/>
  <c r="F319" i="5"/>
  <c r="H319" i="5" s="1"/>
  <c r="J319" i="5" s="1"/>
  <c r="F68" i="5"/>
  <c r="H68" i="5" s="1"/>
  <c r="J68" i="5" s="1"/>
  <c r="H118" i="5"/>
  <c r="J118" i="5" s="1"/>
  <c r="F120" i="5" s="1"/>
  <c r="H59" i="7"/>
  <c r="J59" i="7" s="1"/>
  <c r="F61" i="7" s="1"/>
  <c r="F64" i="4"/>
  <c r="H64" i="4" s="1"/>
  <c r="J64" i="4" s="1"/>
  <c r="Q327" i="5" l="1"/>
  <c r="S327" i="5" s="1"/>
  <c r="U327" i="5"/>
  <c r="F321" i="5"/>
  <c r="H321" i="5" s="1"/>
  <c r="J321" i="5" s="1"/>
  <c r="H120" i="5"/>
  <c r="J120" i="5" s="1"/>
  <c r="F122" i="5" s="1"/>
  <c r="F70" i="5"/>
  <c r="H70" i="5" s="1"/>
  <c r="J70" i="5" s="1"/>
  <c r="H61" i="7"/>
  <c r="J61" i="7" s="1"/>
  <c r="F63" i="7" s="1"/>
  <c r="F66" i="4"/>
  <c r="H66" i="4" s="1"/>
  <c r="J66" i="4"/>
  <c r="Q329" i="5" l="1"/>
  <c r="S329" i="5" s="1"/>
  <c r="U329" i="5" s="1"/>
  <c r="F323" i="5"/>
  <c r="H323" i="5" s="1"/>
  <c r="J323" i="5" s="1"/>
  <c r="F72" i="5"/>
  <c r="H72" i="5" s="1"/>
  <c r="J72" i="5" s="1"/>
  <c r="H122" i="5"/>
  <c r="J122" i="5" s="1"/>
  <c r="F124" i="5" s="1"/>
  <c r="H63" i="7"/>
  <c r="J63" i="7" s="1"/>
  <c r="F65" i="7" s="1"/>
  <c r="F68" i="4"/>
  <c r="H68" i="4" s="1"/>
  <c r="J68" i="4"/>
  <c r="Q331" i="5" l="1"/>
  <c r="S331" i="5" s="1"/>
  <c r="U331" i="5"/>
  <c r="F325" i="5"/>
  <c r="H325" i="5" s="1"/>
  <c r="J325" i="5" s="1"/>
  <c r="H124" i="5"/>
  <c r="J124" i="5" s="1"/>
  <c r="F126" i="5" s="1"/>
  <c r="F74" i="5"/>
  <c r="H74" i="5" s="1"/>
  <c r="J74" i="5" s="1"/>
  <c r="H65" i="7"/>
  <c r="J65" i="7" s="1"/>
  <c r="F67" i="7" s="1"/>
  <c r="F70" i="4"/>
  <c r="H70" i="4" s="1"/>
  <c r="J70" i="4"/>
  <c r="Q333" i="5" l="1"/>
  <c r="S333" i="5" s="1"/>
  <c r="U333" i="5" s="1"/>
  <c r="F327" i="5"/>
  <c r="H327" i="5" s="1"/>
  <c r="J327" i="5" s="1"/>
  <c r="F76" i="5"/>
  <c r="H76" i="5" s="1"/>
  <c r="J76" i="5" s="1"/>
  <c r="H126" i="5"/>
  <c r="J126" i="5" s="1"/>
  <c r="F128" i="5" s="1"/>
  <c r="H67" i="7"/>
  <c r="J67" i="7" s="1"/>
  <c r="F69" i="7" s="1"/>
  <c r="F72" i="4"/>
  <c r="H72" i="4" s="1"/>
  <c r="J72" i="4" s="1"/>
  <c r="Q335" i="5" l="1"/>
  <c r="S335" i="5" s="1"/>
  <c r="U335" i="5" s="1"/>
  <c r="F329" i="5"/>
  <c r="H329" i="5" s="1"/>
  <c r="J329" i="5" s="1"/>
  <c r="H128" i="5"/>
  <c r="J128" i="5" s="1"/>
  <c r="F130" i="5" s="1"/>
  <c r="F78" i="5"/>
  <c r="H78" i="5" s="1"/>
  <c r="J78" i="5" s="1"/>
  <c r="H69" i="7"/>
  <c r="J69" i="7" s="1"/>
  <c r="F71" i="7" s="1"/>
  <c r="F74" i="4"/>
  <c r="H74" i="4" s="1"/>
  <c r="J74" i="4" s="1"/>
  <c r="Q337" i="5" l="1"/>
  <c r="S337" i="5" s="1"/>
  <c r="U337" i="5" s="1"/>
  <c r="F331" i="5"/>
  <c r="H331" i="5" s="1"/>
  <c r="J331" i="5" s="1"/>
  <c r="F80" i="5"/>
  <c r="H80" i="5" s="1"/>
  <c r="J80" i="5" s="1"/>
  <c r="H130" i="5"/>
  <c r="J130" i="5" s="1"/>
  <c r="F132" i="5" s="1"/>
  <c r="H71" i="7"/>
  <c r="J71" i="7"/>
  <c r="F73" i="7" s="1"/>
  <c r="F76" i="4"/>
  <c r="H76" i="4" s="1"/>
  <c r="J76" i="4" s="1"/>
  <c r="Q339" i="5" l="1"/>
  <c r="S339" i="5" s="1"/>
  <c r="U339" i="5" s="1"/>
  <c r="F333" i="5"/>
  <c r="H333" i="5" s="1"/>
  <c r="J333" i="5" s="1"/>
  <c r="H132" i="5"/>
  <c r="J132" i="5" s="1"/>
  <c r="F134" i="5" s="1"/>
  <c r="F82" i="5"/>
  <c r="H82" i="5" s="1"/>
  <c r="J82" i="5" s="1"/>
  <c r="H73" i="7"/>
  <c r="J73" i="7" s="1"/>
  <c r="F75" i="7" s="1"/>
  <c r="F78" i="4"/>
  <c r="H78" i="4" s="1"/>
  <c r="J78" i="4" s="1"/>
  <c r="Q341" i="5" l="1"/>
  <c r="S341" i="5" s="1"/>
  <c r="U341" i="5" s="1"/>
  <c r="F335" i="5"/>
  <c r="H335" i="5" s="1"/>
  <c r="J335" i="5" s="1"/>
  <c r="F84" i="5"/>
  <c r="H84" i="5" s="1"/>
  <c r="J84" i="5" s="1"/>
  <c r="H134" i="5"/>
  <c r="J134" i="5" s="1"/>
  <c r="F136" i="5" s="1"/>
  <c r="H75" i="7"/>
  <c r="J75" i="7" s="1"/>
  <c r="F77" i="7" s="1"/>
  <c r="F80" i="4"/>
  <c r="H80" i="4" s="1"/>
  <c r="J80" i="4" s="1"/>
  <c r="Q343" i="5" l="1"/>
  <c r="S343" i="5" s="1"/>
  <c r="U343" i="5" s="1"/>
  <c r="F337" i="5"/>
  <c r="H337" i="5" s="1"/>
  <c r="J337" i="5" s="1"/>
  <c r="H136" i="5"/>
  <c r="J136" i="5" s="1"/>
  <c r="F138" i="5" s="1"/>
  <c r="F86" i="5"/>
  <c r="H86" i="5" s="1"/>
  <c r="J86" i="5" s="1"/>
  <c r="H77" i="7"/>
  <c r="J77" i="7" s="1"/>
  <c r="F79" i="7" s="1"/>
  <c r="F82" i="4"/>
  <c r="H82" i="4" s="1"/>
  <c r="J82" i="4" s="1"/>
  <c r="Q345" i="5" l="1"/>
  <c r="S345" i="5" s="1"/>
  <c r="U345" i="5" s="1"/>
  <c r="F339" i="5"/>
  <c r="H339" i="5" s="1"/>
  <c r="J339" i="5" s="1"/>
  <c r="H138" i="5"/>
  <c r="J138" i="5" s="1"/>
  <c r="F140" i="5" s="1"/>
  <c r="F88" i="5"/>
  <c r="H88" i="5" s="1"/>
  <c r="J88" i="5" s="1"/>
  <c r="H79" i="7"/>
  <c r="J79" i="7" s="1"/>
  <c r="F81" i="7" s="1"/>
  <c r="F84" i="4"/>
  <c r="H84" i="4" s="1"/>
  <c r="J84" i="4"/>
  <c r="Q347" i="5" l="1"/>
  <c r="S347" i="5" s="1"/>
  <c r="U347" i="5"/>
  <c r="F341" i="5"/>
  <c r="H341" i="5" s="1"/>
  <c r="J341" i="5" s="1"/>
  <c r="F90" i="5"/>
  <c r="H90" i="5" s="1"/>
  <c r="J90" i="5" s="1"/>
  <c r="H140" i="5"/>
  <c r="J140" i="5" s="1"/>
  <c r="F142" i="5" s="1"/>
  <c r="H81" i="7"/>
  <c r="J81" i="7" s="1"/>
  <c r="F86" i="4"/>
  <c r="H86" i="4" s="1"/>
  <c r="J86" i="4"/>
  <c r="Q349" i="5" l="1"/>
  <c r="S349" i="5" s="1"/>
  <c r="U349" i="5"/>
  <c r="F343" i="5"/>
  <c r="H343" i="5" s="1"/>
  <c r="J343" i="5" s="1"/>
  <c r="H142" i="5"/>
  <c r="J142" i="5" s="1"/>
  <c r="F144" i="5" s="1"/>
  <c r="H85" i="7"/>
  <c r="F87" i="7" s="1"/>
  <c r="F88" i="4"/>
  <c r="H88" i="4" s="1"/>
  <c r="J88" i="4"/>
  <c r="Q351" i="5" l="1"/>
  <c r="S351" i="5" s="1"/>
  <c r="U351" i="5"/>
  <c r="F345" i="5"/>
  <c r="H345" i="5" s="1"/>
  <c r="J345" i="5" s="1"/>
  <c r="H144" i="5"/>
  <c r="J144" i="5" s="1"/>
  <c r="F146" i="5" s="1"/>
  <c r="H87" i="7"/>
  <c r="F89" i="7" s="1"/>
  <c r="F90" i="4"/>
  <c r="H90" i="4" s="1"/>
  <c r="J90" i="4" s="1"/>
  <c r="Q353" i="5" l="1"/>
  <c r="S353" i="5" s="1"/>
  <c r="U353" i="5"/>
  <c r="F347" i="5"/>
  <c r="H347" i="5" s="1"/>
  <c r="J347" i="5" s="1"/>
  <c r="H146" i="5"/>
  <c r="J146" i="5" s="1"/>
  <c r="F148" i="5" s="1"/>
  <c r="H89" i="7"/>
  <c r="J89" i="7" s="1"/>
  <c r="F92" i="4"/>
  <c r="H92" i="4" s="1"/>
  <c r="J92" i="4" s="1"/>
  <c r="Q355" i="5" l="1"/>
  <c r="S355" i="5" s="1"/>
  <c r="U355" i="5"/>
  <c r="F349" i="5"/>
  <c r="H349" i="5" s="1"/>
  <c r="J349" i="5" s="1"/>
  <c r="H148" i="5"/>
  <c r="J148" i="5" s="1"/>
  <c r="F150" i="5" s="1"/>
  <c r="F91" i="7"/>
  <c r="H91" i="7" s="1"/>
  <c r="J91" i="7" s="1"/>
  <c r="F94" i="4"/>
  <c r="H94" i="4" s="1"/>
  <c r="J94" i="4"/>
  <c r="Q357" i="5" l="1"/>
  <c r="S357" i="5" s="1"/>
  <c r="U357" i="5"/>
  <c r="F351" i="5"/>
  <c r="H351" i="5" s="1"/>
  <c r="J351" i="5" s="1"/>
  <c r="H150" i="5"/>
  <c r="J150" i="5" s="1"/>
  <c r="F152" i="5" s="1"/>
  <c r="F93" i="7"/>
  <c r="H93" i="7" s="1"/>
  <c r="J93" i="7" s="1"/>
  <c r="F96" i="4"/>
  <c r="H96" i="4" s="1"/>
  <c r="J96" i="4" s="1"/>
  <c r="Q359" i="5" l="1"/>
  <c r="S359" i="5" s="1"/>
  <c r="U359" i="5"/>
  <c r="F353" i="5"/>
  <c r="H353" i="5" s="1"/>
  <c r="J353" i="5" s="1"/>
  <c r="H152" i="5"/>
  <c r="J152" i="5" s="1"/>
  <c r="F154" i="5" s="1"/>
  <c r="F95" i="7"/>
  <c r="H95" i="7" s="1"/>
  <c r="J95" i="7" s="1"/>
  <c r="F98" i="4"/>
  <c r="H98" i="4" s="1"/>
  <c r="J98" i="4"/>
  <c r="Q361" i="5" l="1"/>
  <c r="S361" i="5" s="1"/>
  <c r="U361" i="5" s="1"/>
  <c r="F355" i="5"/>
  <c r="H355" i="5" s="1"/>
  <c r="J355" i="5" s="1"/>
  <c r="H154" i="5"/>
  <c r="J154" i="5" s="1"/>
  <c r="F156" i="5" s="1"/>
  <c r="F97" i="7"/>
  <c r="H97" i="7" s="1"/>
  <c r="J97" i="7" s="1"/>
  <c r="F100" i="4"/>
  <c r="H100" i="4" s="1"/>
  <c r="J100" i="4"/>
  <c r="Q363" i="5" l="1"/>
  <c r="S363" i="5" s="1"/>
  <c r="U363" i="5" s="1"/>
  <c r="F357" i="5"/>
  <c r="H357" i="5" s="1"/>
  <c r="J357" i="5" s="1"/>
  <c r="H156" i="5"/>
  <c r="J156" i="5" s="1"/>
  <c r="F158" i="5" s="1"/>
  <c r="F99" i="7"/>
  <c r="H99" i="7" s="1"/>
  <c r="J99" i="7" s="1"/>
  <c r="F102" i="4"/>
  <c r="H102" i="4" s="1"/>
  <c r="J102" i="4"/>
  <c r="Q365" i="5" l="1"/>
  <c r="S365" i="5" s="1"/>
  <c r="U365" i="5" s="1"/>
  <c r="F359" i="5"/>
  <c r="H359" i="5" s="1"/>
  <c r="J359" i="5" s="1"/>
  <c r="H158" i="5"/>
  <c r="J158" i="5" s="1"/>
  <c r="F160" i="5" s="1"/>
  <c r="F101" i="7"/>
  <c r="H101" i="7" s="1"/>
  <c r="J101" i="7" s="1"/>
  <c r="F104" i="4"/>
  <c r="H104" i="4" s="1"/>
  <c r="J104" i="4" s="1"/>
  <c r="Q367" i="5" l="1"/>
  <c r="S367" i="5" s="1"/>
  <c r="U367" i="5" s="1"/>
  <c r="F361" i="5"/>
  <c r="H361" i="5" s="1"/>
  <c r="J361" i="5" s="1"/>
  <c r="H160" i="5"/>
  <c r="J160" i="5" s="1"/>
  <c r="F162" i="5" s="1"/>
  <c r="F103" i="7"/>
  <c r="H103" i="7" s="1"/>
  <c r="J103" i="7" s="1"/>
  <c r="F106" i="4"/>
  <c r="H106" i="4" s="1"/>
  <c r="J106" i="4" s="1"/>
  <c r="Q369" i="5" l="1"/>
  <c r="S369" i="5" s="1"/>
  <c r="U369" i="5" s="1"/>
  <c r="F363" i="5"/>
  <c r="H363" i="5" s="1"/>
  <c r="J363" i="5" s="1"/>
  <c r="H162" i="5"/>
  <c r="J162" i="5" s="1"/>
  <c r="F164" i="5" s="1"/>
  <c r="F105" i="7"/>
  <c r="H105" i="7" s="1"/>
  <c r="J105" i="7" s="1"/>
  <c r="F108" i="4"/>
  <c r="H108" i="4" s="1"/>
  <c r="J108" i="4" s="1"/>
  <c r="Q371" i="5" l="1"/>
  <c r="S371" i="5" s="1"/>
  <c r="U371" i="5" s="1"/>
  <c r="F365" i="5"/>
  <c r="H365" i="5" s="1"/>
  <c r="J365" i="5" s="1"/>
  <c r="H164" i="5"/>
  <c r="J164" i="5" s="1"/>
  <c r="F166" i="5" s="1"/>
  <c r="F107" i="7"/>
  <c r="H107" i="7" s="1"/>
  <c r="J107" i="7" s="1"/>
  <c r="F110" i="4"/>
  <c r="H110" i="4" s="1"/>
  <c r="J110" i="4" s="1"/>
  <c r="Q373" i="5" l="1"/>
  <c r="S373" i="5" s="1"/>
  <c r="U373" i="5" s="1"/>
  <c r="F367" i="5"/>
  <c r="H367" i="5" s="1"/>
  <c r="J367" i="5" s="1"/>
  <c r="H166" i="5"/>
  <c r="J166" i="5" s="1"/>
  <c r="F168" i="5" s="1"/>
  <c r="F109" i="7"/>
  <c r="H109" i="7" s="1"/>
  <c r="J109" i="7" s="1"/>
  <c r="F112" i="4"/>
  <c r="H112" i="4" s="1"/>
  <c r="J112" i="4" s="1"/>
  <c r="Q375" i="5" l="1"/>
  <c r="S375" i="5" s="1"/>
  <c r="U375" i="5" s="1"/>
  <c r="F369" i="5"/>
  <c r="H369" i="5" s="1"/>
  <c r="J369" i="5" s="1"/>
  <c r="H168" i="5"/>
  <c r="J168" i="5" s="1"/>
  <c r="F170" i="5" s="1"/>
  <c r="F111" i="7"/>
  <c r="H111" i="7" s="1"/>
  <c r="J111" i="7" s="1"/>
  <c r="F114" i="4"/>
  <c r="H114" i="4" s="1"/>
  <c r="J114" i="4" s="1"/>
  <c r="Q377" i="5" l="1"/>
  <c r="S377" i="5" s="1"/>
  <c r="U377" i="5" s="1"/>
  <c r="F371" i="5"/>
  <c r="H371" i="5" s="1"/>
  <c r="J371" i="5" s="1"/>
  <c r="H170" i="5"/>
  <c r="J170" i="5" s="1"/>
  <c r="F172" i="5" s="1"/>
  <c r="F113" i="7"/>
  <c r="H113" i="7" s="1"/>
  <c r="J113" i="7" s="1"/>
  <c r="F116" i="4"/>
  <c r="H116" i="4" s="1"/>
  <c r="J116" i="4"/>
  <c r="Q379" i="5" l="1"/>
  <c r="S379" i="5" s="1"/>
  <c r="U379" i="5"/>
  <c r="F373" i="5"/>
  <c r="H373" i="5" s="1"/>
  <c r="J373" i="5" s="1"/>
  <c r="H172" i="5"/>
  <c r="J172" i="5" s="1"/>
  <c r="F174" i="5" s="1"/>
  <c r="F115" i="7"/>
  <c r="H115" i="7" s="1"/>
  <c r="J115" i="7" s="1"/>
  <c r="F118" i="4"/>
  <c r="H118" i="4" s="1"/>
  <c r="J118" i="4" s="1"/>
  <c r="Q381" i="5" l="1"/>
  <c r="S381" i="5" s="1"/>
  <c r="U381" i="5" s="1"/>
  <c r="F375" i="5"/>
  <c r="H375" i="5" s="1"/>
  <c r="J375" i="5" s="1"/>
  <c r="H174" i="5"/>
  <c r="J174" i="5" s="1"/>
  <c r="F176" i="5" s="1"/>
  <c r="F117" i="7"/>
  <c r="H117" i="7" s="1"/>
  <c r="J117" i="7" s="1"/>
  <c r="F120" i="4"/>
  <c r="H120" i="4" s="1"/>
  <c r="J120" i="4"/>
  <c r="Q383" i="5" l="1"/>
  <c r="S383" i="5" s="1"/>
  <c r="U383" i="5"/>
  <c r="F377" i="5"/>
  <c r="H377" i="5" s="1"/>
  <c r="J377" i="5" s="1"/>
  <c r="H176" i="5"/>
  <c r="J176" i="5" s="1"/>
  <c r="F178" i="5" s="1"/>
  <c r="F119" i="7"/>
  <c r="H119" i="7" s="1"/>
  <c r="J119" i="7" s="1"/>
  <c r="F122" i="4"/>
  <c r="H122" i="4" s="1"/>
  <c r="J122" i="4" s="1"/>
  <c r="Q385" i="5" l="1"/>
  <c r="S385" i="5" s="1"/>
  <c r="U385" i="5"/>
  <c r="F379" i="5"/>
  <c r="H379" i="5" s="1"/>
  <c r="J379" i="5" s="1"/>
  <c r="H178" i="5"/>
  <c r="J178" i="5" s="1"/>
  <c r="F180" i="5" s="1"/>
  <c r="F121" i="7"/>
  <c r="H121" i="7" s="1"/>
  <c r="J121" i="7" s="1"/>
  <c r="F124" i="4"/>
  <c r="H124" i="4" s="1"/>
  <c r="J124" i="4" s="1"/>
  <c r="Q387" i="5" l="1"/>
  <c r="S387" i="5" s="1"/>
  <c r="U387" i="5"/>
  <c r="F381" i="5"/>
  <c r="H381" i="5" s="1"/>
  <c r="J381" i="5" s="1"/>
  <c r="H180" i="5"/>
  <c r="J180" i="5" s="1"/>
  <c r="F182" i="5" s="1"/>
  <c r="F123" i="7"/>
  <c r="H123" i="7" s="1"/>
  <c r="J123" i="7" s="1"/>
  <c r="F126" i="4"/>
  <c r="H126" i="4" s="1"/>
  <c r="J126" i="4" s="1"/>
  <c r="Q389" i="5" l="1"/>
  <c r="S389" i="5" s="1"/>
  <c r="U389" i="5"/>
  <c r="F383" i="5"/>
  <c r="H383" i="5" s="1"/>
  <c r="J383" i="5" s="1"/>
  <c r="H182" i="5"/>
  <c r="J182" i="5" s="1"/>
  <c r="F184" i="5" s="1"/>
  <c r="F125" i="7"/>
  <c r="H125" i="7" s="1"/>
  <c r="J125" i="7" s="1"/>
  <c r="F128" i="4"/>
  <c r="H128" i="4" s="1"/>
  <c r="J128" i="4"/>
  <c r="Q391" i="5" l="1"/>
  <c r="S391" i="5" s="1"/>
  <c r="U391" i="5" s="1"/>
  <c r="F385" i="5"/>
  <c r="H385" i="5" s="1"/>
  <c r="J385" i="5" s="1"/>
  <c r="H184" i="5"/>
  <c r="J184" i="5" s="1"/>
  <c r="F186" i="5" s="1"/>
  <c r="F127" i="7"/>
  <c r="H127" i="7" s="1"/>
  <c r="J127" i="7" s="1"/>
  <c r="F130" i="4"/>
  <c r="H130" i="4" s="1"/>
  <c r="J130" i="4"/>
  <c r="Q393" i="5" l="1"/>
  <c r="S393" i="5" s="1"/>
  <c r="U393" i="5" s="1"/>
  <c r="F387" i="5"/>
  <c r="H387" i="5" s="1"/>
  <c r="J387" i="5" s="1"/>
  <c r="H186" i="5"/>
  <c r="J186" i="5" s="1"/>
  <c r="F188" i="5" s="1"/>
  <c r="F129" i="7"/>
  <c r="H129" i="7" s="1"/>
  <c r="J129" i="7" s="1"/>
  <c r="F132" i="4"/>
  <c r="H132" i="4" s="1"/>
  <c r="J132" i="4"/>
  <c r="Q395" i="5" l="1"/>
  <c r="S395" i="5" s="1"/>
  <c r="U395" i="5" s="1"/>
  <c r="F389" i="5"/>
  <c r="H389" i="5" s="1"/>
  <c r="J389" i="5" s="1"/>
  <c r="H188" i="5"/>
  <c r="J188" i="5" s="1"/>
  <c r="F190" i="5" s="1"/>
  <c r="F131" i="7"/>
  <c r="H131" i="7" s="1"/>
  <c r="J131" i="7" s="1"/>
  <c r="F134" i="4"/>
  <c r="H134" i="4" s="1"/>
  <c r="J134" i="4"/>
  <c r="Q397" i="5" l="1"/>
  <c r="S397" i="5" s="1"/>
  <c r="U397" i="5" s="1"/>
  <c r="F391" i="5"/>
  <c r="H391" i="5" s="1"/>
  <c r="J391" i="5" s="1"/>
  <c r="H190" i="5"/>
  <c r="J190" i="5" s="1"/>
  <c r="F192" i="5" s="1"/>
  <c r="F133" i="7"/>
  <c r="H133" i="7" s="1"/>
  <c r="J133" i="7" s="1"/>
  <c r="F136" i="4"/>
  <c r="H136" i="4" s="1"/>
  <c r="J136" i="4" s="1"/>
  <c r="Q399" i="5" l="1"/>
  <c r="S399" i="5" s="1"/>
  <c r="U399" i="5" s="1"/>
  <c r="F393" i="5"/>
  <c r="H393" i="5" s="1"/>
  <c r="J393" i="5" s="1"/>
  <c r="H192" i="5"/>
  <c r="J192" i="5" s="1"/>
  <c r="F194" i="5" s="1"/>
  <c r="F135" i="7"/>
  <c r="H135" i="7" s="1"/>
  <c r="J135" i="7" s="1"/>
  <c r="F138" i="4"/>
  <c r="H138" i="4" s="1"/>
  <c r="J138" i="4" s="1"/>
  <c r="Q401" i="5" l="1"/>
  <c r="S401" i="5" s="1"/>
  <c r="U401" i="5" s="1"/>
  <c r="F395" i="5"/>
  <c r="H395" i="5" s="1"/>
  <c r="J395" i="5" s="1"/>
  <c r="H194" i="5"/>
  <c r="J194" i="5" s="1"/>
  <c r="F196" i="5" s="1"/>
  <c r="F137" i="7"/>
  <c r="H137" i="7" s="1"/>
  <c r="J137" i="7" s="1"/>
  <c r="F140" i="4"/>
  <c r="H140" i="4" s="1"/>
  <c r="J140" i="4" s="1"/>
  <c r="Q403" i="5" l="1"/>
  <c r="S403" i="5" s="1"/>
  <c r="U403" i="5" s="1"/>
  <c r="F397" i="5"/>
  <c r="H397" i="5" s="1"/>
  <c r="J397" i="5" s="1"/>
  <c r="H196" i="5"/>
  <c r="J196" i="5" s="1"/>
  <c r="F198" i="5" s="1"/>
  <c r="F139" i="7"/>
  <c r="H139" i="7" s="1"/>
  <c r="J139" i="7" s="1"/>
  <c r="F142" i="4"/>
  <c r="H142" i="4" s="1"/>
  <c r="J142" i="4" s="1"/>
  <c r="Q405" i="5" l="1"/>
  <c r="S405" i="5" s="1"/>
  <c r="U405" i="5" s="1"/>
  <c r="F399" i="5"/>
  <c r="H399" i="5" s="1"/>
  <c r="J399" i="5" s="1"/>
  <c r="H198" i="5"/>
  <c r="J198" i="5" s="1"/>
  <c r="F200" i="5" s="1"/>
  <c r="F141" i="7"/>
  <c r="H141" i="7" s="1"/>
  <c r="J141" i="7" s="1"/>
  <c r="F144" i="4"/>
  <c r="H144" i="4" s="1"/>
  <c r="J144" i="4" s="1"/>
  <c r="Q407" i="5" l="1"/>
  <c r="S407" i="5" s="1"/>
  <c r="U407" i="5" s="1"/>
  <c r="F401" i="5"/>
  <c r="H401" i="5" s="1"/>
  <c r="J401" i="5" s="1"/>
  <c r="H200" i="5"/>
  <c r="J200" i="5" s="1"/>
  <c r="F202" i="5" s="1"/>
  <c r="F143" i="7"/>
  <c r="H143" i="7" s="1"/>
  <c r="J143" i="7" s="1"/>
  <c r="F146" i="4"/>
  <c r="H146" i="4" s="1"/>
  <c r="J146" i="4" s="1"/>
  <c r="Q409" i="5" l="1"/>
  <c r="S409" i="5" s="1"/>
  <c r="U409" i="5" s="1"/>
  <c r="F403" i="5"/>
  <c r="H403" i="5" s="1"/>
  <c r="J403" i="5" s="1"/>
  <c r="H202" i="5"/>
  <c r="J202" i="5" s="1"/>
  <c r="F204" i="5" s="1"/>
  <c r="F145" i="7"/>
  <c r="H145" i="7" s="1"/>
  <c r="J145" i="7" s="1"/>
  <c r="F148" i="4"/>
  <c r="H148" i="4" s="1"/>
  <c r="J148" i="4" s="1"/>
  <c r="Q411" i="5" l="1"/>
  <c r="S411" i="5" s="1"/>
  <c r="U411" i="5"/>
  <c r="F405" i="5"/>
  <c r="H405" i="5" s="1"/>
  <c r="J405" i="5" s="1"/>
  <c r="H204" i="5"/>
  <c r="J204" i="5" s="1"/>
  <c r="F206" i="5" s="1"/>
  <c r="F147" i="7"/>
  <c r="H147" i="7" s="1"/>
  <c r="J147" i="7" s="1"/>
  <c r="F150" i="4"/>
  <c r="H150" i="4" s="1"/>
  <c r="J150" i="4"/>
  <c r="Q413" i="5" l="1"/>
  <c r="S413" i="5" s="1"/>
  <c r="U413" i="5"/>
  <c r="F407" i="5"/>
  <c r="H407" i="5" s="1"/>
  <c r="J407" i="5" s="1"/>
  <c r="H206" i="5"/>
  <c r="J206" i="5" s="1"/>
  <c r="F208" i="5" s="1"/>
  <c r="F149" i="7"/>
  <c r="H149" i="7" s="1"/>
  <c r="J149" i="7" s="1"/>
  <c r="F152" i="4"/>
  <c r="H152" i="4" s="1"/>
  <c r="J152" i="4" s="1"/>
  <c r="Q415" i="5" l="1"/>
  <c r="S415" i="5" s="1"/>
  <c r="U415" i="5"/>
  <c r="F409" i="5"/>
  <c r="H409" i="5" s="1"/>
  <c r="J409" i="5" s="1"/>
  <c r="H208" i="5"/>
  <c r="J208" i="5" s="1"/>
  <c r="F210" i="5" s="1"/>
  <c r="F151" i="7"/>
  <c r="H151" i="7" s="1"/>
  <c r="J151" i="7" s="1"/>
  <c r="F154" i="4"/>
  <c r="H154" i="4" s="1"/>
  <c r="J154" i="4" s="1"/>
  <c r="Q417" i="5" l="1"/>
  <c r="S417" i="5" s="1"/>
  <c r="U417" i="5"/>
  <c r="F411" i="5"/>
  <c r="H411" i="5" s="1"/>
  <c r="J411" i="5" s="1"/>
  <c r="H210" i="5"/>
  <c r="J210" i="5" s="1"/>
  <c r="F212" i="5" s="1"/>
  <c r="F153" i="7"/>
  <c r="H153" i="7" s="1"/>
  <c r="J153" i="7" s="1"/>
  <c r="F156" i="4"/>
  <c r="H156" i="4" s="1"/>
  <c r="J156" i="4" s="1"/>
  <c r="Q419" i="5" l="1"/>
  <c r="S419" i="5" s="1"/>
  <c r="U419" i="5"/>
  <c r="F413" i="5"/>
  <c r="H413" i="5" s="1"/>
  <c r="J413" i="5" s="1"/>
  <c r="H212" i="5"/>
  <c r="J212" i="5" s="1"/>
  <c r="F214" i="5" s="1"/>
  <c r="F155" i="7"/>
  <c r="H155" i="7" s="1"/>
  <c r="J155" i="7" s="1"/>
  <c r="F158" i="4"/>
  <c r="H158" i="4" s="1"/>
  <c r="J158" i="4" s="1"/>
  <c r="Q421" i="5" l="1"/>
  <c r="S421" i="5" s="1"/>
  <c r="U421" i="5"/>
  <c r="F415" i="5"/>
  <c r="H415" i="5" s="1"/>
  <c r="J415" i="5" s="1"/>
  <c r="H214" i="5"/>
  <c r="J214" i="5" s="1"/>
  <c r="F216" i="5" s="1"/>
  <c r="F157" i="7"/>
  <c r="H157" i="7" s="1"/>
  <c r="J157" i="7" s="1"/>
  <c r="F160" i="4"/>
  <c r="H160" i="4" s="1"/>
  <c r="J160" i="4"/>
  <c r="Q423" i="5" l="1"/>
  <c r="S423" i="5" s="1"/>
  <c r="U423" i="5"/>
  <c r="F417" i="5"/>
  <c r="H417" i="5" s="1"/>
  <c r="J417" i="5" s="1"/>
  <c r="H216" i="5"/>
  <c r="J216" i="5" s="1"/>
  <c r="F218" i="5" s="1"/>
  <c r="F159" i="7"/>
  <c r="H159" i="7" s="1"/>
  <c r="J159" i="7" s="1"/>
  <c r="F162" i="4"/>
  <c r="H162" i="4" s="1"/>
  <c r="J162" i="4"/>
  <c r="Q425" i="5" l="1"/>
  <c r="S425" i="5" s="1"/>
  <c r="U425" i="5" s="1"/>
  <c r="F419" i="5"/>
  <c r="H419" i="5" s="1"/>
  <c r="J419" i="5" s="1"/>
  <c r="H218" i="5"/>
  <c r="J218" i="5" s="1"/>
  <c r="F220" i="5" s="1"/>
  <c r="F161" i="7"/>
  <c r="H161" i="7" s="1"/>
  <c r="J161" i="7" s="1"/>
  <c r="F164" i="4"/>
  <c r="H164" i="4" s="1"/>
  <c r="J164" i="4"/>
  <c r="Q427" i="5" l="1"/>
  <c r="S427" i="5" s="1"/>
  <c r="U427" i="5" s="1"/>
  <c r="F421" i="5"/>
  <c r="H421" i="5" s="1"/>
  <c r="J421" i="5" s="1"/>
  <c r="H220" i="5"/>
  <c r="J220" i="5" s="1"/>
  <c r="F222" i="5" s="1"/>
  <c r="F163" i="7"/>
  <c r="H163" i="7" s="1"/>
  <c r="J163" i="7" s="1"/>
  <c r="F166" i="4"/>
  <c r="H166" i="4" s="1"/>
  <c r="J166" i="4"/>
  <c r="Q429" i="5" l="1"/>
  <c r="S429" i="5" s="1"/>
  <c r="U429" i="5" s="1"/>
  <c r="F423" i="5"/>
  <c r="H423" i="5" s="1"/>
  <c r="J423" i="5" s="1"/>
  <c r="H222" i="5"/>
  <c r="J222" i="5" s="1"/>
  <c r="F224" i="5" s="1"/>
  <c r="F165" i="7"/>
  <c r="H165" i="7" s="1"/>
  <c r="J165" i="7" s="1"/>
  <c r="F168" i="4"/>
  <c r="H168" i="4" s="1"/>
  <c r="J168" i="4" s="1"/>
  <c r="Q431" i="5" l="1"/>
  <c r="S431" i="5" s="1"/>
  <c r="U431" i="5" s="1"/>
  <c r="F425" i="5"/>
  <c r="H425" i="5" s="1"/>
  <c r="J425" i="5" s="1"/>
  <c r="H224" i="5"/>
  <c r="J224" i="5" s="1"/>
  <c r="F226" i="5" s="1"/>
  <c r="F167" i="7"/>
  <c r="H167" i="7" s="1"/>
  <c r="J167" i="7" s="1"/>
  <c r="F170" i="4"/>
  <c r="H170" i="4" s="1"/>
  <c r="J170" i="4" s="1"/>
  <c r="Q433" i="5" l="1"/>
  <c r="S433" i="5" s="1"/>
  <c r="U433" i="5" s="1"/>
  <c r="F427" i="5"/>
  <c r="H427" i="5" s="1"/>
  <c r="J427" i="5" s="1"/>
  <c r="H226" i="5"/>
  <c r="J226" i="5" s="1"/>
  <c r="F228" i="5" s="1"/>
  <c r="F169" i="7"/>
  <c r="H169" i="7" s="1"/>
  <c r="J169" i="7" s="1"/>
  <c r="F172" i="4"/>
  <c r="H172" i="4" s="1"/>
  <c r="J172" i="4" s="1"/>
  <c r="Q435" i="5" l="1"/>
  <c r="S435" i="5" s="1"/>
  <c r="U435" i="5" s="1"/>
  <c r="F429" i="5"/>
  <c r="H429" i="5" s="1"/>
  <c r="J429" i="5" s="1"/>
  <c r="H228" i="5"/>
  <c r="J228" i="5" s="1"/>
  <c r="F230" i="5" s="1"/>
  <c r="F171" i="7"/>
  <c r="H171" i="7" s="1"/>
  <c r="J171" i="7" s="1"/>
  <c r="F174" i="4"/>
  <c r="H174" i="4" s="1"/>
  <c r="J174" i="4" s="1"/>
  <c r="Q437" i="5" l="1"/>
  <c r="S437" i="5" s="1"/>
  <c r="U437" i="5" s="1"/>
  <c r="F431" i="5"/>
  <c r="H431" i="5" s="1"/>
  <c r="J431" i="5" s="1"/>
  <c r="H230" i="5"/>
  <c r="J230" i="5" s="1"/>
  <c r="F232" i="5" s="1"/>
  <c r="F173" i="7"/>
  <c r="H173" i="7" s="1"/>
  <c r="J173" i="7" s="1"/>
  <c r="F176" i="4"/>
  <c r="H176" i="4" s="1"/>
  <c r="J176" i="4" s="1"/>
  <c r="Q439" i="5" l="1"/>
  <c r="S439" i="5" s="1"/>
  <c r="U439" i="5" s="1"/>
  <c r="F433" i="5"/>
  <c r="H433" i="5" s="1"/>
  <c r="J433" i="5" s="1"/>
  <c r="H232" i="5"/>
  <c r="J232" i="5" s="1"/>
  <c r="F234" i="5" s="1"/>
  <c r="F175" i="7"/>
  <c r="H175" i="7" s="1"/>
  <c r="J175" i="7" s="1"/>
  <c r="F178" i="4"/>
  <c r="H178" i="4" s="1"/>
  <c r="J178" i="4"/>
  <c r="Q441" i="5" l="1"/>
  <c r="S441" i="5" s="1"/>
  <c r="U441" i="5" s="1"/>
  <c r="F435" i="5"/>
  <c r="H435" i="5" s="1"/>
  <c r="J435" i="5" s="1"/>
  <c r="H234" i="5"/>
  <c r="J234" i="5" s="1"/>
  <c r="F236" i="5" s="1"/>
  <c r="F177" i="7"/>
  <c r="H177" i="7" s="1"/>
  <c r="J177" i="7" s="1"/>
  <c r="F180" i="4"/>
  <c r="H180" i="4" s="1"/>
  <c r="J180" i="4"/>
  <c r="Q443" i="5" l="1"/>
  <c r="S443" i="5" s="1"/>
  <c r="U443" i="5"/>
  <c r="F437" i="5"/>
  <c r="H437" i="5" s="1"/>
  <c r="J437" i="5" s="1"/>
  <c r="H236" i="5"/>
  <c r="J236" i="5" s="1"/>
  <c r="F238" i="5" s="1"/>
  <c r="F179" i="7"/>
  <c r="H179" i="7" s="1"/>
  <c r="J179" i="7" s="1"/>
  <c r="F182" i="4"/>
  <c r="H182" i="4" s="1"/>
  <c r="J182" i="4" s="1"/>
  <c r="Q445" i="5" l="1"/>
  <c r="S445" i="5" s="1"/>
  <c r="U445" i="5" s="1"/>
  <c r="F439" i="5"/>
  <c r="H439" i="5" s="1"/>
  <c r="J439" i="5" s="1"/>
  <c r="H238" i="5"/>
  <c r="J238" i="5" s="1"/>
  <c r="F240" i="5" s="1"/>
  <c r="F181" i="7"/>
  <c r="H181" i="7" s="1"/>
  <c r="J181" i="7" s="1"/>
  <c r="F184" i="4"/>
  <c r="H184" i="4" s="1"/>
  <c r="J184" i="4"/>
  <c r="Q447" i="5" l="1"/>
  <c r="S447" i="5" s="1"/>
  <c r="U447" i="5"/>
  <c r="F441" i="5"/>
  <c r="H441" i="5" s="1"/>
  <c r="J441" i="5" s="1"/>
  <c r="H240" i="5"/>
  <c r="J240" i="5" s="1"/>
  <c r="F242" i="5" s="1"/>
  <c r="F183" i="7"/>
  <c r="H183" i="7" s="1"/>
  <c r="J183" i="7" s="1"/>
  <c r="F186" i="4"/>
  <c r="H186" i="4" s="1"/>
  <c r="J186" i="4" s="1"/>
  <c r="Q449" i="5" l="1"/>
  <c r="S449" i="5" s="1"/>
  <c r="U449" i="5"/>
  <c r="F443" i="5"/>
  <c r="H443" i="5" s="1"/>
  <c r="J443" i="5" s="1"/>
  <c r="H242" i="5"/>
  <c r="J242" i="5" s="1"/>
  <c r="F244" i="5" s="1"/>
  <c r="F185" i="7"/>
  <c r="H185" i="7" s="1"/>
  <c r="J185" i="7" s="1"/>
  <c r="F187" i="7" s="1"/>
  <c r="F188" i="4"/>
  <c r="H188" i="4" s="1"/>
  <c r="J188" i="4" s="1"/>
  <c r="Q451" i="5" l="1"/>
  <c r="S451" i="5" s="1"/>
  <c r="U451" i="5"/>
  <c r="F445" i="5"/>
  <c r="H445" i="5" s="1"/>
  <c r="J445" i="5" s="1"/>
  <c r="H244" i="5"/>
  <c r="J244" i="5" s="1"/>
  <c r="F246" i="5" s="1"/>
  <c r="H187" i="7"/>
  <c r="J187" i="7" s="1"/>
  <c r="F189" i="7" s="1"/>
  <c r="F190" i="4"/>
  <c r="H190" i="4" s="1"/>
  <c r="J190" i="4" s="1"/>
  <c r="Q453" i="5" l="1"/>
  <c r="S453" i="5" s="1"/>
  <c r="U453" i="5"/>
  <c r="F447" i="5"/>
  <c r="H447" i="5" s="1"/>
  <c r="J447" i="5" s="1"/>
  <c r="H246" i="5"/>
  <c r="J246" i="5" s="1"/>
  <c r="F248" i="5" s="1"/>
  <c r="H189" i="7"/>
  <c r="J189" i="7" s="1"/>
  <c r="F191" i="7" s="1"/>
  <c r="F192" i="4"/>
  <c r="H192" i="4" s="1"/>
  <c r="J192" i="4" s="1"/>
  <c r="Q455" i="5" l="1"/>
  <c r="S455" i="5" s="1"/>
  <c r="U455" i="5"/>
  <c r="F449" i="5"/>
  <c r="H449" i="5" s="1"/>
  <c r="J449" i="5" s="1"/>
  <c r="H248" i="5"/>
  <c r="J248" i="5" s="1"/>
  <c r="F250" i="5" s="1"/>
  <c r="H191" i="7"/>
  <c r="J191" i="7" s="1"/>
  <c r="F193" i="7" s="1"/>
  <c r="F194" i="4"/>
  <c r="H194" i="4" s="1"/>
  <c r="J194" i="4"/>
  <c r="Q457" i="5" l="1"/>
  <c r="S457" i="5" s="1"/>
  <c r="U457" i="5" s="1"/>
  <c r="F451" i="5"/>
  <c r="H451" i="5" s="1"/>
  <c r="J451" i="5" s="1"/>
  <c r="H250" i="5"/>
  <c r="J250" i="5" s="1"/>
  <c r="F252" i="5" s="1"/>
  <c r="H193" i="7"/>
  <c r="J193" i="7" s="1"/>
  <c r="F195" i="7" s="1"/>
  <c r="F196" i="4"/>
  <c r="H196" i="4" s="1"/>
  <c r="J196" i="4"/>
  <c r="Q459" i="5" l="1"/>
  <c r="S459" i="5" s="1"/>
  <c r="U459" i="5" s="1"/>
  <c r="F453" i="5"/>
  <c r="H453" i="5" s="1"/>
  <c r="J453" i="5" s="1"/>
  <c r="H252" i="5"/>
  <c r="J252" i="5" s="1"/>
  <c r="F254" i="5" s="1"/>
  <c r="H195" i="7"/>
  <c r="J195" i="7" s="1"/>
  <c r="F197" i="7" s="1"/>
  <c r="F198" i="4"/>
  <c r="H198" i="4" s="1"/>
  <c r="J198" i="4"/>
  <c r="Q461" i="5" l="1"/>
  <c r="S461" i="5" s="1"/>
  <c r="U461" i="5" s="1"/>
  <c r="F455" i="5"/>
  <c r="H455" i="5" s="1"/>
  <c r="J455" i="5" s="1"/>
  <c r="H254" i="5"/>
  <c r="J254" i="5" s="1"/>
  <c r="F256" i="5" s="1"/>
  <c r="H197" i="7"/>
  <c r="J197" i="7" s="1"/>
  <c r="F199" i="7" s="1"/>
  <c r="F200" i="4"/>
  <c r="H200" i="4" s="1"/>
  <c r="J200" i="4" s="1"/>
  <c r="Q463" i="5" l="1"/>
  <c r="S463" i="5" s="1"/>
  <c r="U463" i="5" s="1"/>
  <c r="F457" i="5"/>
  <c r="H457" i="5" s="1"/>
  <c r="J457" i="5" s="1"/>
  <c r="H256" i="5"/>
  <c r="J256" i="5" s="1"/>
  <c r="F258" i="5" s="1"/>
  <c r="H199" i="7"/>
  <c r="J199" i="7" s="1"/>
  <c r="F201" i="7" s="1"/>
  <c r="F202" i="4"/>
  <c r="H202" i="4" s="1"/>
  <c r="J202" i="4" s="1"/>
  <c r="Q465" i="5" l="1"/>
  <c r="S465" i="5" s="1"/>
  <c r="U465" i="5" s="1"/>
  <c r="F459" i="5"/>
  <c r="H459" i="5" s="1"/>
  <c r="J459" i="5" s="1"/>
  <c r="H258" i="5"/>
  <c r="J258" i="5" s="1"/>
  <c r="F260" i="5" s="1"/>
  <c r="H201" i="7"/>
  <c r="J201" i="7" s="1"/>
  <c r="F203" i="7" s="1"/>
  <c r="F204" i="4"/>
  <c r="H204" i="4" s="1"/>
  <c r="J204" i="4" s="1"/>
  <c r="Q467" i="5" l="1"/>
  <c r="S467" i="5" s="1"/>
  <c r="U467" i="5" s="1"/>
  <c r="F461" i="5"/>
  <c r="H461" i="5" s="1"/>
  <c r="J461" i="5" s="1"/>
  <c r="H260" i="5"/>
  <c r="J260" i="5" s="1"/>
  <c r="F262" i="5" s="1"/>
  <c r="H203" i="7"/>
  <c r="J203" i="7" s="1"/>
  <c r="F205" i="7" s="1"/>
  <c r="F206" i="4"/>
  <c r="H206" i="4" s="1"/>
  <c r="J206" i="4" s="1"/>
  <c r="Q469" i="5" l="1"/>
  <c r="S469" i="5" s="1"/>
  <c r="U469" i="5" s="1"/>
  <c r="F463" i="5"/>
  <c r="H463" i="5" s="1"/>
  <c r="J463" i="5" s="1"/>
  <c r="H262" i="5"/>
  <c r="J262" i="5" s="1"/>
  <c r="F264" i="5" s="1"/>
  <c r="H205" i="7"/>
  <c r="J205" i="7" s="1"/>
  <c r="F207" i="7" s="1"/>
  <c r="F208" i="4"/>
  <c r="H208" i="4" s="1"/>
  <c r="J208" i="4" s="1"/>
  <c r="Q471" i="5" l="1"/>
  <c r="S471" i="5" s="1"/>
  <c r="U471" i="5" s="1"/>
  <c r="F465" i="5"/>
  <c r="H465" i="5" s="1"/>
  <c r="J465" i="5" s="1"/>
  <c r="H264" i="5"/>
  <c r="J264" i="5" s="1"/>
  <c r="F266" i="5" s="1"/>
  <c r="H207" i="7"/>
  <c r="J207" i="7" s="1"/>
  <c r="F209" i="7" s="1"/>
  <c r="F210" i="4"/>
  <c r="H210" i="4" s="1"/>
  <c r="J210" i="4" s="1"/>
  <c r="Q473" i="5" l="1"/>
  <c r="S473" i="5" s="1"/>
  <c r="U473" i="5" s="1"/>
  <c r="F467" i="5"/>
  <c r="H467" i="5" s="1"/>
  <c r="J467" i="5" s="1"/>
  <c r="H266" i="5"/>
  <c r="J266" i="5" s="1"/>
  <c r="F268" i="5" s="1"/>
  <c r="H209" i="7"/>
  <c r="J209" i="7" s="1"/>
  <c r="F211" i="7" s="1"/>
  <c r="F212" i="4"/>
  <c r="H212" i="4" s="1"/>
  <c r="J212" i="4" s="1"/>
  <c r="Q475" i="5" l="1"/>
  <c r="S475" i="5" s="1"/>
  <c r="U475" i="5"/>
  <c r="F469" i="5"/>
  <c r="H469" i="5" s="1"/>
  <c r="J469" i="5" s="1"/>
  <c r="H268" i="5"/>
  <c r="J268" i="5" s="1"/>
  <c r="F270" i="5" s="1"/>
  <c r="H211" i="7"/>
  <c r="J211" i="7" s="1"/>
  <c r="F213" i="7" s="1"/>
  <c r="F214" i="4"/>
  <c r="H214" i="4" s="1"/>
  <c r="J214" i="4"/>
  <c r="Q477" i="5" l="1"/>
  <c r="S477" i="5" s="1"/>
  <c r="U477" i="5"/>
  <c r="F471" i="5"/>
  <c r="H471" i="5" s="1"/>
  <c r="J471" i="5" s="1"/>
  <c r="H270" i="5"/>
  <c r="J270" i="5" s="1"/>
  <c r="F272" i="5" s="1"/>
  <c r="H213" i="7"/>
  <c r="J213" i="7" s="1"/>
  <c r="F215" i="7" s="1"/>
  <c r="F216" i="4"/>
  <c r="H216" i="4" s="1"/>
  <c r="J216" i="4" s="1"/>
  <c r="Q479" i="5" l="1"/>
  <c r="S479" i="5" s="1"/>
  <c r="U479" i="5"/>
  <c r="F473" i="5"/>
  <c r="H473" i="5" s="1"/>
  <c r="J473" i="5" s="1"/>
  <c r="H272" i="5"/>
  <c r="J272" i="5" s="1"/>
  <c r="F274" i="5" s="1"/>
  <c r="H215" i="7"/>
  <c r="J215" i="7"/>
  <c r="F217" i="7" s="1"/>
  <c r="F218" i="4"/>
  <c r="H218" i="4" s="1"/>
  <c r="J218" i="4" s="1"/>
  <c r="Q481" i="5" l="1"/>
  <c r="S481" i="5" s="1"/>
  <c r="U481" i="5"/>
  <c r="F475" i="5"/>
  <c r="H475" i="5" s="1"/>
  <c r="J475" i="5" s="1"/>
  <c r="H274" i="5"/>
  <c r="J274" i="5" s="1"/>
  <c r="F276" i="5" s="1"/>
  <c r="H217" i="7"/>
  <c r="J217" i="7" s="1"/>
  <c r="F219" i="7" s="1"/>
  <c r="F220" i="4"/>
  <c r="H220" i="4" s="1"/>
  <c r="J220" i="4" s="1"/>
  <c r="Q483" i="5" l="1"/>
  <c r="S483" i="5" s="1"/>
  <c r="U483" i="5"/>
  <c r="F477" i="5"/>
  <c r="H477" i="5" s="1"/>
  <c r="J477" i="5" s="1"/>
  <c r="H276" i="5"/>
  <c r="J276" i="5" s="1"/>
  <c r="F278" i="5" s="1"/>
  <c r="H219" i="7"/>
  <c r="J219" i="7" s="1"/>
  <c r="F221" i="7" s="1"/>
  <c r="F222" i="4"/>
  <c r="H222" i="4" s="1"/>
  <c r="J222" i="4" s="1"/>
  <c r="Q485" i="5" l="1"/>
  <c r="S485" i="5" s="1"/>
  <c r="U485" i="5"/>
  <c r="F479" i="5"/>
  <c r="H479" i="5" s="1"/>
  <c r="J479" i="5" s="1"/>
  <c r="H278" i="5"/>
  <c r="J278" i="5" s="1"/>
  <c r="F280" i="5" s="1"/>
  <c r="H221" i="7"/>
  <c r="J221" i="7" s="1"/>
  <c r="F223" i="7" s="1"/>
  <c r="F224" i="4"/>
  <c r="H224" i="4" s="1"/>
  <c r="J224" i="4" s="1"/>
  <c r="Q487" i="5" l="1"/>
  <c r="S487" i="5" s="1"/>
  <c r="U487" i="5"/>
  <c r="F481" i="5"/>
  <c r="H481" i="5" s="1"/>
  <c r="J481" i="5" s="1"/>
  <c r="H280" i="5"/>
  <c r="J280" i="5" s="1"/>
  <c r="F282" i="5" s="1"/>
  <c r="H223" i="7"/>
  <c r="J223" i="7"/>
  <c r="F225" i="7" s="1"/>
  <c r="F226" i="4"/>
  <c r="H226" i="4" s="1"/>
  <c r="J226" i="4"/>
  <c r="Q489" i="5" l="1"/>
  <c r="S489" i="5" s="1"/>
  <c r="U489" i="5" s="1"/>
  <c r="F483" i="5"/>
  <c r="H483" i="5" s="1"/>
  <c r="J483" i="5" s="1"/>
  <c r="H282" i="5"/>
  <c r="J282" i="5" s="1"/>
  <c r="F284" i="5" s="1"/>
  <c r="H225" i="7"/>
  <c r="J225" i="7" s="1"/>
  <c r="F227" i="7" s="1"/>
  <c r="F228" i="4"/>
  <c r="H228" i="4" s="1"/>
  <c r="J228" i="4"/>
  <c r="Q491" i="5" l="1"/>
  <c r="S491" i="5" s="1"/>
  <c r="U491" i="5" s="1"/>
  <c r="F485" i="5"/>
  <c r="H485" i="5" s="1"/>
  <c r="J485" i="5" s="1"/>
  <c r="H284" i="5"/>
  <c r="J284" i="5" s="1"/>
  <c r="H227" i="7"/>
  <c r="J227" i="7" s="1"/>
  <c r="F229" i="7" s="1"/>
  <c r="F230" i="4"/>
  <c r="H230" i="4" s="1"/>
  <c r="J230" i="4"/>
  <c r="Q493" i="5" l="1"/>
  <c r="S493" i="5" s="1"/>
  <c r="U493" i="5" s="1"/>
  <c r="F487" i="5"/>
  <c r="H487" i="5" s="1"/>
  <c r="J487" i="5" s="1"/>
  <c r="H229" i="7"/>
  <c r="J229" i="7" s="1"/>
  <c r="F231" i="7" s="1"/>
  <c r="F232" i="4"/>
  <c r="H232" i="4" s="1"/>
  <c r="J232" i="4" s="1"/>
  <c r="Q495" i="5" l="1"/>
  <c r="S495" i="5" s="1"/>
  <c r="U495" i="5" s="1"/>
  <c r="F489" i="5"/>
  <c r="H489" i="5" s="1"/>
  <c r="J489" i="5" s="1"/>
  <c r="H231" i="7"/>
  <c r="J231" i="7" s="1"/>
  <c r="F233" i="7" s="1"/>
  <c r="F234" i="4"/>
  <c r="H234" i="4" s="1"/>
  <c r="J234" i="4" s="1"/>
  <c r="Q497" i="5" l="1"/>
  <c r="S497" i="5" s="1"/>
  <c r="U497" i="5" s="1"/>
  <c r="F491" i="5"/>
  <c r="H491" i="5" s="1"/>
  <c r="J491" i="5" s="1"/>
  <c r="H233" i="7"/>
  <c r="J233" i="7" s="1"/>
  <c r="F235" i="7" s="1"/>
  <c r="F236" i="4"/>
  <c r="H236" i="4" s="1"/>
  <c r="J236" i="4" s="1"/>
  <c r="Q499" i="5" l="1"/>
  <c r="S499" i="5" s="1"/>
  <c r="U499" i="5" s="1"/>
  <c r="F493" i="5"/>
  <c r="H493" i="5" s="1"/>
  <c r="J493" i="5" s="1"/>
  <c r="H235" i="7"/>
  <c r="J235" i="7" s="1"/>
  <c r="F237" i="7" s="1"/>
  <c r="F238" i="4"/>
  <c r="H238" i="4" s="1"/>
  <c r="J238" i="4" s="1"/>
  <c r="Q501" i="5" l="1"/>
  <c r="S501" i="5" s="1"/>
  <c r="U501" i="5" s="1"/>
  <c r="F495" i="5"/>
  <c r="H495" i="5" s="1"/>
  <c r="J495" i="5" s="1"/>
  <c r="H237" i="7"/>
  <c r="J237" i="7" s="1"/>
  <c r="F239" i="7" s="1"/>
  <c r="F240" i="4"/>
  <c r="H240" i="4" s="1"/>
  <c r="J240" i="4" s="1"/>
  <c r="Q503" i="5" l="1"/>
  <c r="S503" i="5" s="1"/>
  <c r="U503" i="5" s="1"/>
  <c r="F497" i="5"/>
  <c r="H497" i="5" s="1"/>
  <c r="J497" i="5" s="1"/>
  <c r="H239" i="7"/>
  <c r="J239" i="7" s="1"/>
  <c r="F241" i="7" s="1"/>
  <c r="F242" i="4"/>
  <c r="H242" i="4" s="1"/>
  <c r="J242" i="4" s="1"/>
  <c r="Q505" i="5" l="1"/>
  <c r="S505" i="5" s="1"/>
  <c r="U505" i="5" s="1"/>
  <c r="F499" i="5"/>
  <c r="H499" i="5" s="1"/>
  <c r="J499" i="5" s="1"/>
  <c r="H241" i="7"/>
  <c r="J241" i="7" s="1"/>
  <c r="F243" i="7" s="1"/>
  <c r="F244" i="4"/>
  <c r="H244" i="4" s="1"/>
  <c r="J244" i="4" s="1"/>
  <c r="Q507" i="5" l="1"/>
  <c r="S507" i="5" s="1"/>
  <c r="U507" i="5"/>
  <c r="F501" i="5"/>
  <c r="H501" i="5" s="1"/>
  <c r="J501" i="5" s="1"/>
  <c r="H243" i="7"/>
  <c r="J243" i="7" s="1"/>
  <c r="F245" i="7" s="1"/>
  <c r="F246" i="4"/>
  <c r="H246" i="4" s="1"/>
  <c r="J246" i="4"/>
  <c r="Q509" i="5" l="1"/>
  <c r="S509" i="5" s="1"/>
  <c r="U509" i="5" s="1"/>
  <c r="F503" i="5"/>
  <c r="H503" i="5" s="1"/>
  <c r="J503" i="5" s="1"/>
  <c r="H245" i="7"/>
  <c r="J245" i="7" s="1"/>
  <c r="F247" i="7" s="1"/>
  <c r="F248" i="4"/>
  <c r="H248" i="4" s="1"/>
  <c r="J248" i="4" s="1"/>
  <c r="Q511" i="5" l="1"/>
  <c r="S511" i="5" s="1"/>
  <c r="U511" i="5"/>
  <c r="F505" i="5"/>
  <c r="H505" i="5" s="1"/>
  <c r="J505" i="5" s="1"/>
  <c r="H247" i="7"/>
  <c r="J247" i="7" s="1"/>
  <c r="F249" i="7" s="1"/>
  <c r="F250" i="4"/>
  <c r="H250" i="4" s="1"/>
  <c r="J250" i="4" s="1"/>
  <c r="Q513" i="5" l="1"/>
  <c r="S513" i="5" s="1"/>
  <c r="U513" i="5"/>
  <c r="F507" i="5"/>
  <c r="H507" i="5" s="1"/>
  <c r="J507" i="5" s="1"/>
  <c r="H249" i="7"/>
  <c r="J249" i="7" s="1"/>
  <c r="F251" i="7" s="1"/>
  <c r="F252" i="4"/>
  <c r="H252" i="4" s="1"/>
  <c r="J252" i="4" s="1"/>
  <c r="Q515" i="5" l="1"/>
  <c r="S515" i="5" s="1"/>
  <c r="U515" i="5"/>
  <c r="F509" i="5"/>
  <c r="H509" i="5" s="1"/>
  <c r="J509" i="5" s="1"/>
  <c r="H251" i="7"/>
  <c r="J251" i="7" s="1"/>
  <c r="F253" i="7" s="1"/>
  <c r="F254" i="4"/>
  <c r="H254" i="4" s="1"/>
  <c r="J254" i="4" s="1"/>
  <c r="Q517" i="5" l="1"/>
  <c r="S517" i="5" s="1"/>
  <c r="U517" i="5"/>
  <c r="F511" i="5"/>
  <c r="H511" i="5" s="1"/>
  <c r="J511" i="5" s="1"/>
  <c r="H253" i="7"/>
  <c r="J253" i="7" s="1"/>
  <c r="F255" i="7" s="1"/>
  <c r="F256" i="4"/>
  <c r="H256" i="4" s="1"/>
  <c r="J256" i="4"/>
  <c r="Q519" i="5" l="1"/>
  <c r="S519" i="5" s="1"/>
  <c r="U519" i="5"/>
  <c r="F513" i="5"/>
  <c r="H513" i="5" s="1"/>
  <c r="J513" i="5" s="1"/>
  <c r="H255" i="7"/>
  <c r="J255" i="7" s="1"/>
  <c r="F257" i="7" s="1"/>
  <c r="F258" i="4"/>
  <c r="H258" i="4" s="1"/>
  <c r="J258" i="4"/>
  <c r="Q521" i="5" l="1"/>
  <c r="S521" i="5" s="1"/>
  <c r="U521" i="5" s="1"/>
  <c r="F515" i="5"/>
  <c r="H515" i="5" s="1"/>
  <c r="J515" i="5" s="1"/>
  <c r="H257" i="7"/>
  <c r="J257" i="7" s="1"/>
  <c r="F259" i="7" s="1"/>
  <c r="F260" i="4"/>
  <c r="H260" i="4" s="1"/>
  <c r="J260" i="4"/>
  <c r="Q523" i="5" l="1"/>
  <c r="S523" i="5" s="1"/>
  <c r="U523" i="5" s="1"/>
  <c r="F517" i="5"/>
  <c r="H517" i="5" s="1"/>
  <c r="J517" i="5" s="1"/>
  <c r="H259" i="7"/>
  <c r="J259" i="7" s="1"/>
  <c r="F261" i="7" s="1"/>
  <c r="F262" i="4"/>
  <c r="H262" i="4" s="1"/>
  <c r="J262" i="4"/>
  <c r="Q525" i="5" l="1"/>
  <c r="S525" i="5" s="1"/>
  <c r="U525" i="5" s="1"/>
  <c r="F519" i="5"/>
  <c r="H519" i="5" s="1"/>
  <c r="J519" i="5" s="1"/>
  <c r="H261" i="7"/>
  <c r="J261" i="7" s="1"/>
  <c r="F263" i="7" s="1"/>
  <c r="F264" i="4"/>
  <c r="H264" i="4" s="1"/>
  <c r="J264" i="4" s="1"/>
  <c r="Q527" i="5" l="1"/>
  <c r="S527" i="5" s="1"/>
  <c r="U527" i="5" s="1"/>
  <c r="F521" i="5"/>
  <c r="H521" i="5" s="1"/>
  <c r="J521" i="5" s="1"/>
  <c r="H263" i="7"/>
  <c r="J263" i="7" s="1"/>
  <c r="F265" i="7" s="1"/>
  <c r="F266" i="4"/>
  <c r="H266" i="4" s="1"/>
  <c r="J266" i="4" s="1"/>
  <c r="Q529" i="5" l="1"/>
  <c r="S529" i="5" s="1"/>
  <c r="U529" i="5" s="1"/>
  <c r="F523" i="5"/>
  <c r="H523" i="5" s="1"/>
  <c r="J523" i="5" s="1"/>
  <c r="H265" i="7"/>
  <c r="J265" i="7" s="1"/>
  <c r="F267" i="7" s="1"/>
  <c r="F268" i="4"/>
  <c r="H268" i="4" s="1"/>
  <c r="J268" i="4" s="1"/>
  <c r="Q531" i="5" l="1"/>
  <c r="S531" i="5" s="1"/>
  <c r="U531" i="5" s="1"/>
  <c r="F525" i="5"/>
  <c r="H525" i="5" s="1"/>
  <c r="J525" i="5" s="1"/>
  <c r="H267" i="7"/>
  <c r="J267" i="7" s="1"/>
  <c r="F269" i="7" s="1"/>
  <c r="F270" i="4"/>
  <c r="H270" i="4" s="1"/>
  <c r="J270" i="4" s="1"/>
  <c r="Q533" i="5" l="1"/>
  <c r="S533" i="5" s="1"/>
  <c r="U533" i="5" s="1"/>
  <c r="F527" i="5"/>
  <c r="H527" i="5" s="1"/>
  <c r="J527" i="5" s="1"/>
  <c r="H269" i="7"/>
  <c r="J269" i="7" s="1"/>
  <c r="F271" i="7" s="1"/>
  <c r="F272" i="4"/>
  <c r="H272" i="4" s="1"/>
  <c r="J272" i="4" s="1"/>
  <c r="Q535" i="5" l="1"/>
  <c r="S535" i="5" s="1"/>
  <c r="U535" i="5" s="1"/>
  <c r="F529" i="5"/>
  <c r="H529" i="5" s="1"/>
  <c r="J529" i="5" s="1"/>
  <c r="H271" i="7"/>
  <c r="J271" i="7" s="1"/>
  <c r="F273" i="7" s="1"/>
  <c r="F274" i="4"/>
  <c r="H274" i="4" s="1"/>
  <c r="J274" i="4" s="1"/>
  <c r="Q537" i="5" l="1"/>
  <c r="S537" i="5" s="1"/>
  <c r="U537" i="5" s="1"/>
  <c r="F531" i="5"/>
  <c r="H531" i="5" s="1"/>
  <c r="J531" i="5" s="1"/>
  <c r="H273" i="7"/>
  <c r="J273" i="7" s="1"/>
  <c r="F275" i="7" s="1"/>
  <c r="F276" i="4"/>
  <c r="H276" i="4" s="1"/>
  <c r="J276" i="4"/>
  <c r="Q539" i="5" l="1"/>
  <c r="S539" i="5" s="1"/>
  <c r="U539" i="5"/>
  <c r="F533" i="5"/>
  <c r="H533" i="5" s="1"/>
  <c r="J533" i="5" s="1"/>
  <c r="H275" i="7"/>
  <c r="J275" i="7" s="1"/>
  <c r="F277" i="7" s="1"/>
  <c r="F278" i="4"/>
  <c r="H278" i="4" s="1"/>
  <c r="J278" i="4" s="1"/>
  <c r="Q541" i="5" l="1"/>
  <c r="S541" i="5" s="1"/>
  <c r="U541" i="5"/>
  <c r="F535" i="5"/>
  <c r="H535" i="5" s="1"/>
  <c r="J535" i="5" s="1"/>
  <c r="H277" i="7"/>
  <c r="J277" i="7" s="1"/>
  <c r="F279" i="7" s="1"/>
  <c r="F280" i="4"/>
  <c r="H280" i="4" s="1"/>
  <c r="J280" i="4"/>
  <c r="Q543" i="5" l="1"/>
  <c r="S543" i="5" s="1"/>
  <c r="U543" i="5"/>
  <c r="F537" i="5"/>
  <c r="H537" i="5" s="1"/>
  <c r="J537" i="5" s="1"/>
  <c r="H279" i="7"/>
  <c r="J279" i="7" s="1"/>
  <c r="F281" i="7" s="1"/>
  <c r="F282" i="4"/>
  <c r="H282" i="4" s="1"/>
  <c r="J282" i="4" s="1"/>
  <c r="Q545" i="5" l="1"/>
  <c r="S545" i="5" s="1"/>
  <c r="U545" i="5"/>
  <c r="F539" i="5"/>
  <c r="H539" i="5" s="1"/>
  <c r="J539" i="5" s="1"/>
  <c r="H281" i="7"/>
  <c r="J281" i="7" s="1"/>
  <c r="F283" i="7" s="1"/>
  <c r="F284" i="4"/>
  <c r="H284" i="4" s="1"/>
  <c r="J284" i="4" s="1"/>
  <c r="Q547" i="5" l="1"/>
  <c r="S547" i="5" s="1"/>
  <c r="U547" i="5"/>
  <c r="F541" i="5"/>
  <c r="H541" i="5" s="1"/>
  <c r="J541" i="5" s="1"/>
  <c r="H283" i="7"/>
  <c r="J283" i="7" s="1"/>
  <c r="F285" i="7" s="1"/>
  <c r="F286" i="4"/>
  <c r="H286" i="4" s="1"/>
  <c r="J286" i="4" s="1"/>
  <c r="Q549" i="5" l="1"/>
  <c r="S549" i="5" s="1"/>
  <c r="U549" i="5"/>
  <c r="F543" i="5"/>
  <c r="H543" i="5" s="1"/>
  <c r="J543" i="5" s="1"/>
  <c r="H285" i="7"/>
  <c r="J285" i="7" s="1"/>
  <c r="F287" i="7" s="1"/>
  <c r="F288" i="4"/>
  <c r="H288" i="4" s="1"/>
  <c r="J288" i="4" s="1"/>
  <c r="Q551" i="5" l="1"/>
  <c r="S551" i="5" s="1"/>
  <c r="U551" i="5"/>
  <c r="F545" i="5"/>
  <c r="H545" i="5" s="1"/>
  <c r="J545" i="5" s="1"/>
  <c r="H287" i="7"/>
  <c r="J287" i="7" s="1"/>
  <c r="F289" i="7" s="1"/>
  <c r="F290" i="4"/>
  <c r="H290" i="4" s="1"/>
  <c r="J290" i="4"/>
  <c r="Q553" i="5" l="1"/>
  <c r="S553" i="5" s="1"/>
  <c r="U553" i="5" s="1"/>
  <c r="F547" i="5"/>
  <c r="H547" i="5" s="1"/>
  <c r="J547" i="5" s="1"/>
  <c r="H289" i="7"/>
  <c r="J289" i="7" s="1"/>
  <c r="F291" i="7" s="1"/>
  <c r="F292" i="4"/>
  <c r="H292" i="4" s="1"/>
  <c r="J292" i="4"/>
  <c r="Q555" i="5" l="1"/>
  <c r="S555" i="5" s="1"/>
  <c r="U555" i="5" s="1"/>
  <c r="F549" i="5"/>
  <c r="H549" i="5" s="1"/>
  <c r="J549" i="5" s="1"/>
  <c r="H291" i="7"/>
  <c r="J291" i="7" s="1"/>
  <c r="F293" i="7" s="1"/>
  <c r="F294" i="4"/>
  <c r="H294" i="4" s="1"/>
  <c r="J294" i="4"/>
  <c r="Q557" i="5" l="1"/>
  <c r="S557" i="5" s="1"/>
  <c r="U557" i="5" s="1"/>
  <c r="F551" i="5"/>
  <c r="H551" i="5" s="1"/>
  <c r="J551" i="5" s="1"/>
  <c r="H293" i="7"/>
  <c r="J293" i="7"/>
  <c r="F295" i="7" s="1"/>
  <c r="F296" i="4"/>
  <c r="H296" i="4" s="1"/>
  <c r="J296" i="4" s="1"/>
  <c r="Q559" i="5" l="1"/>
  <c r="S559" i="5" s="1"/>
  <c r="U559" i="5" s="1"/>
  <c r="F553" i="5"/>
  <c r="H553" i="5" s="1"/>
  <c r="J553" i="5" s="1"/>
  <c r="H295" i="7"/>
  <c r="J295" i="7" s="1"/>
  <c r="F297" i="7" s="1"/>
  <c r="F298" i="4"/>
  <c r="H298" i="4" s="1"/>
  <c r="J298" i="4" s="1"/>
  <c r="Q561" i="5" l="1"/>
  <c r="S561" i="5" s="1"/>
  <c r="U561" i="5" s="1"/>
  <c r="F555" i="5"/>
  <c r="H555" i="5" s="1"/>
  <c r="J555" i="5" s="1"/>
  <c r="H297" i="7"/>
  <c r="J297" i="7" s="1"/>
  <c r="F299" i="7" s="1"/>
  <c r="F300" i="4"/>
  <c r="H300" i="4" s="1"/>
  <c r="J300" i="4" s="1"/>
  <c r="Q563" i="5" l="1"/>
  <c r="S563" i="5" s="1"/>
  <c r="U563" i="5" s="1"/>
  <c r="F557" i="5"/>
  <c r="H557" i="5" s="1"/>
  <c r="J557" i="5" s="1"/>
  <c r="H299" i="7"/>
  <c r="J299" i="7" s="1"/>
  <c r="F301" i="7" s="1"/>
  <c r="F302" i="4"/>
  <c r="H302" i="4" s="1"/>
  <c r="J302" i="4" s="1"/>
  <c r="Q565" i="5" l="1"/>
  <c r="S565" i="5" s="1"/>
  <c r="U565" i="5" s="1"/>
  <c r="F559" i="5"/>
  <c r="H559" i="5" s="1"/>
  <c r="J559" i="5" s="1"/>
  <c r="H301" i="7"/>
  <c r="J301" i="7"/>
  <c r="F303" i="7" s="1"/>
  <c r="F304" i="4"/>
  <c r="H304" i="4" s="1"/>
  <c r="J304" i="4" s="1"/>
  <c r="Q567" i="5" l="1"/>
  <c r="S567" i="5" s="1"/>
  <c r="U567" i="5" s="1"/>
  <c r="F561" i="5"/>
  <c r="H561" i="5" s="1"/>
  <c r="J561" i="5" s="1"/>
  <c r="H303" i="7"/>
  <c r="J303" i="7" s="1"/>
  <c r="F305" i="7" s="1"/>
  <c r="F306" i="4"/>
  <c r="H306" i="4" s="1"/>
  <c r="J306" i="4" s="1"/>
  <c r="Q569" i="5" l="1"/>
  <c r="S569" i="5" s="1"/>
  <c r="U569" i="5" s="1"/>
  <c r="F563" i="5"/>
  <c r="H563" i="5" s="1"/>
  <c r="J563" i="5" s="1"/>
  <c r="H305" i="7"/>
  <c r="J305" i="7" s="1"/>
  <c r="F307" i="7" s="1"/>
  <c r="F308" i="4"/>
  <c r="H308" i="4" s="1"/>
  <c r="J308" i="4"/>
  <c r="Q571" i="5" l="1"/>
  <c r="S571" i="5" s="1"/>
  <c r="U571" i="5"/>
  <c r="F565" i="5"/>
  <c r="H565" i="5" s="1"/>
  <c r="J565" i="5" s="1"/>
  <c r="H307" i="7"/>
  <c r="J307" i="7" s="1"/>
  <c r="F309" i="7" s="1"/>
  <c r="F310" i="4"/>
  <c r="H310" i="4" s="1"/>
  <c r="J310" i="4"/>
  <c r="Q573" i="5" l="1"/>
  <c r="S573" i="5" s="1"/>
  <c r="U573" i="5" s="1"/>
  <c r="F567" i="5"/>
  <c r="H567" i="5" s="1"/>
  <c r="J567" i="5" s="1"/>
  <c r="H309" i="7"/>
  <c r="J309" i="7"/>
  <c r="F311" i="7" s="1"/>
  <c r="F312" i="4"/>
  <c r="H312" i="4" s="1"/>
  <c r="J312" i="4"/>
  <c r="Q575" i="5" l="1"/>
  <c r="S575" i="5" s="1"/>
  <c r="U575" i="5"/>
  <c r="F569" i="5"/>
  <c r="H569" i="5" s="1"/>
  <c r="J569" i="5" s="1"/>
  <c r="H311" i="7"/>
  <c r="J311" i="7" s="1"/>
  <c r="F313" i="7" s="1"/>
  <c r="F314" i="4"/>
  <c r="H314" i="4" s="1"/>
  <c r="J314" i="4" s="1"/>
  <c r="Q577" i="5" l="1"/>
  <c r="S577" i="5" s="1"/>
  <c r="U577" i="5"/>
  <c r="F571" i="5"/>
  <c r="H571" i="5" s="1"/>
  <c r="J571" i="5" s="1"/>
  <c r="H313" i="7"/>
  <c r="J313" i="7" s="1"/>
  <c r="F315" i="7" s="1"/>
  <c r="F316" i="4"/>
  <c r="H316" i="4" s="1"/>
  <c r="J316" i="4" s="1"/>
  <c r="Q579" i="5" l="1"/>
  <c r="S579" i="5" s="1"/>
  <c r="U579" i="5"/>
  <c r="F573" i="5"/>
  <c r="H573" i="5" s="1"/>
  <c r="J573" i="5" s="1"/>
  <c r="H315" i="7"/>
  <c r="J315" i="7" s="1"/>
  <c r="F317" i="7" s="1"/>
  <c r="F318" i="4"/>
  <c r="H318" i="4" s="1"/>
  <c r="J318" i="4" s="1"/>
  <c r="Q581" i="5" l="1"/>
  <c r="S581" i="5" s="1"/>
  <c r="U581" i="5"/>
  <c r="F575" i="5"/>
  <c r="H575" i="5" s="1"/>
  <c r="J575" i="5" s="1"/>
  <c r="H317" i="7"/>
  <c r="J317" i="7"/>
  <c r="F319" i="7" s="1"/>
  <c r="F320" i="4"/>
  <c r="H320" i="4" s="1"/>
  <c r="J320" i="4" s="1"/>
  <c r="Q583" i="5" l="1"/>
  <c r="S583" i="5" s="1"/>
  <c r="U583" i="5"/>
  <c r="F577" i="5"/>
  <c r="H577" i="5" s="1"/>
  <c r="J577" i="5" s="1"/>
  <c r="H319" i="7"/>
  <c r="J319" i="7" s="1"/>
  <c r="F321" i="7" s="1"/>
  <c r="F322" i="4"/>
  <c r="H322" i="4" s="1"/>
  <c r="J322" i="4"/>
  <c r="Q585" i="5" l="1"/>
  <c r="S585" i="5" s="1"/>
  <c r="U585" i="5" s="1"/>
  <c r="F579" i="5"/>
  <c r="H579" i="5" s="1"/>
  <c r="J579" i="5" s="1"/>
  <c r="H321" i="7"/>
  <c r="J321" i="7" s="1"/>
  <c r="F323" i="7" s="1"/>
  <c r="F324" i="4"/>
  <c r="H324" i="4" s="1"/>
  <c r="J324" i="4"/>
  <c r="Q587" i="5" l="1"/>
  <c r="S587" i="5" s="1"/>
  <c r="U587" i="5" s="1"/>
  <c r="F581" i="5"/>
  <c r="H581" i="5" s="1"/>
  <c r="J581" i="5" s="1"/>
  <c r="H323" i="7"/>
  <c r="J323" i="7" s="1"/>
  <c r="F325" i="7" s="1"/>
  <c r="F326" i="4"/>
  <c r="H326" i="4" s="1"/>
  <c r="J326" i="4"/>
  <c r="Q589" i="5" l="1"/>
  <c r="S589" i="5" s="1"/>
  <c r="U589" i="5" s="1"/>
  <c r="F583" i="5"/>
  <c r="H583" i="5" s="1"/>
  <c r="J583" i="5" s="1"/>
  <c r="H325" i="7"/>
  <c r="J325" i="7" s="1"/>
  <c r="F327" i="7" s="1"/>
  <c r="F328" i="4"/>
  <c r="H328" i="4" s="1"/>
  <c r="J328" i="4" s="1"/>
  <c r="Q591" i="5" l="1"/>
  <c r="S591" i="5" s="1"/>
  <c r="U591" i="5" s="1"/>
  <c r="F585" i="5"/>
  <c r="H585" i="5" s="1"/>
  <c r="J585" i="5" s="1"/>
  <c r="H327" i="7"/>
  <c r="J327" i="7"/>
  <c r="F329" i="7" s="1"/>
  <c r="F330" i="4"/>
  <c r="H330" i="4" s="1"/>
  <c r="J330" i="4" s="1"/>
  <c r="Q593" i="5" l="1"/>
  <c r="S593" i="5" s="1"/>
  <c r="U593" i="5" s="1"/>
  <c r="F587" i="5"/>
  <c r="H587" i="5" s="1"/>
  <c r="J587" i="5" s="1"/>
  <c r="H329" i="7"/>
  <c r="J329" i="7" s="1"/>
  <c r="F331" i="7" s="1"/>
  <c r="F332" i="4"/>
  <c r="H332" i="4" s="1"/>
  <c r="J332" i="4" s="1"/>
  <c r="Q595" i="5" l="1"/>
  <c r="S595" i="5" s="1"/>
  <c r="U595" i="5" s="1"/>
  <c r="F589" i="5"/>
  <c r="H589" i="5" s="1"/>
  <c r="J589" i="5" s="1"/>
  <c r="H331" i="7"/>
  <c r="J331" i="7" s="1"/>
  <c r="F333" i="7" s="1"/>
  <c r="F334" i="4"/>
  <c r="H334" i="4" s="1"/>
  <c r="J334" i="4" s="1"/>
  <c r="Q597" i="5" l="1"/>
  <c r="S597" i="5" s="1"/>
  <c r="U597" i="5" s="1"/>
  <c r="F591" i="5"/>
  <c r="H591" i="5" s="1"/>
  <c r="J591" i="5" s="1"/>
  <c r="H333" i="7"/>
  <c r="J333" i="7" s="1"/>
  <c r="F335" i="7" s="1"/>
  <c r="F336" i="4"/>
  <c r="H336" i="4" s="1"/>
  <c r="J336" i="4" s="1"/>
  <c r="Q599" i="5" l="1"/>
  <c r="S599" i="5" s="1"/>
  <c r="U599" i="5" s="1"/>
  <c r="F593" i="5"/>
  <c r="H593" i="5" s="1"/>
  <c r="J593" i="5" s="1"/>
  <c r="H335" i="7"/>
  <c r="J335" i="7" s="1"/>
  <c r="F337" i="7" s="1"/>
  <c r="F338" i="4"/>
  <c r="H338" i="4" s="1"/>
  <c r="J338" i="4" s="1"/>
  <c r="Q601" i="5" l="1"/>
  <c r="S601" i="5" s="1"/>
  <c r="U601" i="5" s="1"/>
  <c r="F595" i="5"/>
  <c r="H595" i="5" s="1"/>
  <c r="J595" i="5" s="1"/>
  <c r="H337" i="7"/>
  <c r="J337" i="7" s="1"/>
  <c r="F339" i="7" s="1"/>
  <c r="F340" i="4"/>
  <c r="H340" i="4" s="1"/>
  <c r="J340" i="4"/>
  <c r="Q603" i="5" l="1"/>
  <c r="S603" i="5" s="1"/>
  <c r="U603" i="5"/>
  <c r="F597" i="5"/>
  <c r="H597" i="5" s="1"/>
  <c r="J597" i="5" s="1"/>
  <c r="H339" i="7"/>
  <c r="J339" i="7" s="1"/>
  <c r="F341" i="7" s="1"/>
  <c r="F342" i="4"/>
  <c r="H342" i="4" s="1"/>
  <c r="J342" i="4"/>
  <c r="Q605" i="5" l="1"/>
  <c r="S605" i="5" s="1"/>
  <c r="U605" i="5"/>
  <c r="F599" i="5"/>
  <c r="H599" i="5" s="1"/>
  <c r="J599" i="5" s="1"/>
  <c r="H341" i="7"/>
  <c r="J341" i="7" s="1"/>
  <c r="F343" i="7" s="1"/>
  <c r="F344" i="4"/>
  <c r="H344" i="4" s="1"/>
  <c r="J344" i="4"/>
  <c r="Q607" i="5" l="1"/>
  <c r="S607" i="5" s="1"/>
  <c r="U607" i="5"/>
  <c r="F601" i="5"/>
  <c r="H601" i="5" s="1"/>
  <c r="J601" i="5" s="1"/>
  <c r="H343" i="7"/>
  <c r="J343" i="7"/>
  <c r="F345" i="7" s="1"/>
  <c r="F346" i="4"/>
  <c r="H346" i="4" s="1"/>
  <c r="J346" i="4" s="1"/>
  <c r="Q609" i="5" l="1"/>
  <c r="S609" i="5" s="1"/>
  <c r="U609" i="5"/>
  <c r="F603" i="5"/>
  <c r="H603" i="5" s="1"/>
  <c r="J603" i="5" s="1"/>
  <c r="H345" i="7"/>
  <c r="J345" i="7" s="1"/>
  <c r="F347" i="7" s="1"/>
  <c r="F348" i="4"/>
  <c r="H348" i="4" s="1"/>
  <c r="J348" i="4" s="1"/>
  <c r="Q611" i="5" l="1"/>
  <c r="S611" i="5" s="1"/>
  <c r="U611" i="5"/>
  <c r="F605" i="5"/>
  <c r="H605" i="5" s="1"/>
  <c r="J605" i="5" s="1"/>
  <c r="H347" i="7"/>
  <c r="J347" i="7" s="1"/>
  <c r="F349" i="7" s="1"/>
  <c r="F350" i="4"/>
  <c r="H350" i="4" s="1"/>
  <c r="J350" i="4" s="1"/>
  <c r="Q613" i="5" l="1"/>
  <c r="S613" i="5" s="1"/>
  <c r="U613" i="5"/>
  <c r="F607" i="5"/>
  <c r="H607" i="5" s="1"/>
  <c r="J607" i="5" s="1"/>
  <c r="H349" i="7"/>
  <c r="J349" i="7" s="1"/>
  <c r="F351" i="7" s="1"/>
  <c r="F352" i="4"/>
  <c r="H352" i="4" s="1"/>
  <c r="J352" i="4" s="1"/>
  <c r="Q615" i="5" l="1"/>
  <c r="S615" i="5" s="1"/>
  <c r="U615" i="5"/>
  <c r="F609" i="5"/>
  <c r="H609" i="5" s="1"/>
  <c r="J609" i="5" s="1"/>
  <c r="H351" i="7"/>
  <c r="J351" i="7" s="1"/>
  <c r="F353" i="7" s="1"/>
  <c r="F354" i="4"/>
  <c r="H354" i="4" s="1"/>
  <c r="J354" i="4"/>
  <c r="Q617" i="5" l="1"/>
  <c r="S617" i="5" s="1"/>
  <c r="U617" i="5" s="1"/>
  <c r="F611" i="5"/>
  <c r="H611" i="5" s="1"/>
  <c r="J611" i="5" s="1"/>
  <c r="H353" i="7"/>
  <c r="J353" i="7" s="1"/>
  <c r="F355" i="7" s="1"/>
  <c r="F356" i="4"/>
  <c r="H356" i="4" s="1"/>
  <c r="J356" i="4"/>
  <c r="Q619" i="5" l="1"/>
  <c r="S619" i="5" s="1"/>
  <c r="U619" i="5" s="1"/>
  <c r="F613" i="5"/>
  <c r="H613" i="5" s="1"/>
  <c r="J613" i="5" s="1"/>
  <c r="H355" i="7"/>
  <c r="J355" i="7" s="1"/>
  <c r="F357" i="7" s="1"/>
  <c r="F358" i="4"/>
  <c r="H358" i="4" s="1"/>
  <c r="J358" i="4"/>
  <c r="Q621" i="5" l="1"/>
  <c r="S621" i="5" s="1"/>
  <c r="U621" i="5" s="1"/>
  <c r="F615" i="5"/>
  <c r="H615" i="5" s="1"/>
  <c r="J615" i="5" s="1"/>
  <c r="H357" i="7"/>
  <c r="J357" i="7" s="1"/>
  <c r="F359" i="7" s="1"/>
  <c r="F360" i="4"/>
  <c r="H360" i="4" s="1"/>
  <c r="J360" i="4" s="1"/>
  <c r="Q623" i="5" l="1"/>
  <c r="S623" i="5" s="1"/>
  <c r="U623" i="5" s="1"/>
  <c r="F617" i="5"/>
  <c r="H617" i="5" s="1"/>
  <c r="J617" i="5" s="1"/>
  <c r="H359" i="7"/>
  <c r="J359" i="7" s="1"/>
  <c r="F361" i="7" s="1"/>
  <c r="F362" i="4"/>
  <c r="H362" i="4" s="1"/>
  <c r="J362" i="4" s="1"/>
  <c r="Q625" i="5" l="1"/>
  <c r="S625" i="5" s="1"/>
  <c r="U625" i="5" s="1"/>
  <c r="F619" i="5"/>
  <c r="H619" i="5" s="1"/>
  <c r="J619" i="5" s="1"/>
  <c r="H361" i="7"/>
  <c r="J361" i="7" s="1"/>
  <c r="F363" i="7" s="1"/>
  <c r="F364" i="4"/>
  <c r="H364" i="4" s="1"/>
  <c r="J364" i="4" s="1"/>
  <c r="Q627" i="5" l="1"/>
  <c r="S627" i="5" s="1"/>
  <c r="U627" i="5" s="1"/>
  <c r="F621" i="5"/>
  <c r="H621" i="5" s="1"/>
  <c r="J621" i="5" s="1"/>
  <c r="H363" i="7"/>
  <c r="J363" i="7" s="1"/>
  <c r="F365" i="7" s="1"/>
  <c r="F366" i="4"/>
  <c r="H366" i="4" s="1"/>
  <c r="J366" i="4" s="1"/>
  <c r="Q629" i="5" l="1"/>
  <c r="S629" i="5" s="1"/>
  <c r="U629" i="5" s="1"/>
  <c r="F623" i="5"/>
  <c r="H623" i="5" s="1"/>
  <c r="J623" i="5" s="1"/>
  <c r="H365" i="7"/>
  <c r="J365" i="7" s="1"/>
  <c r="F367" i="7" s="1"/>
  <c r="F368" i="4"/>
  <c r="H368" i="4" s="1"/>
  <c r="J368" i="4" s="1"/>
  <c r="Q631" i="5" l="1"/>
  <c r="S631" i="5" s="1"/>
  <c r="U631" i="5" s="1"/>
  <c r="F625" i="5"/>
  <c r="H625" i="5" s="1"/>
  <c r="J625" i="5" s="1"/>
  <c r="H367" i="7"/>
  <c r="J367" i="7" s="1"/>
  <c r="F369" i="7" s="1"/>
  <c r="F370" i="4"/>
  <c r="H370" i="4" s="1"/>
  <c r="J370" i="4"/>
  <c r="Q633" i="5" l="1"/>
  <c r="S633" i="5" s="1"/>
  <c r="U633" i="5" s="1"/>
  <c r="F627" i="5"/>
  <c r="H627" i="5" s="1"/>
  <c r="J627" i="5" s="1"/>
  <c r="H369" i="7"/>
  <c r="J369" i="7" s="1"/>
  <c r="F371" i="7" s="1"/>
  <c r="F372" i="4"/>
  <c r="H372" i="4" s="1"/>
  <c r="J372" i="4"/>
  <c r="Q635" i="5" l="1"/>
  <c r="S635" i="5" s="1"/>
  <c r="U635" i="5"/>
  <c r="F629" i="5"/>
  <c r="H629" i="5" s="1"/>
  <c r="J629" i="5" s="1"/>
  <c r="H371" i="7"/>
  <c r="J371" i="7" s="1"/>
  <c r="F373" i="7" s="1"/>
  <c r="F374" i="4"/>
  <c r="H374" i="4" s="1"/>
  <c r="J374" i="4"/>
  <c r="Q637" i="5" l="1"/>
  <c r="S637" i="5" s="1"/>
  <c r="U637" i="5" s="1"/>
  <c r="F631" i="5"/>
  <c r="H631" i="5" s="1"/>
  <c r="J631" i="5" s="1"/>
  <c r="H373" i="7"/>
  <c r="J373" i="7" s="1"/>
  <c r="F375" i="7" s="1"/>
  <c r="F376" i="4"/>
  <c r="H376" i="4" s="1"/>
  <c r="J376" i="4" s="1"/>
  <c r="Q639" i="5" l="1"/>
  <c r="S639" i="5" s="1"/>
  <c r="U639" i="5"/>
  <c r="F633" i="5"/>
  <c r="H633" i="5" s="1"/>
  <c r="J633" i="5" s="1"/>
  <c r="H375" i="7"/>
  <c r="J375" i="7" s="1"/>
  <c r="F377" i="7" s="1"/>
  <c r="F378" i="4"/>
  <c r="H378" i="4" s="1"/>
  <c r="J378" i="4" s="1"/>
  <c r="Q641" i="5" l="1"/>
  <c r="S641" i="5" s="1"/>
  <c r="U641" i="5"/>
  <c r="F635" i="5"/>
  <c r="H635" i="5" s="1"/>
  <c r="J635" i="5" s="1"/>
  <c r="H377" i="7"/>
  <c r="J377" i="7" s="1"/>
  <c r="F379" i="7" s="1"/>
  <c r="F380" i="4"/>
  <c r="H380" i="4" s="1"/>
  <c r="J380" i="4" s="1"/>
  <c r="Q643" i="5" l="1"/>
  <c r="S643" i="5" s="1"/>
  <c r="U643" i="5"/>
  <c r="F637" i="5"/>
  <c r="H637" i="5" s="1"/>
  <c r="J637" i="5" s="1"/>
  <c r="H379" i="7"/>
  <c r="J379" i="7" s="1"/>
  <c r="F381" i="7" s="1"/>
  <c r="F382" i="4"/>
  <c r="H382" i="4" s="1"/>
  <c r="J382" i="4" s="1"/>
  <c r="Q645" i="5" l="1"/>
  <c r="S645" i="5" s="1"/>
  <c r="U645" i="5"/>
  <c r="F639" i="5"/>
  <c r="H639" i="5" s="1"/>
  <c r="J639" i="5" s="1"/>
  <c r="H381" i="7"/>
  <c r="J381" i="7" s="1"/>
  <c r="F383" i="7" s="1"/>
  <c r="F384" i="4"/>
  <c r="H384" i="4" s="1"/>
  <c r="J384" i="4"/>
  <c r="Q647" i="5" l="1"/>
  <c r="S647" i="5" s="1"/>
  <c r="U647" i="5"/>
  <c r="F641" i="5"/>
  <c r="H641" i="5" s="1"/>
  <c r="J641" i="5" s="1"/>
  <c r="H383" i="7"/>
  <c r="J383" i="7" s="1"/>
  <c r="F385" i="7" s="1"/>
  <c r="F386" i="4"/>
  <c r="H386" i="4" s="1"/>
  <c r="J386" i="4"/>
  <c r="Q649" i="5" l="1"/>
  <c r="S649" i="5" s="1"/>
  <c r="U649" i="5" s="1"/>
  <c r="F643" i="5"/>
  <c r="H643" i="5" s="1"/>
  <c r="J643" i="5" s="1"/>
  <c r="H385" i="7"/>
  <c r="J385" i="7" s="1"/>
  <c r="F387" i="7" s="1"/>
  <c r="F388" i="4"/>
  <c r="H388" i="4" s="1"/>
  <c r="J388" i="4"/>
  <c r="Q651" i="5" l="1"/>
  <c r="S651" i="5" s="1"/>
  <c r="U651" i="5" s="1"/>
  <c r="F645" i="5"/>
  <c r="H645" i="5" s="1"/>
  <c r="J645" i="5" s="1"/>
  <c r="H387" i="7"/>
  <c r="J387" i="7" s="1"/>
  <c r="F389" i="7" s="1"/>
  <c r="F390" i="4"/>
  <c r="H390" i="4" s="1"/>
  <c r="J390" i="4"/>
  <c r="F647" i="5" l="1"/>
  <c r="H647" i="5" s="1"/>
  <c r="J647" i="5" s="1"/>
  <c r="H389" i="7"/>
  <c r="J389" i="7" s="1"/>
  <c r="F391" i="7" s="1"/>
  <c r="F392" i="4"/>
  <c r="H392" i="4" s="1"/>
  <c r="J392" i="4" s="1"/>
  <c r="F649" i="5" l="1"/>
  <c r="H649" i="5" s="1"/>
  <c r="J649" i="5" s="1"/>
  <c r="H391" i="7"/>
  <c r="J391" i="7" s="1"/>
  <c r="F393" i="7" s="1"/>
  <c r="F394" i="4"/>
  <c r="H394" i="4" s="1"/>
  <c r="J394" i="4" s="1"/>
  <c r="F651" i="5" l="1"/>
  <c r="H651" i="5" s="1"/>
  <c r="J651" i="5" s="1"/>
  <c r="H393" i="7"/>
  <c r="J393" i="7" s="1"/>
  <c r="F395" i="7" s="1"/>
  <c r="F396" i="4"/>
  <c r="H396" i="4" s="1"/>
  <c r="J396" i="4" s="1"/>
  <c r="H395" i="7" l="1"/>
  <c r="J395" i="7" s="1"/>
  <c r="F397" i="7" s="1"/>
  <c r="F398" i="4"/>
  <c r="H398" i="4" s="1"/>
  <c r="J398" i="4" s="1"/>
  <c r="H397" i="7" l="1"/>
  <c r="J397" i="7" s="1"/>
  <c r="F399" i="7" s="1"/>
  <c r="F400" i="4"/>
  <c r="H400" i="4" s="1"/>
  <c r="J400" i="4" s="1"/>
  <c r="H399" i="7" l="1"/>
  <c r="J399" i="7" s="1"/>
  <c r="F401" i="7" s="1"/>
  <c r="F402" i="4"/>
  <c r="H402" i="4" s="1"/>
  <c r="J402" i="4" s="1"/>
  <c r="H401" i="7" l="1"/>
  <c r="J401" i="7" s="1"/>
  <c r="F403" i="7" s="1"/>
  <c r="F404" i="4"/>
  <c r="H404" i="4" s="1"/>
  <c r="J404" i="4" s="1"/>
  <c r="H403" i="7" l="1"/>
  <c r="J403" i="7" s="1"/>
  <c r="F405" i="7" s="1"/>
  <c r="F406" i="4"/>
  <c r="H406" i="4" s="1"/>
  <c r="J406" i="4"/>
  <c r="H405" i="7" l="1"/>
  <c r="J405" i="7" s="1"/>
  <c r="F407" i="7" s="1"/>
  <c r="F408" i="4"/>
  <c r="H408" i="4" s="1"/>
  <c r="J408" i="4"/>
  <c r="H407" i="7" l="1"/>
  <c r="J407" i="7" s="1"/>
  <c r="F409" i="7" s="1"/>
  <c r="F410" i="4"/>
  <c r="H410" i="4" s="1"/>
  <c r="J410" i="4" s="1"/>
  <c r="H409" i="7" l="1"/>
  <c r="J409" i="7" s="1"/>
  <c r="F411" i="7" s="1"/>
  <c r="F412" i="4"/>
  <c r="H412" i="4" s="1"/>
  <c r="J412" i="4" s="1"/>
  <c r="H411" i="7" l="1"/>
  <c r="J411" i="7" s="1"/>
  <c r="F413" i="7" s="1"/>
  <c r="F414" i="4"/>
  <c r="H414" i="4" s="1"/>
  <c r="J414" i="4" s="1"/>
  <c r="H413" i="7" l="1"/>
  <c r="J413" i="7" s="1"/>
  <c r="F415" i="7" s="1"/>
  <c r="F416" i="4"/>
  <c r="H416" i="4" s="1"/>
  <c r="J416" i="4" s="1"/>
  <c r="H415" i="7" l="1"/>
  <c r="J415" i="7" s="1"/>
  <c r="F417" i="7" s="1"/>
  <c r="F418" i="4"/>
  <c r="H418" i="4" s="1"/>
  <c r="J418" i="4"/>
  <c r="H417" i="7" l="1"/>
  <c r="J417" i="7" s="1"/>
  <c r="F419" i="7" s="1"/>
  <c r="F420" i="4"/>
  <c r="H420" i="4" s="1"/>
  <c r="J420" i="4"/>
  <c r="H419" i="7" l="1"/>
  <c r="J419" i="7" s="1"/>
  <c r="F421" i="7" s="1"/>
  <c r="F422" i="4"/>
  <c r="H422" i="4" s="1"/>
  <c r="J422" i="4"/>
  <c r="H421" i="7" l="1"/>
  <c r="J421" i="7" s="1"/>
  <c r="F423" i="7" s="1"/>
  <c r="F424" i="4"/>
  <c r="H424" i="4" s="1"/>
  <c r="J424" i="4" s="1"/>
  <c r="H423" i="7" l="1"/>
  <c r="J423" i="7" s="1"/>
  <c r="F425" i="7" s="1"/>
  <c r="F426" i="4"/>
  <c r="H426" i="4" s="1"/>
  <c r="J426" i="4" s="1"/>
  <c r="H425" i="7" l="1"/>
  <c r="J425" i="7" s="1"/>
  <c r="F427" i="7" s="1"/>
  <c r="F428" i="4"/>
  <c r="H428" i="4" s="1"/>
  <c r="J428" i="4" s="1"/>
  <c r="H427" i="7" l="1"/>
  <c r="J427" i="7" s="1"/>
  <c r="F429" i="7" s="1"/>
  <c r="F430" i="4"/>
  <c r="H430" i="4" s="1"/>
  <c r="J430" i="4" s="1"/>
  <c r="H429" i="7" l="1"/>
  <c r="J429" i="7" s="1"/>
  <c r="F431" i="7" s="1"/>
  <c r="F432" i="4"/>
  <c r="H432" i="4" s="1"/>
  <c r="J432" i="4" s="1"/>
  <c r="H431" i="7" l="1"/>
  <c r="J431" i="7" s="1"/>
  <c r="F433" i="7" s="1"/>
  <c r="F434" i="4"/>
  <c r="H434" i="4" s="1"/>
  <c r="J434" i="4" s="1"/>
  <c r="H433" i="7" l="1"/>
  <c r="J433" i="7" s="1"/>
  <c r="F435" i="7" s="1"/>
  <c r="F436" i="4"/>
  <c r="H436" i="4" s="1"/>
  <c r="J436" i="4" s="1"/>
  <c r="H435" i="7" l="1"/>
  <c r="J435" i="7" s="1"/>
  <c r="F437" i="7" s="1"/>
  <c r="F438" i="4"/>
  <c r="H438" i="4" s="1"/>
  <c r="J438" i="4" s="1"/>
  <c r="H437" i="7" l="1"/>
  <c r="J437" i="7" s="1"/>
  <c r="F439" i="7" s="1"/>
  <c r="F440" i="4"/>
  <c r="H440" i="4" s="1"/>
  <c r="J440" i="4" s="1"/>
  <c r="H439" i="7" l="1"/>
  <c r="J439" i="7" s="1"/>
  <c r="F441" i="7" s="1"/>
  <c r="F442" i="4"/>
  <c r="H442" i="4" s="1"/>
  <c r="J442" i="4" s="1"/>
  <c r="H441" i="7" l="1"/>
  <c r="J441" i="7" s="1"/>
  <c r="F443" i="7" s="1"/>
  <c r="F444" i="4"/>
  <c r="H444" i="4" s="1"/>
  <c r="J444" i="4" s="1"/>
  <c r="H443" i="7" l="1"/>
  <c r="J443" i="7" s="1"/>
  <c r="F445" i="7" s="1"/>
  <c r="F446" i="4"/>
  <c r="H446" i="4" s="1"/>
  <c r="J446" i="4" s="1"/>
  <c r="H445" i="7" l="1"/>
  <c r="J445" i="7" s="1"/>
  <c r="F447" i="7" s="1"/>
  <c r="F448" i="4"/>
  <c r="H448" i="4" s="1"/>
  <c r="J448" i="4"/>
  <c r="H447" i="7" l="1"/>
  <c r="J447" i="7" s="1"/>
  <c r="F449" i="7" s="1"/>
  <c r="F450" i="4"/>
  <c r="H450" i="4" s="1"/>
  <c r="J450" i="4"/>
  <c r="H449" i="7" l="1"/>
  <c r="J449" i="7" s="1"/>
  <c r="F451" i="7" s="1"/>
  <c r="F452" i="4"/>
  <c r="H452" i="4" s="1"/>
  <c r="J452" i="4"/>
  <c r="H451" i="7" l="1"/>
  <c r="J451" i="7" s="1"/>
  <c r="F453" i="7" s="1"/>
  <c r="F454" i="4"/>
  <c r="H454" i="4" s="1"/>
  <c r="J454" i="4"/>
  <c r="H453" i="7" l="1"/>
  <c r="J453" i="7" s="1"/>
  <c r="F455" i="7" s="1"/>
  <c r="F456" i="4"/>
  <c r="H456" i="4" s="1"/>
  <c r="J456" i="4" s="1"/>
  <c r="H455" i="7" l="1"/>
  <c r="J455" i="7"/>
  <c r="F457" i="7" s="1"/>
  <c r="F458" i="4"/>
  <c r="H458" i="4" s="1"/>
  <c r="J458" i="4" s="1"/>
  <c r="H457" i="7" l="1"/>
  <c r="J457" i="7" s="1"/>
  <c r="F459" i="7" s="1"/>
  <c r="F460" i="4"/>
  <c r="H460" i="4" s="1"/>
  <c r="J460" i="4" s="1"/>
  <c r="H459" i="7" l="1"/>
  <c r="J459" i="7" s="1"/>
  <c r="F461" i="7" s="1"/>
  <c r="F462" i="4"/>
  <c r="H462" i="4" s="1"/>
  <c r="J462" i="4" s="1"/>
  <c r="H461" i="7" l="1"/>
  <c r="J461" i="7" s="1"/>
  <c r="F463" i="7" s="1"/>
  <c r="F464" i="4"/>
  <c r="H464" i="4" s="1"/>
  <c r="J464" i="4" s="1"/>
  <c r="H463" i="7" l="1"/>
  <c r="J463" i="7" s="1"/>
  <c r="F465" i="7" s="1"/>
  <c r="F466" i="4"/>
  <c r="H466" i="4" s="1"/>
  <c r="J466" i="4" s="1"/>
  <c r="H465" i="7" l="1"/>
  <c r="J465" i="7" s="1"/>
  <c r="F467" i="7" s="1"/>
  <c r="F468" i="4"/>
  <c r="H468" i="4" s="1"/>
  <c r="J468" i="4"/>
  <c r="H467" i="7" l="1"/>
  <c r="J467" i="7" s="1"/>
  <c r="F469" i="7" s="1"/>
  <c r="F470" i="4"/>
  <c r="H470" i="4" s="1"/>
  <c r="J470" i="4"/>
  <c r="H469" i="7" l="1"/>
  <c r="J469" i="7" s="1"/>
  <c r="F471" i="7" s="1"/>
  <c r="F472" i="4"/>
  <c r="H472" i="4" s="1"/>
  <c r="J472" i="4"/>
  <c r="H471" i="7" l="1"/>
  <c r="J471" i="7" s="1"/>
  <c r="F473" i="7" s="1"/>
  <c r="F474" i="4"/>
  <c r="H474" i="4" s="1"/>
  <c r="J474" i="4" s="1"/>
  <c r="H473" i="7" l="1"/>
  <c r="J473" i="7" s="1"/>
  <c r="F475" i="7" s="1"/>
  <c r="F476" i="4"/>
  <c r="H476" i="4" s="1"/>
  <c r="J476" i="4" s="1"/>
  <c r="H475" i="7" l="1"/>
  <c r="J475" i="7" s="1"/>
  <c r="F477" i="7" s="1"/>
  <c r="F478" i="4"/>
  <c r="H478" i="4" s="1"/>
  <c r="J478" i="4" s="1"/>
  <c r="H477" i="7" l="1"/>
  <c r="J477" i="7" s="1"/>
  <c r="F479" i="7" s="1"/>
  <c r="F480" i="4"/>
  <c r="H480" i="4" s="1"/>
  <c r="J480" i="4"/>
  <c r="H479" i="7" l="1"/>
  <c r="J479" i="7"/>
  <c r="F481" i="7" s="1"/>
  <c r="F482" i="4"/>
  <c r="H482" i="4" s="1"/>
  <c r="J482" i="4"/>
  <c r="H481" i="7" l="1"/>
  <c r="J481" i="7" s="1"/>
  <c r="F483" i="7" s="1"/>
  <c r="F484" i="4"/>
  <c r="H484" i="4" s="1"/>
  <c r="J484" i="4"/>
  <c r="H483" i="7" l="1"/>
  <c r="J483" i="7" s="1"/>
  <c r="F485" i="7" s="1"/>
  <c r="F486" i="4"/>
  <c r="H486" i="4" s="1"/>
  <c r="J486" i="4"/>
  <c r="H485" i="7" l="1"/>
  <c r="J485" i="7" s="1"/>
  <c r="F487" i="7" s="1"/>
  <c r="F488" i="4"/>
  <c r="H488" i="4" s="1"/>
  <c r="J488" i="4" s="1"/>
  <c r="H487" i="7" l="1"/>
  <c r="J487" i="7" s="1"/>
  <c r="F489" i="7" s="1"/>
  <c r="F490" i="4"/>
  <c r="H490" i="4" s="1"/>
  <c r="J490" i="4" s="1"/>
  <c r="H489" i="7" l="1"/>
  <c r="J489" i="7"/>
  <c r="F491" i="7" s="1"/>
  <c r="F492" i="4"/>
  <c r="H492" i="4" s="1"/>
  <c r="J492" i="4" s="1"/>
  <c r="H491" i="7" l="1"/>
  <c r="J491" i="7" s="1"/>
  <c r="F493" i="7" s="1"/>
  <c r="F494" i="4"/>
  <c r="H494" i="4" s="1"/>
  <c r="J494" i="4" s="1"/>
  <c r="H493" i="7" l="1"/>
  <c r="J493" i="7" s="1"/>
  <c r="F495" i="7" s="1"/>
  <c r="F496" i="4"/>
  <c r="H496" i="4" s="1"/>
  <c r="J496" i="4" s="1"/>
  <c r="H495" i="7" l="1"/>
  <c r="J495" i="7" s="1"/>
  <c r="F497" i="7" s="1"/>
  <c r="F498" i="4"/>
  <c r="H498" i="4" s="1"/>
  <c r="J498" i="4"/>
  <c r="H497" i="7" l="1"/>
  <c r="J497" i="7" s="1"/>
  <c r="F499" i="7" s="1"/>
  <c r="F500" i="4"/>
  <c r="H500" i="4" s="1"/>
  <c r="J500" i="4"/>
  <c r="H499" i="7" l="1"/>
  <c r="J499" i="7" s="1"/>
  <c r="F501" i="7" s="1"/>
  <c r="F502" i="4"/>
  <c r="H502" i="4" s="1"/>
  <c r="J502" i="4" s="1"/>
  <c r="H501" i="7" l="1"/>
  <c r="J501" i="7" s="1"/>
  <c r="F503" i="7" s="1"/>
  <c r="F504" i="4"/>
  <c r="H504" i="4" s="1"/>
  <c r="J504" i="4"/>
  <c r="H503" i="7" l="1"/>
  <c r="J503" i="7" s="1"/>
  <c r="F505" i="7" s="1"/>
  <c r="F506" i="4"/>
  <c r="H506" i="4" s="1"/>
  <c r="J506" i="4" s="1"/>
  <c r="H505" i="7" l="1"/>
  <c r="J505" i="7"/>
  <c r="F507" i="7" s="1"/>
  <c r="F508" i="4"/>
  <c r="H508" i="4" s="1"/>
  <c r="J508" i="4" s="1"/>
  <c r="H507" i="7" l="1"/>
  <c r="J507" i="7" s="1"/>
  <c r="F509" i="7" s="1"/>
  <c r="F510" i="4"/>
  <c r="H510" i="4" s="1"/>
  <c r="J510" i="4" s="1"/>
  <c r="H509" i="7" l="1"/>
  <c r="J509" i="7" s="1"/>
  <c r="F511" i="7" s="1"/>
  <c r="F512" i="4"/>
  <c r="H512" i="4" s="1"/>
  <c r="J512" i="4"/>
  <c r="H511" i="7" l="1"/>
  <c r="J511" i="7" s="1"/>
  <c r="F513" i="7" s="1"/>
  <c r="F514" i="4"/>
  <c r="H514" i="4" s="1"/>
  <c r="J514" i="4"/>
  <c r="H513" i="7" l="1"/>
  <c r="J513" i="7"/>
  <c r="F515" i="7" s="1"/>
  <c r="F516" i="4"/>
  <c r="H516" i="4" s="1"/>
  <c r="J516" i="4"/>
  <c r="H515" i="7" l="1"/>
  <c r="J515" i="7" s="1"/>
  <c r="F517" i="7" s="1"/>
  <c r="F518" i="4"/>
  <c r="H518" i="4" s="1"/>
  <c r="J518" i="4"/>
  <c r="H517" i="7" l="1"/>
  <c r="J517" i="7" s="1"/>
  <c r="F519" i="7" s="1"/>
  <c r="F520" i="4"/>
  <c r="H520" i="4" s="1"/>
  <c r="J520" i="4" s="1"/>
  <c r="H519" i="7" l="1"/>
  <c r="J519" i="7" s="1"/>
  <c r="F521" i="7" s="1"/>
  <c r="F522" i="4"/>
  <c r="H522" i="4" s="1"/>
  <c r="J522" i="4" s="1"/>
  <c r="H521" i="7" l="1"/>
  <c r="J521" i="7" s="1"/>
  <c r="F523" i="7" s="1"/>
  <c r="F524" i="4"/>
  <c r="H524" i="4" s="1"/>
  <c r="J524" i="4" s="1"/>
  <c r="H523" i="7" l="1"/>
  <c r="J523" i="7" s="1"/>
  <c r="F525" i="7" s="1"/>
  <c r="F526" i="4"/>
  <c r="H526" i="4" s="1"/>
  <c r="J526" i="4" s="1"/>
  <c r="H525" i="7" l="1"/>
  <c r="J525" i="7" s="1"/>
  <c r="F527" i="7" s="1"/>
  <c r="F528" i="4"/>
  <c r="H528" i="4" s="1"/>
  <c r="J528" i="4" s="1"/>
  <c r="H527" i="7" l="1"/>
  <c r="J527" i="7" s="1"/>
  <c r="F529" i="7" s="1"/>
  <c r="F530" i="4"/>
  <c r="H530" i="4" s="1"/>
  <c r="J530" i="4" s="1"/>
  <c r="H529" i="7" l="1"/>
  <c r="J529" i="7" s="1"/>
  <c r="F531" i="7" s="1"/>
  <c r="F532" i="4"/>
  <c r="H532" i="4" s="1"/>
  <c r="J532" i="4" s="1"/>
  <c r="H531" i="7" l="1"/>
  <c r="J531" i="7" s="1"/>
  <c r="F533" i="7" s="1"/>
  <c r="F534" i="4"/>
  <c r="H534" i="4" s="1"/>
  <c r="J534" i="4"/>
  <c r="H533" i="7" l="1"/>
  <c r="J533" i="7" s="1"/>
  <c r="F535" i="7" s="1"/>
  <c r="F536" i="4"/>
  <c r="H536" i="4" s="1"/>
  <c r="J536" i="4" s="1"/>
  <c r="H535" i="7" l="1"/>
  <c r="J535" i="7" s="1"/>
  <c r="F537" i="7" s="1"/>
  <c r="F538" i="4"/>
  <c r="H538" i="4" s="1"/>
  <c r="J538" i="4" s="1"/>
  <c r="H537" i="7" l="1"/>
  <c r="J537" i="7" s="1"/>
  <c r="F539" i="7" s="1"/>
  <c r="F540" i="4"/>
  <c r="H540" i="4" s="1"/>
  <c r="J540" i="4" s="1"/>
  <c r="H539" i="7" l="1"/>
  <c r="J539" i="7" s="1"/>
  <c r="F541" i="7" s="1"/>
  <c r="F542" i="4"/>
  <c r="H542" i="4" s="1"/>
  <c r="J542" i="4" s="1"/>
  <c r="H541" i="7" l="1"/>
  <c r="J541" i="7" s="1"/>
  <c r="F543" i="7" s="1"/>
  <c r="F544" i="4"/>
  <c r="H544" i="4" s="1"/>
  <c r="J544" i="4" s="1"/>
  <c r="H543" i="7" l="1"/>
  <c r="J543" i="7" s="1"/>
  <c r="F545" i="7" s="1"/>
  <c r="F546" i="4"/>
  <c r="H546" i="4" s="1"/>
  <c r="J546" i="4"/>
  <c r="H545" i="7" l="1"/>
  <c r="J545" i="7" s="1"/>
  <c r="F547" i="7" s="1"/>
  <c r="F548" i="4"/>
  <c r="H548" i="4" s="1"/>
  <c r="J548" i="4"/>
  <c r="H547" i="7" l="1"/>
  <c r="J547" i="7" s="1"/>
  <c r="F549" i="7" s="1"/>
  <c r="F550" i="4"/>
  <c r="H550" i="4" s="1"/>
  <c r="J550" i="4"/>
  <c r="H549" i="7" l="1"/>
  <c r="J549" i="7"/>
  <c r="F551" i="7" s="1"/>
  <c r="F552" i="4"/>
  <c r="H552" i="4" s="1"/>
  <c r="J552" i="4" s="1"/>
  <c r="H551" i="7" l="1"/>
  <c r="J551" i="7" s="1"/>
  <c r="F553" i="7" s="1"/>
  <c r="F554" i="4"/>
  <c r="H554" i="4" s="1"/>
  <c r="J554" i="4" s="1"/>
  <c r="H553" i="7" l="1"/>
  <c r="J553" i="7" s="1"/>
  <c r="F555" i="7" s="1"/>
  <c r="F556" i="4"/>
  <c r="H556" i="4" s="1"/>
  <c r="J556" i="4" s="1"/>
  <c r="H555" i="7" l="1"/>
  <c r="J555" i="7" s="1"/>
  <c r="F557" i="7" s="1"/>
  <c r="F558" i="4"/>
  <c r="H558" i="4" s="1"/>
  <c r="J558" i="4" s="1"/>
  <c r="H557" i="7" l="1"/>
  <c r="J557" i="7" s="1"/>
  <c r="F559" i="7" s="1"/>
  <c r="F560" i="4"/>
  <c r="H560" i="4" s="1"/>
  <c r="J560" i="4" s="1"/>
  <c r="H559" i="7" l="1"/>
  <c r="J559" i="7" s="1"/>
  <c r="F561" i="7" s="1"/>
  <c r="F562" i="4"/>
  <c r="H562" i="4" s="1"/>
  <c r="J562" i="4"/>
  <c r="H561" i="7" l="1"/>
  <c r="J561" i="7" s="1"/>
  <c r="F563" i="7" s="1"/>
  <c r="F564" i="4"/>
  <c r="H564" i="4" s="1"/>
  <c r="J564" i="4"/>
  <c r="H563" i="7" l="1"/>
  <c r="J563" i="7" s="1"/>
  <c r="F565" i="7" s="1"/>
  <c r="F566" i="4"/>
  <c r="H566" i="4" s="1"/>
  <c r="J566" i="4" s="1"/>
  <c r="H565" i="7" l="1"/>
  <c r="J565" i="7" s="1"/>
  <c r="F567" i="7" s="1"/>
  <c r="F568" i="4"/>
  <c r="H568" i="4" s="1"/>
  <c r="J568" i="4"/>
  <c r="H567" i="7" l="1"/>
  <c r="J567" i="7"/>
  <c r="F569" i="7" s="1"/>
  <c r="F570" i="4"/>
  <c r="H570" i="4" s="1"/>
  <c r="J570" i="4" s="1"/>
  <c r="H569" i="7" l="1"/>
  <c r="J569" i="7" s="1"/>
  <c r="F571" i="7" s="1"/>
  <c r="F572" i="4"/>
  <c r="H572" i="4" s="1"/>
  <c r="J572" i="4" s="1"/>
  <c r="H571" i="7" l="1"/>
  <c r="J571" i="7" s="1"/>
  <c r="F573" i="7" s="1"/>
  <c r="F574" i="4"/>
  <c r="H574" i="4" s="1"/>
  <c r="J574" i="4" s="1"/>
  <c r="H573" i="7" l="1"/>
  <c r="J573" i="7" s="1"/>
  <c r="F575" i="7" s="1"/>
  <c r="F576" i="4"/>
  <c r="H576" i="4" s="1"/>
  <c r="J576" i="4"/>
  <c r="H575" i="7" l="1"/>
  <c r="J575" i="7"/>
  <c r="F577" i="7" s="1"/>
  <c r="F578" i="4"/>
  <c r="H578" i="4" s="1"/>
  <c r="J578" i="4"/>
  <c r="H577" i="7" l="1"/>
  <c r="J577" i="7" s="1"/>
  <c r="F579" i="7" s="1"/>
  <c r="F580" i="4"/>
  <c r="H580" i="4" s="1"/>
  <c r="J580" i="4"/>
  <c r="H579" i="7" l="1"/>
  <c r="J579" i="7" s="1"/>
  <c r="F581" i="7" s="1"/>
  <c r="F582" i="4"/>
  <c r="H582" i="4" s="1"/>
  <c r="J582" i="4"/>
  <c r="H581" i="7" l="1"/>
  <c r="J581" i="7" s="1"/>
  <c r="F583" i="7" s="1"/>
  <c r="F584" i="4"/>
  <c r="H584" i="4" s="1"/>
  <c r="J584" i="4" s="1"/>
  <c r="H583" i="7" l="1"/>
  <c r="J583" i="7" s="1"/>
  <c r="F585" i="7" s="1"/>
  <c r="F586" i="4"/>
  <c r="H586" i="4" s="1"/>
  <c r="J586" i="4" s="1"/>
  <c r="H585" i="7" l="1"/>
  <c r="J585" i="7" s="1"/>
  <c r="F587" i="7" s="1"/>
  <c r="F588" i="4"/>
  <c r="H588" i="4" s="1"/>
  <c r="J588" i="4" s="1"/>
  <c r="H587" i="7" l="1"/>
  <c r="J587" i="7" s="1"/>
  <c r="F589" i="7" s="1"/>
  <c r="F590" i="4"/>
  <c r="H590" i="4" s="1"/>
  <c r="J590" i="4" s="1"/>
  <c r="H589" i="7" l="1"/>
  <c r="J589" i="7" s="1"/>
  <c r="F591" i="7" s="1"/>
  <c r="F592" i="4"/>
  <c r="H592" i="4" s="1"/>
  <c r="J592" i="4" s="1"/>
  <c r="H591" i="7" l="1"/>
  <c r="J591" i="7" s="1"/>
  <c r="F593" i="7" s="1"/>
  <c r="F594" i="4"/>
  <c r="H594" i="4" s="1"/>
  <c r="J594" i="4" s="1"/>
  <c r="H593" i="7" l="1"/>
  <c r="J593" i="7"/>
  <c r="F595" i="7" s="1"/>
  <c r="F596" i="4"/>
  <c r="H596" i="4" s="1"/>
  <c r="J596" i="4"/>
  <c r="H595" i="7" l="1"/>
  <c r="J595" i="7" s="1"/>
  <c r="F597" i="7" s="1"/>
  <c r="F598" i="4"/>
  <c r="H598" i="4" s="1"/>
  <c r="J598" i="4"/>
  <c r="H597" i="7" l="1"/>
  <c r="J597" i="7" s="1"/>
  <c r="F599" i="7" s="1"/>
  <c r="F600" i="4"/>
  <c r="H600" i="4" s="1"/>
  <c r="J600" i="4"/>
  <c r="H599" i="7" l="1"/>
  <c r="J599" i="7" s="1"/>
  <c r="F601" i="7" s="1"/>
  <c r="F602" i="4"/>
  <c r="H602" i="4" s="1"/>
  <c r="J602" i="4" s="1"/>
  <c r="H601" i="7" l="1"/>
  <c r="J601" i="7" s="1"/>
  <c r="F603" i="7" s="1"/>
  <c r="F604" i="4"/>
  <c r="H604" i="4" s="1"/>
  <c r="J604" i="4" s="1"/>
  <c r="H603" i="7" l="1"/>
  <c r="J603" i="7" s="1"/>
  <c r="F605" i="7" s="1"/>
  <c r="F606" i="4"/>
  <c r="H606" i="4" s="1"/>
  <c r="J606" i="4" s="1"/>
  <c r="H605" i="7" l="1"/>
  <c r="J605" i="7" s="1"/>
  <c r="F607" i="7" s="1"/>
  <c r="F608" i="4"/>
  <c r="H608" i="4" s="1"/>
  <c r="J608" i="4" s="1"/>
  <c r="H607" i="7" l="1"/>
  <c r="J607" i="7" s="1"/>
  <c r="F609" i="7" s="1"/>
  <c r="F610" i="4"/>
  <c r="H610" i="4" s="1"/>
  <c r="J610" i="4"/>
  <c r="H609" i="7" l="1"/>
  <c r="J609" i="7" s="1"/>
  <c r="F611" i="7" s="1"/>
  <c r="F612" i="4"/>
  <c r="H612" i="4" s="1"/>
  <c r="J612" i="4"/>
  <c r="H611" i="7" l="1"/>
  <c r="J611" i="7" s="1"/>
  <c r="F613" i="7" s="1"/>
  <c r="F614" i="4"/>
  <c r="H614" i="4" s="1"/>
  <c r="J614" i="4"/>
  <c r="H613" i="7" l="1"/>
  <c r="J613" i="7" s="1"/>
  <c r="F615" i="7" s="1"/>
  <c r="F616" i="4"/>
  <c r="H616" i="4" s="1"/>
  <c r="J616" i="4" s="1"/>
  <c r="H615" i="7" l="1"/>
  <c r="J615" i="7" s="1"/>
  <c r="F617" i="7" s="1"/>
  <c r="F618" i="4"/>
  <c r="H618" i="4" s="1"/>
  <c r="J618" i="4" s="1"/>
  <c r="H617" i="7" l="1"/>
  <c r="J617" i="7" s="1"/>
  <c r="F619" i="7" s="1"/>
  <c r="F620" i="4"/>
  <c r="H620" i="4" s="1"/>
  <c r="J620" i="4" s="1"/>
  <c r="H619" i="7" l="1"/>
  <c r="J619" i="7" s="1"/>
  <c r="F621" i="7" s="1"/>
  <c r="F622" i="4"/>
  <c r="H622" i="4" s="1"/>
  <c r="J622" i="4" s="1"/>
  <c r="H621" i="7" l="1"/>
  <c r="J621" i="7" s="1"/>
  <c r="F623" i="7" s="1"/>
  <c r="F624" i="4"/>
  <c r="H624" i="4" s="1"/>
  <c r="J624" i="4" s="1"/>
  <c r="H623" i="7" l="1"/>
  <c r="J623" i="7" s="1"/>
  <c r="F625" i="7" s="1"/>
  <c r="F626" i="4"/>
  <c r="H626" i="4" s="1"/>
  <c r="J626" i="4" s="1"/>
  <c r="H625" i="7" l="1"/>
  <c r="J625" i="7" s="1"/>
  <c r="F627" i="7" s="1"/>
  <c r="F628" i="4"/>
  <c r="H628" i="4" s="1"/>
  <c r="J628" i="4"/>
  <c r="H627" i="7" l="1"/>
  <c r="J627" i="7" s="1"/>
  <c r="F629" i="7" s="1"/>
  <c r="F630" i="4"/>
  <c r="H630" i="4" s="1"/>
  <c r="J630" i="4"/>
  <c r="H629" i="7" l="1"/>
  <c r="J629" i="7" s="1"/>
  <c r="F631" i="7" s="1"/>
  <c r="F632" i="4"/>
  <c r="H632" i="4" s="1"/>
  <c r="J632" i="4"/>
  <c r="H631" i="7" l="1"/>
  <c r="J631" i="7" s="1"/>
  <c r="F633" i="7" s="1"/>
  <c r="F634" i="4"/>
  <c r="H634" i="4" s="1"/>
  <c r="J634" i="4" s="1"/>
  <c r="H633" i="7" l="1"/>
  <c r="J633" i="7" s="1"/>
  <c r="F635" i="7" s="1"/>
  <c r="H635" i="7" l="1"/>
  <c r="J635" i="7" s="1"/>
</calcChain>
</file>

<file path=xl/sharedStrings.xml><?xml version="1.0" encoding="utf-8"?>
<sst xmlns="http://schemas.openxmlformats.org/spreadsheetml/2006/main" count="234" uniqueCount="141">
  <si>
    <t>DESCRIPCIÓN DEL PROBLEMA 1</t>
  </si>
  <si>
    <t>DATOS PROPORCIONADOS</t>
  </si>
  <si>
    <t>Cantidad entregada mensualmente</t>
  </si>
  <si>
    <t>Ingreso inicial</t>
  </si>
  <si>
    <t>Ingreso final</t>
  </si>
  <si>
    <t>DESCRIPCIÓN DEL PROBLEMA 3</t>
  </si>
  <si>
    <t>Alice Denbrough es la pequeña de dos hermanas y un hermano, Bill. En Derry, cuando Bill cumple veinticinco años decide reclamar el ahorro que lleva gestándose desde que cumplió ocho. Ese dinero nació como un pequeño fondo familiar para asegurar a los hijos un futuro tranquilo, algo que en esta ciudad siempre resulta incierto. Cada mes, los padres entregaban una cantidad a la Cooperativa de Ahorro de la calle Kansas, un lugar cuyo sótano siempre huele a humedad y que promete un crecimiento anual del capital con un tipo nominal del 1.5% . Cuando se abrió el fondo, el abuelo de Alice y Bill hizo un ingreso inicial. Al llegar el día de la celebración la abuela añadió otro ingreso más, quizá intentando poner distancia entre los jóvenes nietos y la sensación de que algo vigila desde las alcantarillas. Determina el monto total del fondo que le corresponde a Bill tras repartir con sus hermanas.</t>
  </si>
  <si>
    <t>Un comerciante de Derry posee una pequeña tienda que lleva tiempo cerrada y piensa vender. El lugar acumula historias extrañas: luces que parpadean cuando nadie está, cajas que cambian de sitio por la noche y una pared del fondo que siempre está fría, incluso en verano. No quiere pensar en que hace dos años recibió una oferta de la hija mayor de la familia Denbrough, Ane, ofreciendo 20.000 dólares en mano, seguido de 50 pagos mensuales comenzando justo con la firma, más una entrega final de 5.000 dólares. Las dos hermanas de Ane están también interesadas mientras que su hermano Bill no. Alice, la pequeña, ofrece 25.000 dólares en efectivo, junto con 30 pagos trimestrales, comenzando tres meses después de cerrar el trato, más un pago final de 5.000 dólares. Abigail, la mediana, propone pagos mensuales durante quince años. El primero comenzaría un año después de la firma, algo que al vendedor no le entusiasma, porque sabe que en Derry las personas desaparecen con frecuencia. El comerciante piensa vender a una de las hermanas de Bill. ¿Lo sabes tú? ¿Por qué? Toma como referencia un tipo de interés nominal anual del 2,7%.</t>
  </si>
  <si>
    <t>Pagos periodicos Ane</t>
  </si>
  <si>
    <t>Pagos periodicos Alice</t>
  </si>
  <si>
    <t>Pagos periodicos Abigail</t>
  </si>
  <si>
    <t>Edad de retirada</t>
  </si>
  <si>
    <t>Paga fija</t>
  </si>
  <si>
    <t>DESCRIPCIÓN DEL PROBLEMA 4</t>
  </si>
  <si>
    <t>Imagina que eres un joven de Derry que trabaja en la feria ambulante que cada cierto tiempo se instala cerca de los Barrens. Tienes 19 años y sueñas con marcharte de la ciudad antes de que sea demasiado tarde. El problema es que tus ahorros dependen de lo que consigas ganar en la feria y en algunos trabajos poco agradables. Quieres calcular el valor actual de todo lo que podrías acumular a lo largo de tu "carrera" en Derry, desde los 19 años hasta una edad de retirada, si nada raro te obliga a irte antes (tomas como referencia una tasa de descuento nominal del 4,5 %). Calcula para cada supuesto, el valor actual de tus ganancias cuando:
1.Recibes una paga fija por "turno especial", esos en los que hay que quedarse hasta después del cierre, con la noria parada, las luces apagadas y el viento colándose entre las atracciones. Esperas tener un turno de este tipo cada mes.
2.A la recompensa por turno se le añaden dos bonificaciones anuales del doble de la paga fija cada una: una a mitad de año, cuando la feria organiza un gran evento en julio cerca de los Barrens, y otra al final del año, coincidiendo con las fiestas de diciembre, cuando la ciudad se llena de globos rojos que nadie admite haber colgado.
3.Se mantienen las mismas condiciones del caso anterior, pero ahora tus pagas y bonificaciones reciben cada año un ajuste con un incremento estimado de los precios del 3,5 %. La dirección de la feria asegura que con ese ajuste "todo se mantiene estable", aunque tú no terminas de fiarte ni de las cuentas ni de las sombras que ves al final del pasillo de los espejos.</t>
  </si>
  <si>
    <t>Como responsable de finanzas del Ayuntamiento de Derry, te encargan elaborar el plan de amortización de un préstamo a 25 años concedido por una pequeña entidad financiera situada en un edificio viejo cerca de Neibolt Street. El préstamo con pagos mensuales siguiendo la llamada "regla de Derry", muy similar a los sistemas de amortización franceses, aunque en las cláusulas hay anotaciones a mano que nadie reconoce como propias.
El tipo de interés nominal se fija como el "Derry Index" más un 1,3 % siendo el valor actual del Derry Index del 1 %. Junto al contrato se incluye una comisión inicial del 2,4 % destinada, según el gestor, a "gastos de revisión y procedimientos especiales" realizados en una habitación interior donde siempre falta una bombilla.
El alcalde exige, además del cuadro de amortización mensual, el cálculo de la TAE del préstamo con comisión y sin comisión, para comprobar cuánto le cuesta en realidad este acuerdo a la ciudad de Derry.</t>
  </si>
  <si>
    <t>Prestamo</t>
  </si>
  <si>
    <t>DESCRIPCIÓN DEL PROBLEMA 7</t>
  </si>
  <si>
    <t>DESCRIPCIÓN DEL PROBLEMA 5</t>
  </si>
  <si>
    <t>Comisión de cancelación</t>
  </si>
  <si>
    <t>Siguiendo las condiciones del préstamo descrito en el caso anterior, imagina que, después de realizar el pago final del segundo quinquenio, surge la posibilidad de trasladar la deuda a otra entidad de Derry. Esta nueva oficina funciona en un local pintado de azul en Kansas Street, un sitio pequeño pero con fama de tratar mejor a sus clientes.
El nuevo prestamista ofrece un tipo de interés fijado como Derry Index + 0,5 %. Para romper el contrato con la entidad de Neibolt Street, debes pagar una comisión de cancelación del capital pendiente. Determina si vale la pena trasladar la deuda al nuevo prestamista y calcular cuánto dinero podrías ahorrar o perder tomando esa decisión. Si las condiciones nuevas no son mejores, quizá convenga mantener al préstamo original, aunque el edificio de Neibolt siga crujiendo cuando cae la noche.</t>
  </si>
  <si>
    <t>El personal del banco de Derry, donde a la familia Denbrough le han ofrecido un préstamo de un año al 6% TIN sin comisiones y pagos mensuales, comenta la última visita del supervisor del ayuntamiento William. William lleva días revisando papeles, números y ruidos que vienen del sótano, y piensa que necesita dinero para reforzar las instalaciones antes de que lleguen las tormentas de otoño que también preocupan a la familia Denbrough. Quienes trabajan cerca han oído que baraja emitir notas de deuda a un año con una tasa nominal del 7 % liquidada de forma semestral. En cambio, en el banco le han ofrecido un préstamo por un año con una tasa nominal del 6,5 % acompañada de una comisión inicial del 1.6 % del total por una supuesta "consulta de evaluación", algo que el personal dice hacer en una habitación donde nunca funciona la luz del techo. Los intereses se pagarían al final de cada trimestre, y el principal al cierre del año. El hijo mayor de los Denbrough que se ha enterado de todo se pregunta qué decisión tomará antes de que lleguen las tormentas.</t>
  </si>
  <si>
    <t>Imagina que, en el caso anterior, la entidad de Neibolt Street decide revisar el tipo de interés del préstamo al terminar el segundo año. El motivo es que el Derry Index se ha duplicado con respecto al valor que tenía cuando se firmó el contrato. El capital pendiente no se altera, pero por alguna razón oscura se incrementa en 100 dólares justo al hacer la revisión; el interés aplicable para los años restantes cambia con la revisión. Calcula el nuevo término amortizativo mensual que deberá pagar el Ayuntamiento de Derry desde la revisión y hasta el final del plazo del préstamo.</t>
  </si>
  <si>
    <t>Tasa nominal anual</t>
  </si>
  <si>
    <t>Periodo (Años)</t>
  </si>
  <si>
    <t>Periodo (Meses)</t>
  </si>
  <si>
    <t>Tasa nominal mensual</t>
  </si>
  <si>
    <t>SOLUCIÓN AL PROBLEMA 1</t>
  </si>
  <si>
    <t>Parte para cada persona (Son 3 herman@s)</t>
  </si>
  <si>
    <t>Resultado a Bill le corresponde 3281,17€ si la moneda es €, si son dolares seria 3281,17$, si fueran yenes pues yenes, la moneda no la especifica el problema.</t>
  </si>
  <si>
    <t>Valor total del fondo tras los 17 años</t>
  </si>
  <si>
    <t>Tasa nominal semestral (Notas de deuda)</t>
  </si>
  <si>
    <t>Comisión inicial del banco</t>
  </si>
  <si>
    <t>Plazo de las notas de deuda (Meses) (Periodo)</t>
  </si>
  <si>
    <t>Plazo del Prestamo bancario (Meses) (Periodo)</t>
  </si>
  <si>
    <t>Tasa nominal trimestral (Prestamo bancario)</t>
  </si>
  <si>
    <t>SOLUCIÓN AL PROBLEMA 2</t>
  </si>
  <si>
    <t>DESCRIPCIÓN DEL PROBLEMA 2</t>
  </si>
  <si>
    <t>DESCRIPCIÓN DEL PROBLEMA 6</t>
  </si>
  <si>
    <t>Porcentaje final a pagar por la nota de deuda</t>
  </si>
  <si>
    <t>Porcentaje final a pagar por el prestamo</t>
  </si>
  <si>
    <t>Resultado William elegira la nota de deuda ya que se ahorrara la familia Denbrough 1,09%</t>
  </si>
  <si>
    <t>Oferta de Ane</t>
  </si>
  <si>
    <t>Pago extra final de Ane</t>
  </si>
  <si>
    <t>Oferta de Alice</t>
  </si>
  <si>
    <t>Pago extra final de Alice</t>
  </si>
  <si>
    <t>Total de periodos Ane (Meses)</t>
  </si>
  <si>
    <t>Total de periodos Alice (Trimestrales)</t>
  </si>
  <si>
    <t>Interes nominal anual</t>
  </si>
  <si>
    <t>Interes nominal mensual</t>
  </si>
  <si>
    <t>SOLUCIÓN AL PROBLEMA 3</t>
  </si>
  <si>
    <t>Oferta final de Alice</t>
  </si>
  <si>
    <t>Oferta final de Abigail</t>
  </si>
  <si>
    <t>Oferta final de Ane</t>
  </si>
  <si>
    <t>Interes nominal trimestral</t>
  </si>
  <si>
    <t>Total de periodo de Abigail (Años)</t>
  </si>
  <si>
    <t>Total de periodo de Abigail (Meses)</t>
  </si>
  <si>
    <t>Resultado la mejor oferta es la de Alice ya que pagara mas dinero por la tienda</t>
  </si>
  <si>
    <t>Total de años trabajados</t>
  </si>
  <si>
    <t>Total de meses trabajados</t>
  </si>
  <si>
    <t>Incremento anual</t>
  </si>
  <si>
    <t>Tasa de descuento nominal (anual)</t>
  </si>
  <si>
    <t>Tasa de descuento nominal (mensual)</t>
  </si>
  <si>
    <t>Periodos de bonificaciones</t>
  </si>
  <si>
    <t>Interes de bonificaciones</t>
  </si>
  <si>
    <t>Aportacion por bonificacion</t>
  </si>
  <si>
    <t>SUPUESTO 1</t>
  </si>
  <si>
    <t>Dinero total conseguido en todos los meses trabajados durante 26 años</t>
  </si>
  <si>
    <t>SUPUESTO 2</t>
  </si>
  <si>
    <t>SUPUESTO 3</t>
  </si>
  <si>
    <t>Dinero total conseguido en todos los meses trabajados durante 26 años con las 2 bonificaciones anuales</t>
  </si>
  <si>
    <t>AÑO</t>
  </si>
  <si>
    <t>PAGA FIJA MENSUAL</t>
  </si>
  <si>
    <t>PAGA POR BONIFICACION</t>
  </si>
  <si>
    <t>SUELDO Y LA BONIFICACION (Sin descuento nominal)</t>
  </si>
  <si>
    <t>SUELDO Y LA BONIFICACION (Con descuento nominal)</t>
  </si>
  <si>
    <t>Dinero total conseguido en todos los meses trabajados durante 26 años con las 2 bonificaciones anuales y con el incremento anual</t>
  </si>
  <si>
    <t>Resultado deberia elegir el supuesto 3</t>
  </si>
  <si>
    <t>Periodo del prestamo (años)</t>
  </si>
  <si>
    <t>Periodo del prestamo (meses)</t>
  </si>
  <si>
    <t>Tipo de interes nominal</t>
  </si>
  <si>
    <t>Valor del Index</t>
  </si>
  <si>
    <t>Comision inicial</t>
  </si>
  <si>
    <t>SOLUCIÓN AL PROBLEMA 5</t>
  </si>
  <si>
    <t>Cuota mensual fija</t>
  </si>
  <si>
    <t>CUOTA</t>
  </si>
  <si>
    <t>INTERESES</t>
  </si>
  <si>
    <t>AMORTIZACION</t>
  </si>
  <si>
    <t>CAPITAL PENDIENTE</t>
  </si>
  <si>
    <t>TAE sin comision</t>
  </si>
  <si>
    <t>Comision</t>
  </si>
  <si>
    <t>CALCULOS CON TAE Y COMISION</t>
  </si>
  <si>
    <t>Capital neto recibido</t>
  </si>
  <si>
    <t>TAE con comision</t>
  </si>
  <si>
    <t>Total a pagar</t>
  </si>
  <si>
    <t>Coste total de intereses</t>
  </si>
  <si>
    <t>La comisión inicial del 2.4% aumenta significativamente la TAE real del préstamo de 2.324% a 2.515%, lo que representa un coste adicional importante para el ayuntamiento de Derry.</t>
  </si>
  <si>
    <t>OTROS CALCULOS</t>
  </si>
  <si>
    <t>SOLUCION FINAL</t>
  </si>
  <si>
    <t>Valor del Index despues del año 2</t>
  </si>
  <si>
    <t>Periodo del prestamo restantes despues del año 2 (meses)</t>
  </si>
  <si>
    <t>Saldo restante despues del año 2</t>
  </si>
  <si>
    <t>Tasa de interes nominal despues del año 2</t>
  </si>
  <si>
    <t>Incremento de capital</t>
  </si>
  <si>
    <t>Saldo restante despues del año 2 con el incremento de capital</t>
  </si>
  <si>
    <t>Cuota mensual fija despues del año 2</t>
  </si>
  <si>
    <t>MODIFICACIÓN POR EL NUEVO VALOR DEL INDEX A PARTIR DEL AÑO 2</t>
  </si>
  <si>
    <t>TAE sin comision los dos primeros años</t>
  </si>
  <si>
    <t>TAE sin comision despues del segundo año</t>
  </si>
  <si>
    <t>CALCULOS CON TAE Y COMISION los dos primeros años</t>
  </si>
  <si>
    <t>CALCULOS CON TAE Y COMISION despues del segundo año</t>
  </si>
  <si>
    <t>Capital neto restante</t>
  </si>
  <si>
    <t>Debido a la duplicación del valor del index y al incremento de 100 en el capital, la nueva cuota mensual que deberá pagar el Ayuntamiento de Derry desde el inicio del tercer año será de 15,59 , lo que representa un aumento de 1,99 dolares, euros o la moneda que sea que no se especifica en el enunciado, mensualmente respecto a la cuota original.</t>
  </si>
  <si>
    <t>MES</t>
  </si>
  <si>
    <t>Valor del Index despues del año 10</t>
  </si>
  <si>
    <t>Tasa de interes nominal despues del año 10</t>
  </si>
  <si>
    <t>Periodo del prestamo restantes despues del año 10 (meses)</t>
  </si>
  <si>
    <t>Cuota mensual fija despues del año 10</t>
  </si>
  <si>
    <t>Saldo restante despues del año 10 sin la comision de cancelación</t>
  </si>
  <si>
    <t>Saldo restante despues del año 10 con la comision de cancelación</t>
  </si>
  <si>
    <t>AQUÍ SEGUIMOS CON EL MISMO BANCO QUE HASTA AHORA</t>
  </si>
  <si>
    <t>AQUÍ CAMBIAMOS AL NUEVO BANCO</t>
  </si>
  <si>
    <t>SI SEGUIMOS CON EL VIEJO BANCO</t>
  </si>
  <si>
    <t>SI VAMOS AL NUEVO BANCO</t>
  </si>
  <si>
    <t>CALCULOS CON TAE Y COMISION despues del decimo año</t>
  </si>
  <si>
    <t>Viendo que el total a devolver es mayor si nos cambiamos al nuevo banco, deberiamos seguir quedandonos con el banco que nos concedio el prestamo (El primer banco)</t>
  </si>
  <si>
    <t>ATENCIÓN: En la tabla mes, cuota, interes, amortización y capital pendiente. Veras que a partir del mes 25 estaran las nuevas condiciones del segundo año.</t>
  </si>
  <si>
    <t>ATENCIÓN: En la tabla mes, cuota, interes, amortización y capital pendiente. Veras que a partir del mes 25 estaran las nuevas condiciones del segundo año. Y que a partir del 121 hay dos tablas identicas una al lado de la otra, pero con las condiciones del primer banco en la tabla de la izquierda y las condiciones del segundo banco en la tabla de la derecha.</t>
  </si>
  <si>
    <t>ANOTACIONES DE LAS FORMULAS</t>
  </si>
  <si>
    <t>FORMULA VF</t>
  </si>
  <si>
    <t>Pongo el ingreso inicial  y los ingresos mensuales en negativo en la fórmula de VF porque son aportaciones y el valor final debe ser positivo, y le sumo la aportación final sin beneficio ya que al realizarse al final del período no va obtener ningún beneficio.</t>
  </si>
  <si>
    <t>FORMULA VA</t>
  </si>
  <si>
    <t>Pongo el pago periodico en negativo en la fórmula de VA porque son aportaciones y el valor final debe ser positivo. Y en el caso de Ane y Alice le sumo al resultado de VA el pago extra final y la oferta inicial. Y en el caso de Ane en la formula VA se pone el tipo 1 porque comienza a pagar despues de la firma.</t>
  </si>
  <si>
    <t xml:space="preserve">Pongo la paga fija y la aportacion por bonificación (O tambien lo llamo "Paga por bonificación") en negativo en la fórmula de VA porque son aportaciones y el valor final debe ser positivo. </t>
  </si>
  <si>
    <t>FORMULA PAGO</t>
  </si>
  <si>
    <t>Pongo el prestamo en negativo en la fórmula de PAGO porque es una aportacion y el valor final debe ser positivo.</t>
  </si>
  <si>
    <t>FORMULA TASA</t>
  </si>
  <si>
    <t>Pongo la cuota mensual fija en negativo en la fórmula de TASA porque es una aportacion y el valor final debe ser positivo.</t>
  </si>
  <si>
    <t>Pongo la cuota mensual fija en negativo en la fórmula de VA porque es una aportacion y el valor final debe ser positivo.</t>
  </si>
  <si>
    <t>Pongo el prestamo y prestamo restante (O como lo llamo "Saldo restante despues del año 2 con el incremento de capital") en negativo en la fórmula de PAGO porque es una aportacion y el valor final debe ser positivo.</t>
  </si>
  <si>
    <t>Pongo el prestamo y prestamo restante (O como lo llamo "Saldo restante despues del año 2 con el incremento de capital" y "Saldo restante despues del año 10 con la comision de cancelación") en negativo en la fórmula de PAGO porque es una aportacion y el valor final debe ser positivo.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</si>
</sst>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0.00\ &quot;€&quot;;[Red]\-#,##0.00\ &quot;€&quot;"/>
    <numFmt numFmtId="164" formatCode="0.000%"/>
    <numFmt numFmtId="165" formatCode="[$$-409]#,##0.00"/>
    <numFmt numFmtId="166" formatCode="[$$-409]#,##0"/>
    <numFmt numFmtId="167" formatCode="[$$-540A]#,##0.00"/>
  </numFmts>
  <fonts count="4" x14ac:knownFonts="1">
    <font>
      <sz val="11"/>
      <color theme="1"/>
      <name val="Aptos Narrow"/>
      <family val="2"/>
      <scheme val="minor"/>
    </font>
    <font>
      <sz val="8"/>
      <name val="Aptos Narrow"/>
      <family val="2"/>
      <scheme val="minor"/>
    </font>
    <font>
      <b/>
      <sz val="8"/>
      <color rgb="FFFF0000"/>
      <name val="Aptos Narrow"/>
      <family val="2"/>
      <scheme val="minor"/>
    </font>
    <font>
      <b/>
      <sz val="9"/>
      <color rgb="FFFF0000"/>
      <name val="Aptos Narrow"/>
      <family val="2"/>
      <scheme val="minor"/>
    </font>
  </fonts>
  <fills count="2">
    <fill>
      <patternFill patternType="none"/>
    </fill>
    <fill>
      <patternFill patternType="gray125"/>
    </fill>
  </fills>
  <borders count="54">
    <border>
      <left/>
      <right/>
      <top/>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medium">
        <color auto="1"/>
      </left>
      <right/>
      <top style="thick">
        <color auto="1"/>
      </top>
      <bottom/>
      <diagonal/>
    </border>
    <border>
      <left style="medium">
        <color auto="1"/>
      </left>
      <right/>
      <top/>
      <bottom style="medium">
        <color auto="1"/>
      </bottom>
      <diagonal/>
    </border>
    <border>
      <left/>
      <right style="thick">
        <color auto="1"/>
      </right>
      <top/>
      <bottom style="medium">
        <color auto="1"/>
      </bottom>
      <diagonal/>
    </border>
    <border>
      <left/>
      <right style="medium">
        <color auto="1"/>
      </right>
      <top style="thick">
        <color auto="1"/>
      </top>
      <bottom/>
      <diagonal/>
    </border>
    <border>
      <left/>
      <right style="medium">
        <color auto="1"/>
      </right>
      <top/>
      <bottom style="medium">
        <color auto="1"/>
      </bottom>
      <diagonal/>
    </border>
    <border>
      <left/>
      <right/>
      <top style="medium">
        <color auto="1"/>
      </top>
      <bottom/>
      <diagonal/>
    </border>
    <border>
      <left style="thick">
        <color auto="1"/>
      </left>
      <right/>
      <top style="medium">
        <color auto="1"/>
      </top>
      <bottom/>
      <diagonal/>
    </border>
    <border>
      <left/>
      <right style="thick">
        <color auto="1"/>
      </right>
      <top style="medium">
        <color auto="1"/>
      </top>
      <bottom/>
      <diagonal/>
    </border>
    <border>
      <left style="thick">
        <color auto="1"/>
      </left>
      <right/>
      <top/>
      <bottom/>
      <diagonal/>
    </border>
    <border>
      <left/>
      <right style="thick">
        <color auto="1"/>
      </right>
      <top/>
      <bottom/>
      <diagonal/>
    </border>
    <border>
      <left style="thick">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ck">
        <color auto="1"/>
      </left>
      <right/>
      <top/>
      <bottom style="medium">
        <color auto="1"/>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thick">
        <color auto="1"/>
      </left>
      <right style="medium">
        <color auto="1"/>
      </right>
      <top/>
      <bottom/>
      <diagonal/>
    </border>
    <border>
      <left style="medium">
        <color auto="1"/>
      </left>
      <right style="medium">
        <color auto="1"/>
      </right>
      <top/>
      <bottom/>
      <diagonal/>
    </border>
    <border>
      <left style="medium">
        <color auto="1"/>
      </left>
      <right style="thick">
        <color auto="1"/>
      </right>
      <top/>
      <bottom/>
      <diagonal/>
    </border>
    <border>
      <left style="medium">
        <color auto="1"/>
      </left>
      <right style="thick">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thick">
        <color auto="1"/>
      </bottom>
      <diagonal/>
    </border>
    <border>
      <left style="medium">
        <color auto="1"/>
      </left>
      <right style="thick">
        <color auto="1"/>
      </right>
      <top/>
      <bottom style="thick">
        <color auto="1"/>
      </bottom>
      <diagonal/>
    </border>
    <border>
      <left/>
      <right style="medium">
        <color auto="1"/>
      </right>
      <top/>
      <bottom style="thick">
        <color auto="1"/>
      </bottom>
      <diagonal/>
    </border>
    <border>
      <left style="thick">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s>
  <cellStyleXfs count="1">
    <xf numFmtId="0" fontId="0" fillId="0" borderId="0"/>
  </cellStyleXfs>
  <cellXfs count="190">
    <xf numFmtId="0" fontId="0" fillId="0" borderId="0" xfId="0"/>
    <xf numFmtId="8" fontId="0" fillId="0" borderId="0" xfId="0" applyNumberFormat="1"/>
    <xf numFmtId="166" fontId="0" fillId="0" borderId="0" xfId="0" applyNumberFormat="1"/>
    <xf numFmtId="165" fontId="0" fillId="0" borderId="0" xfId="0" applyNumberFormat="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vertical="center"/>
    </xf>
    <xf numFmtId="164" fontId="0" fillId="0" borderId="20" xfId="0" applyNumberFormat="1" applyBorder="1" applyAlignment="1">
      <alignment horizontal="center" vertical="center"/>
    </xf>
    <xf numFmtId="164" fontId="0" fillId="0" borderId="21" xfId="0" applyNumberFormat="1" applyBorder="1" applyAlignment="1">
      <alignment horizontal="center" vertical="center"/>
    </xf>
    <xf numFmtId="10" fontId="0" fillId="0" borderId="17" xfId="0" applyNumberFormat="1"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8" fontId="0" fillId="0" borderId="17" xfId="0" applyNumberFormat="1"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10" fontId="0" fillId="0" borderId="18" xfId="0" applyNumberFormat="1" applyBorder="1" applyAlignment="1">
      <alignment horizontal="center" vertical="center"/>
    </xf>
    <xf numFmtId="10" fontId="0" fillId="0" borderId="20" xfId="0" applyNumberFormat="1" applyBorder="1" applyAlignment="1">
      <alignment horizontal="center" vertical="center"/>
    </xf>
    <xf numFmtId="10" fontId="0" fillId="0" borderId="21" xfId="0" applyNumberFormat="1" applyBorder="1" applyAlignment="1">
      <alignment horizontal="center" vertical="center"/>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0" fontId="0" fillId="0" borderId="23" xfId="0" applyNumberFormat="1" applyBorder="1" applyAlignment="1">
      <alignment horizontal="center" vertical="center"/>
    </xf>
    <xf numFmtId="10" fontId="0" fillId="0" borderId="24" xfId="0" applyNumberFormat="1" applyBorder="1" applyAlignment="1">
      <alignment horizontal="center" vertical="center"/>
    </xf>
    <xf numFmtId="10" fontId="0" fillId="0" borderId="17" xfId="0" applyNumberFormat="1" applyBorder="1" applyAlignment="1">
      <alignment horizontal="center" vertical="center" wrapText="1"/>
    </xf>
    <xf numFmtId="10" fontId="0" fillId="0" borderId="18" xfId="0" applyNumberFormat="1" applyBorder="1" applyAlignment="1">
      <alignment horizontal="center" vertical="center" wrapText="1"/>
    </xf>
    <xf numFmtId="10" fontId="0" fillId="0" borderId="23" xfId="0" applyNumberFormat="1" applyBorder="1" applyAlignment="1">
      <alignment horizontal="center" vertical="center" wrapText="1"/>
    </xf>
    <xf numFmtId="10" fontId="0" fillId="0" borderId="24" xfId="0" applyNumberFormat="1" applyBorder="1" applyAlignment="1">
      <alignment horizontal="center" vertical="center"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165" fontId="0" fillId="0" borderId="19" xfId="0" applyNumberFormat="1" applyBorder="1" applyAlignment="1">
      <alignment horizontal="center" vertical="center"/>
    </xf>
    <xf numFmtId="165" fontId="0" fillId="0" borderId="20" xfId="0" applyNumberFormat="1" applyBorder="1" applyAlignment="1">
      <alignment horizontal="center" vertical="center"/>
    </xf>
    <xf numFmtId="165" fontId="0" fillId="0" borderId="22" xfId="0" applyNumberFormat="1" applyBorder="1" applyAlignment="1">
      <alignment horizontal="center" vertical="center"/>
    </xf>
    <xf numFmtId="165" fontId="0" fillId="0" borderId="23" xfId="0" applyNumberFormat="1" applyBorder="1" applyAlignment="1">
      <alignment horizontal="center" vertical="center"/>
    </xf>
    <xf numFmtId="165" fontId="0" fillId="0" borderId="21" xfId="0" applyNumberFormat="1" applyBorder="1" applyAlignment="1">
      <alignment horizontal="center" vertical="center"/>
    </xf>
    <xf numFmtId="165" fontId="0" fillId="0" borderId="24" xfId="0" applyNumberFormat="1" applyBorder="1" applyAlignment="1">
      <alignment horizontal="center" vertical="center"/>
    </xf>
    <xf numFmtId="166" fontId="0" fillId="0" borderId="17" xfId="0" applyNumberFormat="1" applyBorder="1" applyAlignment="1">
      <alignment horizontal="center" vertical="center"/>
    </xf>
    <xf numFmtId="166" fontId="0" fillId="0" borderId="18" xfId="0" applyNumberFormat="1" applyBorder="1" applyAlignment="1">
      <alignment horizontal="center" vertical="center"/>
    </xf>
    <xf numFmtId="166" fontId="0" fillId="0" borderId="20" xfId="0" applyNumberFormat="1" applyBorder="1" applyAlignment="1">
      <alignment horizontal="center" vertical="center"/>
    </xf>
    <xf numFmtId="166" fontId="0" fillId="0" borderId="21" xfId="0" applyNumberFormat="1" applyBorder="1" applyAlignment="1">
      <alignment horizontal="center" vertical="center"/>
    </xf>
    <xf numFmtId="164" fontId="0" fillId="0" borderId="23" xfId="0" applyNumberFormat="1" applyBorder="1" applyAlignment="1">
      <alignment horizontal="center" vertical="center"/>
    </xf>
    <xf numFmtId="164" fontId="0" fillId="0" borderId="24" xfId="0" applyNumberFormat="1" applyBorder="1" applyAlignment="1">
      <alignment horizontal="center" vertical="center"/>
    </xf>
    <xf numFmtId="165" fontId="0" fillId="0" borderId="17" xfId="0" applyNumberFormat="1" applyBorder="1" applyAlignment="1">
      <alignment horizontal="center" vertical="center" wrapText="1"/>
    </xf>
    <xf numFmtId="165" fontId="0" fillId="0" borderId="18" xfId="0" applyNumberFormat="1" applyBorder="1" applyAlignment="1">
      <alignment horizontal="center" vertical="center" wrapText="1"/>
    </xf>
    <xf numFmtId="165" fontId="0" fillId="0" borderId="23" xfId="0" applyNumberFormat="1" applyBorder="1" applyAlignment="1">
      <alignment horizontal="center" vertical="center" wrapText="1"/>
    </xf>
    <xf numFmtId="165" fontId="0" fillId="0" borderId="24" xfId="0" applyNumberFormat="1" applyBorder="1" applyAlignment="1">
      <alignment horizontal="center" vertical="center" wrapText="1"/>
    </xf>
    <xf numFmtId="167" fontId="0" fillId="0" borderId="17" xfId="0" applyNumberFormat="1" applyBorder="1" applyAlignment="1">
      <alignment horizontal="center" vertical="center" wrapText="1"/>
    </xf>
    <xf numFmtId="167" fontId="0" fillId="0" borderId="18" xfId="0" applyNumberFormat="1" applyBorder="1" applyAlignment="1">
      <alignment horizontal="center" vertical="center" wrapText="1"/>
    </xf>
    <xf numFmtId="167" fontId="0" fillId="0" borderId="23" xfId="0" applyNumberFormat="1" applyBorder="1" applyAlignment="1">
      <alignment horizontal="center" vertical="center" wrapText="1"/>
    </xf>
    <xf numFmtId="167" fontId="0" fillId="0" borderId="24" xfId="0" applyNumberFormat="1" applyBorder="1" applyAlignment="1">
      <alignment horizontal="center" vertical="center" wrapText="1"/>
    </xf>
    <xf numFmtId="0" fontId="0" fillId="0" borderId="31"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9" xfId="0" applyBorder="1" applyAlignment="1">
      <alignment horizontal="center" vertical="center" wrapText="1"/>
    </xf>
    <xf numFmtId="164" fontId="0" fillId="0" borderId="37" xfId="0" applyNumberFormat="1" applyBorder="1" applyAlignment="1">
      <alignment horizontal="center" vertical="center"/>
    </xf>
    <xf numFmtId="164" fontId="0" fillId="0" borderId="32" xfId="0" applyNumberFormat="1" applyBorder="1" applyAlignment="1">
      <alignment horizontal="center" vertical="center"/>
    </xf>
    <xf numFmtId="164" fontId="0" fillId="0" borderId="26" xfId="0" applyNumberFormat="1" applyBorder="1" applyAlignment="1">
      <alignment horizontal="center" vertical="center"/>
    </xf>
    <xf numFmtId="164" fontId="0" fillId="0" borderId="27" xfId="0" applyNumberFormat="1" applyBorder="1" applyAlignment="1">
      <alignment horizontal="center" vertical="center"/>
    </xf>
    <xf numFmtId="0" fontId="0" fillId="0" borderId="31" xfId="0" applyBorder="1" applyAlignment="1">
      <alignment horizontal="left" vertical="top" wrapText="1"/>
    </xf>
    <xf numFmtId="0" fontId="0" fillId="0" borderId="30"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0" xfId="0" applyAlignment="1">
      <alignment horizontal="left" vertical="top" wrapText="1"/>
    </xf>
    <xf numFmtId="0" fontId="0" fillId="0" borderId="34"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1" fontId="0" fillId="0" borderId="17" xfId="0" applyNumberFormat="1" applyBorder="1" applyAlignment="1">
      <alignment horizontal="center" vertical="center"/>
    </xf>
    <xf numFmtId="1" fontId="0" fillId="0" borderId="18" xfId="0" applyNumberFormat="1" applyBorder="1" applyAlignment="1">
      <alignment horizontal="center" vertical="center"/>
    </xf>
    <xf numFmtId="0" fontId="0" fillId="0" borderId="21" xfId="0" applyBorder="1" applyAlignment="1">
      <alignment horizontal="center" vertical="center" wrapText="1"/>
    </xf>
    <xf numFmtId="2" fontId="0" fillId="0" borderId="41" xfId="0" applyNumberFormat="1" applyBorder="1" applyAlignment="1">
      <alignment horizontal="center" vertical="center" wrapText="1"/>
    </xf>
    <xf numFmtId="2" fontId="0" fillId="0" borderId="42" xfId="0" applyNumberFormat="1" applyBorder="1" applyAlignment="1">
      <alignment horizontal="center" vertical="center" wrapText="1"/>
    </xf>
    <xf numFmtId="2" fontId="0" fillId="0" borderId="44" xfId="0" applyNumberFormat="1" applyBorder="1" applyAlignment="1">
      <alignment horizontal="center" vertical="center" wrapText="1"/>
    </xf>
    <xf numFmtId="2" fontId="0" fillId="0" borderId="45" xfId="0" applyNumberFormat="1" applyBorder="1" applyAlignment="1">
      <alignment horizontal="center" vertical="center" wrapText="1"/>
    </xf>
    <xf numFmtId="2" fontId="0" fillId="0" borderId="48" xfId="0" applyNumberFormat="1" applyBorder="1" applyAlignment="1">
      <alignment horizontal="center" vertical="center" wrapText="1"/>
    </xf>
    <xf numFmtId="2" fontId="0" fillId="0" borderId="49" xfId="0" applyNumberFormat="1" applyBorder="1" applyAlignment="1">
      <alignment horizontal="center" vertical="center" wrapText="1"/>
    </xf>
    <xf numFmtId="0" fontId="0" fillId="0" borderId="35" xfId="0" applyBorder="1" applyAlignment="1">
      <alignment horizontal="center" vertical="center"/>
    </xf>
    <xf numFmtId="0" fontId="0" fillId="0" borderId="36" xfId="0" applyBorder="1" applyAlignment="1">
      <alignment horizontal="center" vertical="center"/>
    </xf>
    <xf numFmtId="1" fontId="0" fillId="0" borderId="36" xfId="0" applyNumberFormat="1" applyBorder="1" applyAlignment="1">
      <alignment horizontal="center" vertical="center"/>
    </xf>
    <xf numFmtId="2" fontId="0" fillId="0" borderId="36" xfId="0" applyNumberFormat="1" applyBorder="1" applyAlignment="1">
      <alignment horizontal="center" vertical="center"/>
    </xf>
    <xf numFmtId="2" fontId="0" fillId="0" borderId="20" xfId="0" applyNumberFormat="1" applyBorder="1" applyAlignment="1">
      <alignment horizontal="center" vertical="center"/>
    </xf>
    <xf numFmtId="2" fontId="0" fillId="0" borderId="46" xfId="0" applyNumberFormat="1" applyBorder="1" applyAlignment="1">
      <alignment horizontal="center" vertical="center"/>
    </xf>
    <xf numFmtId="2" fontId="0" fillId="0" borderId="21" xfId="0" applyNumberFormat="1" applyBorder="1" applyAlignment="1">
      <alignment horizontal="center" vertical="center"/>
    </xf>
    <xf numFmtId="2" fontId="0" fillId="0" borderId="17" xfId="0" applyNumberFormat="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28"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50" xfId="0" applyBorder="1" applyAlignment="1">
      <alignment horizontal="center" vertical="center"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2" fontId="0" fillId="0" borderId="36" xfId="0" applyNumberFormat="1" applyBorder="1" applyAlignment="1">
      <alignment horizontal="center" vertical="center" wrapText="1"/>
    </xf>
    <xf numFmtId="2" fontId="0" fillId="0" borderId="46" xfId="0" applyNumberFormat="1" applyBorder="1" applyAlignment="1">
      <alignment horizontal="center" vertical="center" wrapText="1"/>
    </xf>
    <xf numFmtId="2" fontId="0" fillId="0" borderId="23" xfId="0" applyNumberFormat="1" applyBorder="1" applyAlignment="1">
      <alignment horizontal="center" vertical="center" wrapText="1"/>
    </xf>
    <xf numFmtId="2" fontId="0" fillId="0" borderId="24" xfId="0" applyNumberFormat="1" applyBorder="1" applyAlignment="1">
      <alignment horizontal="center" vertical="center" wrapText="1"/>
    </xf>
    <xf numFmtId="2" fontId="0" fillId="0" borderId="23" xfId="0" applyNumberFormat="1" applyBorder="1" applyAlignment="1">
      <alignment horizontal="center" vertical="center"/>
    </xf>
    <xf numFmtId="2" fontId="0" fillId="0" borderId="24" xfId="0" applyNumberFormat="1" applyBorder="1" applyAlignment="1">
      <alignment horizontal="center" vertical="center"/>
    </xf>
    <xf numFmtId="2" fontId="0" fillId="0" borderId="17" xfId="0" applyNumberFormat="1" applyBorder="1" applyAlignment="1">
      <alignment horizontal="center" vertical="center" wrapText="1"/>
    </xf>
    <xf numFmtId="2" fontId="0" fillId="0" borderId="18" xfId="0" applyNumberFormat="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33" xfId="0" applyBorder="1" applyAlignment="1">
      <alignment horizontal="left" vertical="center" wrapText="1"/>
    </xf>
    <xf numFmtId="0" fontId="0" fillId="0" borderId="0" xfId="0" applyAlignment="1">
      <alignment horizontal="left" vertical="center" wrapText="1"/>
    </xf>
    <xf numFmtId="0" fontId="0" fillId="0" borderId="34"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164" fontId="0" fillId="0" borderId="36" xfId="0" applyNumberFormat="1" applyBorder="1" applyAlignment="1">
      <alignment horizontal="center" vertical="center" wrapText="1"/>
    </xf>
    <xf numFmtId="164" fontId="0" fillId="0" borderId="46" xfId="0" applyNumberFormat="1" applyBorder="1" applyAlignment="1">
      <alignment horizontal="center" vertical="center" wrapText="1"/>
    </xf>
    <xf numFmtId="164" fontId="0" fillId="0" borderId="23" xfId="0" applyNumberFormat="1" applyBorder="1" applyAlignment="1">
      <alignment horizontal="center" vertical="center" wrapText="1"/>
    </xf>
    <xf numFmtId="164" fontId="0" fillId="0" borderId="24" xfId="0" applyNumberFormat="1" applyBorder="1" applyAlignment="1">
      <alignment horizontal="center" vertical="center" wrapText="1"/>
    </xf>
    <xf numFmtId="2" fontId="0" fillId="0" borderId="37" xfId="0" applyNumberFormat="1" applyBorder="1" applyAlignment="1">
      <alignment horizontal="center" vertical="center"/>
    </xf>
    <xf numFmtId="2" fontId="0" fillId="0" borderId="32"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2" fontId="0" fillId="0" borderId="52" xfId="0" applyNumberFormat="1" applyBorder="1" applyAlignment="1">
      <alignment horizontal="center" vertical="center"/>
    </xf>
    <xf numFmtId="2" fontId="0" fillId="0" borderId="53" xfId="0" applyNumberFormat="1" applyBorder="1" applyAlignment="1">
      <alignment horizontal="center" vertical="center"/>
    </xf>
    <xf numFmtId="8" fontId="0" fillId="0" borderId="20" xfId="0" applyNumberFormat="1" applyBorder="1" applyAlignment="1">
      <alignment horizontal="center" vertical="center"/>
    </xf>
    <xf numFmtId="0" fontId="2" fillId="0" borderId="10" xfId="0" applyFont="1" applyBorder="1" applyAlignment="1">
      <alignment horizontal="left" wrapText="1"/>
    </xf>
    <xf numFmtId="0" fontId="2" fillId="0" borderId="12" xfId="0" applyFont="1" applyBorder="1" applyAlignment="1">
      <alignment horizontal="left" wrapText="1"/>
    </xf>
    <xf numFmtId="0" fontId="2" fillId="0" borderId="33" xfId="0" applyFont="1" applyBorder="1" applyAlignment="1">
      <alignment horizontal="left" wrapText="1"/>
    </xf>
    <xf numFmtId="0" fontId="2" fillId="0" borderId="34" xfId="0" applyFont="1" applyBorder="1" applyAlignment="1">
      <alignment horizontal="left" wrapText="1"/>
    </xf>
    <xf numFmtId="0" fontId="2" fillId="0" borderId="13" xfId="0" applyFont="1" applyBorder="1" applyAlignment="1">
      <alignment horizontal="left" wrapText="1"/>
    </xf>
    <xf numFmtId="0" fontId="2" fillId="0" borderId="15" xfId="0" applyFont="1" applyBorder="1" applyAlignment="1">
      <alignment horizontal="left"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10" fontId="0" fillId="0" borderId="19" xfId="0" applyNumberFormat="1" applyBorder="1" applyAlignment="1">
      <alignment horizontal="center" vertical="center"/>
    </xf>
    <xf numFmtId="2" fontId="0" fillId="0" borderId="20" xfId="0" applyNumberFormat="1" applyBorder="1" applyAlignment="1">
      <alignment horizontal="center" vertical="center" wrapText="1"/>
    </xf>
    <xf numFmtId="2" fontId="0" fillId="0" borderId="21" xfId="0" applyNumberFormat="1" applyBorder="1" applyAlignment="1">
      <alignment horizontal="center" vertical="center" wrapText="1"/>
    </xf>
    <xf numFmtId="2" fontId="0" fillId="0" borderId="18" xfId="0" applyNumberFormat="1" applyBorder="1" applyAlignment="1">
      <alignment horizontal="center" vertical="center"/>
    </xf>
    <xf numFmtId="0" fontId="3" fillId="0" borderId="10" xfId="0" applyFont="1" applyBorder="1" applyAlignment="1">
      <alignment horizontal="left" wrapText="1"/>
    </xf>
    <xf numFmtId="0" fontId="3" fillId="0" borderId="11" xfId="0" applyFont="1" applyBorder="1" applyAlignment="1">
      <alignment horizontal="left" wrapText="1"/>
    </xf>
    <xf numFmtId="0" fontId="3" fillId="0" borderId="12" xfId="0" applyFont="1" applyBorder="1" applyAlignment="1">
      <alignment horizontal="left" wrapText="1"/>
    </xf>
    <xf numFmtId="0" fontId="3" fillId="0" borderId="33" xfId="0" applyFont="1" applyBorder="1" applyAlignment="1">
      <alignment horizontal="left" wrapText="1"/>
    </xf>
    <xf numFmtId="0" fontId="3" fillId="0" borderId="0" xfId="0" applyFont="1" applyAlignment="1">
      <alignment horizontal="left" wrapText="1"/>
    </xf>
    <xf numFmtId="0" fontId="3" fillId="0" borderId="34" xfId="0" applyFont="1" applyBorder="1" applyAlignment="1">
      <alignment horizontal="left" wrapText="1"/>
    </xf>
    <xf numFmtId="0" fontId="3" fillId="0" borderId="13" xfId="0" applyFont="1" applyBorder="1" applyAlignment="1">
      <alignment horizontal="left" wrapText="1"/>
    </xf>
    <xf numFmtId="0" fontId="3" fillId="0" borderId="14" xfId="0" applyFont="1" applyBorder="1" applyAlignment="1">
      <alignment horizontal="left" wrapText="1"/>
    </xf>
    <xf numFmtId="0" fontId="3" fillId="0" borderId="15"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2C39-9752-4768-AB56-4B8F586819F6}">
  <dimension ref="B1:N37"/>
  <sheetViews>
    <sheetView topLeftCell="A3" zoomScaleNormal="100" workbookViewId="0">
      <selection activeCell="E41" sqref="E41"/>
    </sheetView>
  </sheetViews>
  <sheetFormatPr baseColWidth="10" defaultRowHeight="14.4" x14ac:dyDescent="0.3"/>
  <sheetData>
    <row r="1" spans="2:14" ht="15.6" thickTop="1" thickBot="1" x14ac:dyDescent="0.35">
      <c r="B1" s="18" t="s">
        <v>0</v>
      </c>
      <c r="C1" s="19"/>
      <c r="D1" s="19"/>
      <c r="E1" s="19"/>
      <c r="F1" s="19"/>
      <c r="G1" s="19"/>
      <c r="H1" s="19"/>
      <c r="I1" s="19"/>
      <c r="J1" s="19"/>
      <c r="K1" s="19"/>
      <c r="L1" s="19"/>
      <c r="M1" s="19"/>
      <c r="N1" s="20"/>
    </row>
    <row r="2" spans="2:14" ht="15" thickBot="1" x14ac:dyDescent="0.35">
      <c r="B2" s="21"/>
      <c r="C2" s="22"/>
      <c r="D2" s="22"/>
      <c r="E2" s="22"/>
      <c r="F2" s="22"/>
      <c r="G2" s="22"/>
      <c r="H2" s="22"/>
      <c r="I2" s="22"/>
      <c r="J2" s="22"/>
      <c r="K2" s="22"/>
      <c r="L2" s="22"/>
      <c r="M2" s="22"/>
      <c r="N2" s="23"/>
    </row>
    <row r="3" spans="2:14" ht="14.4" customHeight="1" thickBot="1" x14ac:dyDescent="0.35">
      <c r="B3" s="24" t="s">
        <v>6</v>
      </c>
      <c r="C3" s="25"/>
      <c r="D3" s="25"/>
      <c r="E3" s="25"/>
      <c r="F3" s="25"/>
      <c r="G3" s="25"/>
      <c r="H3" s="25"/>
      <c r="I3" s="25"/>
      <c r="J3" s="25"/>
      <c r="K3" s="25"/>
      <c r="L3" s="25"/>
      <c r="M3" s="25"/>
      <c r="N3" s="26"/>
    </row>
    <row r="4" spans="2:14" ht="15" thickBot="1" x14ac:dyDescent="0.35">
      <c r="B4" s="24"/>
      <c r="C4" s="25"/>
      <c r="D4" s="25"/>
      <c r="E4" s="25"/>
      <c r="F4" s="25"/>
      <c r="G4" s="25"/>
      <c r="H4" s="25"/>
      <c r="I4" s="25"/>
      <c r="J4" s="25"/>
      <c r="K4" s="25"/>
      <c r="L4" s="25"/>
      <c r="M4" s="25"/>
      <c r="N4" s="26"/>
    </row>
    <row r="5" spans="2:14" ht="15" thickBot="1" x14ac:dyDescent="0.35">
      <c r="B5" s="24"/>
      <c r="C5" s="25"/>
      <c r="D5" s="25"/>
      <c r="E5" s="25"/>
      <c r="F5" s="25"/>
      <c r="G5" s="25"/>
      <c r="H5" s="25"/>
      <c r="I5" s="25"/>
      <c r="J5" s="25"/>
      <c r="K5" s="25"/>
      <c r="L5" s="25"/>
      <c r="M5" s="25"/>
      <c r="N5" s="26"/>
    </row>
    <row r="6" spans="2:14" ht="15" thickBot="1" x14ac:dyDescent="0.35">
      <c r="B6" s="24"/>
      <c r="C6" s="25"/>
      <c r="D6" s="25"/>
      <c r="E6" s="25"/>
      <c r="F6" s="25"/>
      <c r="G6" s="25"/>
      <c r="H6" s="25"/>
      <c r="I6" s="25"/>
      <c r="J6" s="25"/>
      <c r="K6" s="25"/>
      <c r="L6" s="25"/>
      <c r="M6" s="25"/>
      <c r="N6" s="26"/>
    </row>
    <row r="7" spans="2:14" ht="15" thickBot="1" x14ac:dyDescent="0.35">
      <c r="B7" s="24"/>
      <c r="C7" s="25"/>
      <c r="D7" s="25"/>
      <c r="E7" s="25"/>
      <c r="F7" s="25"/>
      <c r="G7" s="25"/>
      <c r="H7" s="25"/>
      <c r="I7" s="25"/>
      <c r="J7" s="25"/>
      <c r="K7" s="25"/>
      <c r="L7" s="25"/>
      <c r="M7" s="25"/>
      <c r="N7" s="26"/>
    </row>
    <row r="8" spans="2:14" ht="15" thickBot="1" x14ac:dyDescent="0.35">
      <c r="B8" s="24"/>
      <c r="C8" s="25"/>
      <c r="D8" s="25"/>
      <c r="E8" s="25"/>
      <c r="F8" s="25"/>
      <c r="G8" s="25"/>
      <c r="H8" s="25"/>
      <c r="I8" s="25"/>
      <c r="J8" s="25"/>
      <c r="K8" s="25"/>
      <c r="L8" s="25"/>
      <c r="M8" s="25"/>
      <c r="N8" s="26"/>
    </row>
    <row r="9" spans="2:14" ht="15" thickBot="1" x14ac:dyDescent="0.35">
      <c r="B9" s="24"/>
      <c r="C9" s="25"/>
      <c r="D9" s="25"/>
      <c r="E9" s="25"/>
      <c r="F9" s="25"/>
      <c r="G9" s="25"/>
      <c r="H9" s="25"/>
      <c r="I9" s="25"/>
      <c r="J9" s="25"/>
      <c r="K9" s="25"/>
      <c r="L9" s="25"/>
      <c r="M9" s="25"/>
      <c r="N9" s="26"/>
    </row>
    <row r="10" spans="2:14" ht="15" thickBot="1" x14ac:dyDescent="0.35">
      <c r="B10" s="27"/>
      <c r="C10" s="28"/>
      <c r="D10" s="28"/>
      <c r="E10" s="28"/>
      <c r="F10" s="28"/>
      <c r="G10" s="28"/>
      <c r="H10" s="28"/>
      <c r="I10" s="28"/>
      <c r="J10" s="28"/>
      <c r="K10" s="28"/>
      <c r="L10" s="28"/>
      <c r="M10" s="28"/>
      <c r="N10" s="29"/>
    </row>
    <row r="11" spans="2:14" ht="15" thickTop="1" x14ac:dyDescent="0.3"/>
    <row r="12" spans="2:14" ht="15" thickBot="1" x14ac:dyDescent="0.35"/>
    <row r="13" spans="2:14" ht="15.6" thickTop="1" thickBot="1" x14ac:dyDescent="0.35">
      <c r="B13" s="4" t="s">
        <v>1</v>
      </c>
      <c r="C13" s="5"/>
      <c r="D13" s="5"/>
      <c r="E13" s="5"/>
      <c r="F13" s="5"/>
      <c r="G13" s="6"/>
      <c r="I13" s="45" t="s">
        <v>23</v>
      </c>
      <c r="J13" s="34"/>
      <c r="K13" s="40">
        <v>1.4999999999999999E-2</v>
      </c>
      <c r="L13" s="36"/>
    </row>
    <row r="14" spans="2:14" ht="15" thickBot="1" x14ac:dyDescent="0.35">
      <c r="B14" s="7"/>
      <c r="C14" s="8"/>
      <c r="D14" s="8"/>
      <c r="E14" s="8"/>
      <c r="F14" s="8"/>
      <c r="G14" s="9"/>
      <c r="I14" s="41"/>
      <c r="J14" s="35"/>
      <c r="K14" s="35"/>
      <c r="L14" s="37"/>
    </row>
    <row r="15" spans="2:14" ht="15.6" thickTop="1" thickBot="1" x14ac:dyDescent="0.35">
      <c r="B15" s="30" t="s">
        <v>2</v>
      </c>
      <c r="C15" s="31"/>
      <c r="D15" s="34" t="s">
        <v>3</v>
      </c>
      <c r="E15" s="34"/>
      <c r="F15" s="34" t="s">
        <v>4</v>
      </c>
      <c r="G15" s="36"/>
      <c r="I15" s="41" t="s">
        <v>26</v>
      </c>
      <c r="J15" s="35"/>
      <c r="K15" s="38">
        <f>K13/12</f>
        <v>1.25E-3</v>
      </c>
      <c r="L15" s="39"/>
    </row>
    <row r="16" spans="2:14" ht="15" thickBot="1" x14ac:dyDescent="0.35">
      <c r="B16" s="32"/>
      <c r="C16" s="33"/>
      <c r="D16" s="35"/>
      <c r="E16" s="35"/>
      <c r="F16" s="35"/>
      <c r="G16" s="37"/>
      <c r="I16" s="41"/>
      <c r="J16" s="35"/>
      <c r="K16" s="38"/>
      <c r="L16" s="39"/>
    </row>
    <row r="17" spans="2:14" ht="15" thickBot="1" x14ac:dyDescent="0.35">
      <c r="B17" s="41">
        <v>40</v>
      </c>
      <c r="C17" s="35"/>
      <c r="D17" s="35">
        <v>70</v>
      </c>
      <c r="E17" s="35"/>
      <c r="F17" s="35">
        <v>465</v>
      </c>
      <c r="G17" s="37"/>
      <c r="I17" s="41" t="s">
        <v>24</v>
      </c>
      <c r="J17" s="35"/>
      <c r="K17" s="35">
        <f>25-8</f>
        <v>17</v>
      </c>
      <c r="L17" s="37"/>
    </row>
    <row r="18" spans="2:14" ht="15" thickBot="1" x14ac:dyDescent="0.35">
      <c r="B18" s="42"/>
      <c r="C18" s="43"/>
      <c r="D18" s="43"/>
      <c r="E18" s="43"/>
      <c r="F18" s="43"/>
      <c r="G18" s="44"/>
      <c r="I18" s="41"/>
      <c r="J18" s="35"/>
      <c r="K18" s="35"/>
      <c r="L18" s="37"/>
    </row>
    <row r="19" spans="2:14" ht="15.6" thickTop="1" thickBot="1" x14ac:dyDescent="0.35">
      <c r="I19" s="41" t="s">
        <v>25</v>
      </c>
      <c r="J19" s="35"/>
      <c r="K19" s="35">
        <f>K17*12</f>
        <v>204</v>
      </c>
      <c r="L19" s="37"/>
    </row>
    <row r="20" spans="2:14" ht="15" thickBot="1" x14ac:dyDescent="0.35">
      <c r="I20" s="42"/>
      <c r="J20" s="43"/>
      <c r="K20" s="43"/>
      <c r="L20" s="44"/>
    </row>
    <row r="21" spans="2:14" ht="15" thickTop="1" x14ac:dyDescent="0.3"/>
    <row r="22" spans="2:14" ht="15" thickBot="1" x14ac:dyDescent="0.35"/>
    <row r="23" spans="2:14" ht="15" thickTop="1" x14ac:dyDescent="0.3">
      <c r="B23" s="4" t="s">
        <v>27</v>
      </c>
      <c r="C23" s="5"/>
      <c r="D23" s="5"/>
      <c r="E23" s="5"/>
      <c r="F23" s="5"/>
      <c r="G23" s="5"/>
      <c r="H23" s="5"/>
      <c r="I23" s="5"/>
      <c r="J23" s="5"/>
      <c r="K23" s="5"/>
      <c r="L23" s="5"/>
      <c r="M23" s="5"/>
      <c r="N23" s="6"/>
    </row>
    <row r="24" spans="2:14" ht="15" thickBot="1" x14ac:dyDescent="0.35">
      <c r="B24" s="7"/>
      <c r="C24" s="8"/>
      <c r="D24" s="8"/>
      <c r="E24" s="8"/>
      <c r="F24" s="8"/>
      <c r="G24" s="8"/>
      <c r="H24" s="8"/>
      <c r="I24" s="8"/>
      <c r="J24" s="8"/>
      <c r="K24" s="8"/>
      <c r="L24" s="8"/>
      <c r="M24" s="8"/>
      <c r="N24" s="9"/>
    </row>
    <row r="25" spans="2:14" ht="15.6" thickTop="1" thickBot="1" x14ac:dyDescent="0.35">
      <c r="B25" s="30" t="s">
        <v>30</v>
      </c>
      <c r="C25" s="31"/>
      <c r="D25" s="48">
        <f>FV(K15,K19,-B17,-D17)+F17</f>
        <v>9843.5144464220502</v>
      </c>
      <c r="E25" s="49"/>
      <c r="K25" s="30" t="s">
        <v>28</v>
      </c>
      <c r="L25" s="31"/>
      <c r="M25" s="48">
        <f>D25/3</f>
        <v>3281.1714821406836</v>
      </c>
      <c r="N25" s="49"/>
    </row>
    <row r="26" spans="2:14" ht="15" thickBot="1" x14ac:dyDescent="0.35">
      <c r="B26" s="46"/>
      <c r="C26" s="47"/>
      <c r="D26" s="47"/>
      <c r="E26" s="50"/>
      <c r="K26" s="46"/>
      <c r="L26" s="47"/>
      <c r="M26" s="47"/>
      <c r="N26" s="50"/>
    </row>
    <row r="27" spans="2:14" ht="15" thickTop="1" x14ac:dyDescent="0.3"/>
    <row r="28" spans="2:14" ht="15" thickBot="1" x14ac:dyDescent="0.35">
      <c r="D28" s="1"/>
      <c r="E28" s="1"/>
    </row>
    <row r="29" spans="2:14" ht="15" thickTop="1" x14ac:dyDescent="0.3">
      <c r="B29" s="4" t="s">
        <v>29</v>
      </c>
      <c r="C29" s="5"/>
      <c r="D29" s="5"/>
      <c r="E29" s="5"/>
      <c r="F29" s="5"/>
      <c r="G29" s="5"/>
      <c r="H29" s="5"/>
      <c r="I29" s="5"/>
      <c r="J29" s="5"/>
      <c r="K29" s="5"/>
      <c r="L29" s="5"/>
      <c r="M29" s="5"/>
      <c r="N29" s="6"/>
    </row>
    <row r="30" spans="2:14" ht="15" thickBot="1" x14ac:dyDescent="0.35">
      <c r="B30" s="7"/>
      <c r="C30" s="8"/>
      <c r="D30" s="8"/>
      <c r="E30" s="8"/>
      <c r="F30" s="8"/>
      <c r="G30" s="8"/>
      <c r="H30" s="8"/>
      <c r="I30" s="8"/>
      <c r="J30" s="8"/>
      <c r="K30" s="8"/>
      <c r="L30" s="8"/>
      <c r="M30" s="8"/>
      <c r="N30" s="9"/>
    </row>
    <row r="31" spans="2:14" ht="15" thickTop="1" x14ac:dyDescent="0.3"/>
    <row r="32" spans="2:14" ht="15" thickBot="1" x14ac:dyDescent="0.35"/>
    <row r="33" spans="2:14" ht="15" thickTop="1" x14ac:dyDescent="0.3">
      <c r="B33" s="4" t="s">
        <v>128</v>
      </c>
      <c r="C33" s="5"/>
      <c r="D33" s="5"/>
      <c r="E33" s="5"/>
      <c r="F33" s="5"/>
      <c r="G33" s="5"/>
      <c r="H33" s="5"/>
      <c r="I33" s="5"/>
      <c r="J33" s="5"/>
      <c r="K33" s="5"/>
      <c r="L33" s="5"/>
      <c r="M33" s="5"/>
      <c r="N33" s="6"/>
    </row>
    <row r="34" spans="2:14" ht="15" thickBot="1" x14ac:dyDescent="0.35">
      <c r="B34" s="7"/>
      <c r="C34" s="8"/>
      <c r="D34" s="8"/>
      <c r="E34" s="8"/>
      <c r="F34" s="8"/>
      <c r="G34" s="8"/>
      <c r="H34" s="8"/>
      <c r="I34" s="8"/>
      <c r="J34" s="8"/>
      <c r="K34" s="8"/>
      <c r="L34" s="8"/>
      <c r="M34" s="8"/>
      <c r="N34" s="9"/>
    </row>
    <row r="35" spans="2:14" ht="15" thickTop="1" x14ac:dyDescent="0.3">
      <c r="B35" s="10" t="s">
        <v>129</v>
      </c>
      <c r="C35" s="11"/>
      <c r="D35" s="11"/>
      <c r="E35" s="11"/>
      <c r="F35" s="14" t="s">
        <v>130</v>
      </c>
      <c r="G35" s="14"/>
      <c r="H35" s="14"/>
      <c r="I35" s="14"/>
      <c r="J35" s="14"/>
      <c r="K35" s="14"/>
      <c r="L35" s="14"/>
      <c r="M35" s="14"/>
      <c r="N35" s="15"/>
    </row>
    <row r="36" spans="2:14" ht="15" thickBot="1" x14ac:dyDescent="0.35">
      <c r="B36" s="12"/>
      <c r="C36" s="13"/>
      <c r="D36" s="13"/>
      <c r="E36" s="13"/>
      <c r="F36" s="16"/>
      <c r="G36" s="16"/>
      <c r="H36" s="16"/>
      <c r="I36" s="16"/>
      <c r="J36" s="16"/>
      <c r="K36" s="16"/>
      <c r="L36" s="16"/>
      <c r="M36" s="16"/>
      <c r="N36" s="17"/>
    </row>
    <row r="37" spans="2:14" ht="15" thickTop="1" x14ac:dyDescent="0.3"/>
  </sheetData>
  <mergeCells count="26">
    <mergeCell ref="D17:E18"/>
    <mergeCell ref="F17:G18"/>
    <mergeCell ref="I13:J14"/>
    <mergeCell ref="I17:J18"/>
    <mergeCell ref="B29:N30"/>
    <mergeCell ref="B23:N24"/>
    <mergeCell ref="B25:C26"/>
    <mergeCell ref="D25:E26"/>
    <mergeCell ref="K25:L26"/>
    <mergeCell ref="M25:N26"/>
    <mergeCell ref="B33:N34"/>
    <mergeCell ref="B35:E36"/>
    <mergeCell ref="F35:N36"/>
    <mergeCell ref="B1:N2"/>
    <mergeCell ref="B3:N10"/>
    <mergeCell ref="B13:G14"/>
    <mergeCell ref="B15:C16"/>
    <mergeCell ref="D15:E16"/>
    <mergeCell ref="F15:G16"/>
    <mergeCell ref="K15:L16"/>
    <mergeCell ref="K13:L14"/>
    <mergeCell ref="K17:L18"/>
    <mergeCell ref="I19:J20"/>
    <mergeCell ref="K19:L20"/>
    <mergeCell ref="I15:J16"/>
    <mergeCell ref="B17: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ED17-55BC-4FDF-837B-A43F2E00CAEA}">
  <dimension ref="B1:N33"/>
  <sheetViews>
    <sheetView zoomScaleNormal="100" workbookViewId="0">
      <selection activeCell="G20" sqref="G20"/>
    </sheetView>
  </sheetViews>
  <sheetFormatPr baseColWidth="10" defaultRowHeight="14.4" x14ac:dyDescent="0.3"/>
  <sheetData>
    <row r="1" spans="2:14" ht="15.6" thickTop="1" thickBot="1" x14ac:dyDescent="0.35">
      <c r="B1" s="18" t="s">
        <v>37</v>
      </c>
      <c r="C1" s="19"/>
      <c r="D1" s="19"/>
      <c r="E1" s="19"/>
      <c r="F1" s="19"/>
      <c r="G1" s="19"/>
      <c r="H1" s="19"/>
      <c r="I1" s="19"/>
      <c r="J1" s="19"/>
      <c r="K1" s="19"/>
      <c r="L1" s="19"/>
      <c r="M1" s="19"/>
      <c r="N1" s="20"/>
    </row>
    <row r="2" spans="2:14" ht="15" thickBot="1" x14ac:dyDescent="0.35">
      <c r="B2" s="21"/>
      <c r="C2" s="22"/>
      <c r="D2" s="22"/>
      <c r="E2" s="22"/>
      <c r="F2" s="22"/>
      <c r="G2" s="22"/>
      <c r="H2" s="22"/>
      <c r="I2" s="22"/>
      <c r="J2" s="22"/>
      <c r="K2" s="22"/>
      <c r="L2" s="22"/>
      <c r="M2" s="22"/>
      <c r="N2" s="23"/>
    </row>
    <row r="3" spans="2:14" ht="15" thickBot="1" x14ac:dyDescent="0.35">
      <c r="B3" s="24" t="s">
        <v>21</v>
      </c>
      <c r="C3" s="25"/>
      <c r="D3" s="25"/>
      <c r="E3" s="25"/>
      <c r="F3" s="25"/>
      <c r="G3" s="25"/>
      <c r="H3" s="25"/>
      <c r="I3" s="25"/>
      <c r="J3" s="25"/>
      <c r="K3" s="25"/>
      <c r="L3" s="25"/>
      <c r="M3" s="25"/>
      <c r="N3" s="26"/>
    </row>
    <row r="4" spans="2:14" ht="15" thickBot="1" x14ac:dyDescent="0.35">
      <c r="B4" s="24"/>
      <c r="C4" s="25"/>
      <c r="D4" s="25"/>
      <c r="E4" s="25"/>
      <c r="F4" s="25"/>
      <c r="G4" s="25"/>
      <c r="H4" s="25"/>
      <c r="I4" s="25"/>
      <c r="J4" s="25"/>
      <c r="K4" s="25"/>
      <c r="L4" s="25"/>
      <c r="M4" s="25"/>
      <c r="N4" s="26"/>
    </row>
    <row r="5" spans="2:14" ht="15" thickBot="1" x14ac:dyDescent="0.35">
      <c r="B5" s="24"/>
      <c r="C5" s="25"/>
      <c r="D5" s="25"/>
      <c r="E5" s="25"/>
      <c r="F5" s="25"/>
      <c r="G5" s="25"/>
      <c r="H5" s="25"/>
      <c r="I5" s="25"/>
      <c r="J5" s="25"/>
      <c r="K5" s="25"/>
      <c r="L5" s="25"/>
      <c r="M5" s="25"/>
      <c r="N5" s="26"/>
    </row>
    <row r="6" spans="2:14" ht="15" thickBot="1" x14ac:dyDescent="0.35">
      <c r="B6" s="24"/>
      <c r="C6" s="25"/>
      <c r="D6" s="25"/>
      <c r="E6" s="25"/>
      <c r="F6" s="25"/>
      <c r="G6" s="25"/>
      <c r="H6" s="25"/>
      <c r="I6" s="25"/>
      <c r="J6" s="25"/>
      <c r="K6" s="25"/>
      <c r="L6" s="25"/>
      <c r="M6" s="25"/>
      <c r="N6" s="26"/>
    </row>
    <row r="7" spans="2:14" ht="15" thickBot="1" x14ac:dyDescent="0.35">
      <c r="B7" s="24"/>
      <c r="C7" s="25"/>
      <c r="D7" s="25"/>
      <c r="E7" s="25"/>
      <c r="F7" s="25"/>
      <c r="G7" s="25"/>
      <c r="H7" s="25"/>
      <c r="I7" s="25"/>
      <c r="J7" s="25"/>
      <c r="K7" s="25"/>
      <c r="L7" s="25"/>
      <c r="M7" s="25"/>
      <c r="N7" s="26"/>
    </row>
    <row r="8" spans="2:14" ht="15" thickBot="1" x14ac:dyDescent="0.35">
      <c r="B8" s="24"/>
      <c r="C8" s="25"/>
      <c r="D8" s="25"/>
      <c r="E8" s="25"/>
      <c r="F8" s="25"/>
      <c r="G8" s="25"/>
      <c r="H8" s="25"/>
      <c r="I8" s="25"/>
      <c r="J8" s="25"/>
      <c r="K8" s="25"/>
      <c r="L8" s="25"/>
      <c r="M8" s="25"/>
      <c r="N8" s="26"/>
    </row>
    <row r="9" spans="2:14" ht="15" thickBot="1" x14ac:dyDescent="0.35">
      <c r="B9" s="24"/>
      <c r="C9" s="25"/>
      <c r="D9" s="25"/>
      <c r="E9" s="25"/>
      <c r="F9" s="25"/>
      <c r="G9" s="25"/>
      <c r="H9" s="25"/>
      <c r="I9" s="25"/>
      <c r="J9" s="25"/>
      <c r="K9" s="25"/>
      <c r="L9" s="25"/>
      <c r="M9" s="25"/>
      <c r="N9" s="26"/>
    </row>
    <row r="10" spans="2:14" ht="15" thickBot="1" x14ac:dyDescent="0.35">
      <c r="B10" s="27"/>
      <c r="C10" s="28"/>
      <c r="D10" s="28"/>
      <c r="E10" s="28"/>
      <c r="F10" s="28"/>
      <c r="G10" s="28"/>
      <c r="H10" s="28"/>
      <c r="I10" s="28"/>
      <c r="J10" s="28"/>
      <c r="K10" s="28"/>
      <c r="L10" s="28"/>
      <c r="M10" s="28"/>
      <c r="N10" s="29"/>
    </row>
    <row r="11" spans="2:14" ht="15" thickTop="1" x14ac:dyDescent="0.3"/>
    <row r="12" spans="2:14" ht="15.6" customHeight="1" thickBot="1" x14ac:dyDescent="0.35"/>
    <row r="13" spans="2:14" ht="15" customHeight="1" thickTop="1" thickBot="1" x14ac:dyDescent="0.35">
      <c r="B13" s="30" t="s">
        <v>31</v>
      </c>
      <c r="C13" s="31"/>
      <c r="D13" s="40">
        <v>7.0000000000000007E-2</v>
      </c>
      <c r="E13" s="51"/>
    </row>
    <row r="14" spans="2:14" ht="15" thickBot="1" x14ac:dyDescent="0.35">
      <c r="B14" s="32"/>
      <c r="C14" s="33"/>
      <c r="D14" s="52"/>
      <c r="E14" s="53"/>
    </row>
    <row r="15" spans="2:14" ht="15" customHeight="1" thickBot="1" x14ac:dyDescent="0.35">
      <c r="B15" s="32" t="s">
        <v>33</v>
      </c>
      <c r="C15" s="33"/>
      <c r="D15" s="54">
        <v>12</v>
      </c>
      <c r="E15" s="55"/>
    </row>
    <row r="16" spans="2:14" ht="15" customHeight="1" thickBot="1" x14ac:dyDescent="0.35">
      <c r="B16" s="32"/>
      <c r="C16" s="33"/>
      <c r="D16" s="54"/>
      <c r="E16" s="55"/>
    </row>
    <row r="17" spans="2:14" ht="15" customHeight="1" thickBot="1" x14ac:dyDescent="0.35">
      <c r="B17" s="32" t="s">
        <v>35</v>
      </c>
      <c r="C17" s="33"/>
      <c r="D17" s="52">
        <v>6.5000000000000002E-2</v>
      </c>
      <c r="E17" s="53"/>
    </row>
    <row r="18" spans="2:14" ht="15" customHeight="1" thickBot="1" x14ac:dyDescent="0.35">
      <c r="B18" s="32"/>
      <c r="C18" s="33"/>
      <c r="D18" s="52"/>
      <c r="E18" s="53"/>
    </row>
    <row r="19" spans="2:14" ht="15" customHeight="1" thickBot="1" x14ac:dyDescent="0.35">
      <c r="B19" s="32" t="s">
        <v>34</v>
      </c>
      <c r="C19" s="33"/>
      <c r="D19" s="54">
        <v>12</v>
      </c>
      <c r="E19" s="55"/>
    </row>
    <row r="20" spans="2:14" ht="15" thickBot="1" x14ac:dyDescent="0.35">
      <c r="B20" s="32"/>
      <c r="C20" s="33"/>
      <c r="D20" s="54"/>
      <c r="E20" s="55"/>
    </row>
    <row r="21" spans="2:14" ht="15" customHeight="1" thickBot="1" x14ac:dyDescent="0.35">
      <c r="B21" s="32" t="s">
        <v>32</v>
      </c>
      <c r="C21" s="33"/>
      <c r="D21" s="52">
        <v>1.6E-2</v>
      </c>
      <c r="E21" s="53"/>
    </row>
    <row r="22" spans="2:14" ht="15" thickBot="1" x14ac:dyDescent="0.35">
      <c r="B22" s="46"/>
      <c r="C22" s="47"/>
      <c r="D22" s="56"/>
      <c r="E22" s="57"/>
    </row>
    <row r="23" spans="2:14" ht="15" thickTop="1" x14ac:dyDescent="0.3"/>
    <row r="24" spans="2:14" ht="14.4" customHeight="1" thickBot="1" x14ac:dyDescent="0.35"/>
    <row r="25" spans="2:14" ht="15" thickTop="1" x14ac:dyDescent="0.3">
      <c r="B25" s="4" t="s">
        <v>36</v>
      </c>
      <c r="C25" s="5"/>
      <c r="D25" s="5"/>
      <c r="E25" s="5"/>
      <c r="F25" s="5"/>
      <c r="G25" s="5"/>
      <c r="H25" s="5"/>
      <c r="I25" s="5"/>
      <c r="J25" s="5"/>
      <c r="K25" s="5"/>
      <c r="L25" s="5"/>
      <c r="M25" s="5"/>
      <c r="N25" s="6"/>
    </row>
    <row r="26" spans="2:14" ht="15" thickBot="1" x14ac:dyDescent="0.35">
      <c r="B26" s="7"/>
      <c r="C26" s="8"/>
      <c r="D26" s="8"/>
      <c r="E26" s="8"/>
      <c r="F26" s="8"/>
      <c r="G26" s="8"/>
      <c r="H26" s="8"/>
      <c r="I26" s="8"/>
      <c r="J26" s="8"/>
      <c r="K26" s="8"/>
      <c r="L26" s="8"/>
      <c r="M26" s="8"/>
      <c r="N26" s="9"/>
    </row>
    <row r="27" spans="2:14" ht="15.6" customHeight="1" thickTop="1" thickBot="1" x14ac:dyDescent="0.35">
      <c r="B27" s="30" t="s">
        <v>39</v>
      </c>
      <c r="C27" s="31"/>
      <c r="D27" s="58">
        <f>EFFECT(D13,D15/6)</f>
        <v>7.1224999999999872E-2</v>
      </c>
      <c r="E27" s="59"/>
      <c r="K27" s="30" t="s">
        <v>40</v>
      </c>
      <c r="L27" s="31"/>
      <c r="M27" s="58">
        <f>(EFFECT(D17,D19/6))+D21</f>
        <v>8.2056249999999928E-2</v>
      </c>
      <c r="N27" s="59"/>
    </row>
    <row r="28" spans="2:14" ht="15" thickBot="1" x14ac:dyDescent="0.35">
      <c r="B28" s="46"/>
      <c r="C28" s="47"/>
      <c r="D28" s="60"/>
      <c r="E28" s="61"/>
      <c r="K28" s="46"/>
      <c r="L28" s="47"/>
      <c r="M28" s="60"/>
      <c r="N28" s="61"/>
    </row>
    <row r="29" spans="2:14" ht="15" thickTop="1" x14ac:dyDescent="0.3"/>
    <row r="30" spans="2:14" ht="15" thickBot="1" x14ac:dyDescent="0.35"/>
    <row r="31" spans="2:14" ht="15" thickTop="1" x14ac:dyDescent="0.3">
      <c r="B31" s="4" t="s">
        <v>41</v>
      </c>
      <c r="C31" s="5"/>
      <c r="D31" s="5"/>
      <c r="E31" s="5"/>
      <c r="F31" s="5"/>
      <c r="G31" s="5"/>
      <c r="H31" s="5"/>
      <c r="I31" s="5"/>
      <c r="J31" s="5"/>
      <c r="K31" s="5"/>
      <c r="L31" s="5"/>
      <c r="M31" s="5"/>
      <c r="N31" s="6"/>
    </row>
    <row r="32" spans="2:14" ht="15" thickBot="1" x14ac:dyDescent="0.35">
      <c r="B32" s="7"/>
      <c r="C32" s="8"/>
      <c r="D32" s="8"/>
      <c r="E32" s="8"/>
      <c r="F32" s="8"/>
      <c r="G32" s="8"/>
      <c r="H32" s="8"/>
      <c r="I32" s="8"/>
      <c r="J32" s="8"/>
      <c r="K32" s="8"/>
      <c r="L32" s="8"/>
      <c r="M32" s="8"/>
      <c r="N32" s="9"/>
    </row>
    <row r="33" ht="15" thickTop="1" x14ac:dyDescent="0.3"/>
  </sheetData>
  <mergeCells count="18">
    <mergeCell ref="K27:L28"/>
    <mergeCell ref="M27:N28"/>
    <mergeCell ref="B1:N2"/>
    <mergeCell ref="B3:N10"/>
    <mergeCell ref="B31:N32"/>
    <mergeCell ref="B13:C14"/>
    <mergeCell ref="D13:E14"/>
    <mergeCell ref="B17:C18"/>
    <mergeCell ref="D17:E18"/>
    <mergeCell ref="B15:C16"/>
    <mergeCell ref="D15:E16"/>
    <mergeCell ref="B19:C20"/>
    <mergeCell ref="D19:E20"/>
    <mergeCell ref="B21:C22"/>
    <mergeCell ref="D21:E22"/>
    <mergeCell ref="B25:N26"/>
    <mergeCell ref="B27:C28"/>
    <mergeCell ref="D27: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E3B4-43AE-4B7C-A6D5-CA9AFBC3ECBD}">
  <dimension ref="B1:O52"/>
  <sheetViews>
    <sheetView workbookViewId="0">
      <selection activeCell="C60" sqref="C60:D60"/>
    </sheetView>
  </sheetViews>
  <sheetFormatPr baseColWidth="10" defaultRowHeight="14.4" x14ac:dyDescent="0.3"/>
  <sheetData>
    <row r="1" spans="2:14" ht="15.6" thickTop="1" thickBot="1" x14ac:dyDescent="0.35">
      <c r="B1" s="18" t="s">
        <v>5</v>
      </c>
      <c r="C1" s="19"/>
      <c r="D1" s="19"/>
      <c r="E1" s="19"/>
      <c r="F1" s="19"/>
      <c r="G1" s="19"/>
      <c r="H1" s="19"/>
      <c r="I1" s="19"/>
      <c r="J1" s="19"/>
      <c r="K1" s="19"/>
      <c r="L1" s="19"/>
      <c r="M1" s="19"/>
      <c r="N1" s="20"/>
    </row>
    <row r="2" spans="2:14" ht="15" thickBot="1" x14ac:dyDescent="0.35">
      <c r="B2" s="21"/>
      <c r="C2" s="22"/>
      <c r="D2" s="22"/>
      <c r="E2" s="22"/>
      <c r="F2" s="22"/>
      <c r="G2" s="22"/>
      <c r="H2" s="22"/>
      <c r="I2" s="22"/>
      <c r="J2" s="22"/>
      <c r="K2" s="22"/>
      <c r="L2" s="22"/>
      <c r="M2" s="22"/>
      <c r="N2" s="23"/>
    </row>
    <row r="3" spans="2:14" ht="15" thickBot="1" x14ac:dyDescent="0.35">
      <c r="B3" s="24" t="s">
        <v>7</v>
      </c>
      <c r="C3" s="25"/>
      <c r="D3" s="25"/>
      <c r="E3" s="25"/>
      <c r="F3" s="25"/>
      <c r="G3" s="25"/>
      <c r="H3" s="25"/>
      <c r="I3" s="25"/>
      <c r="J3" s="25"/>
      <c r="K3" s="25"/>
      <c r="L3" s="25"/>
      <c r="M3" s="25"/>
      <c r="N3" s="26"/>
    </row>
    <row r="4" spans="2:14" ht="15" thickBot="1" x14ac:dyDescent="0.35">
      <c r="B4" s="24"/>
      <c r="C4" s="25"/>
      <c r="D4" s="25"/>
      <c r="E4" s="25"/>
      <c r="F4" s="25"/>
      <c r="G4" s="25"/>
      <c r="H4" s="25"/>
      <c r="I4" s="25"/>
      <c r="J4" s="25"/>
      <c r="K4" s="25"/>
      <c r="L4" s="25"/>
      <c r="M4" s="25"/>
      <c r="N4" s="26"/>
    </row>
    <row r="5" spans="2:14" ht="15" thickBot="1" x14ac:dyDescent="0.35">
      <c r="B5" s="24"/>
      <c r="C5" s="25"/>
      <c r="D5" s="25"/>
      <c r="E5" s="25"/>
      <c r="F5" s="25"/>
      <c r="G5" s="25"/>
      <c r="H5" s="25"/>
      <c r="I5" s="25"/>
      <c r="J5" s="25"/>
      <c r="K5" s="25"/>
      <c r="L5" s="25"/>
      <c r="M5" s="25"/>
      <c r="N5" s="26"/>
    </row>
    <row r="6" spans="2:14" ht="15" thickBot="1" x14ac:dyDescent="0.35">
      <c r="B6" s="24"/>
      <c r="C6" s="25"/>
      <c r="D6" s="25"/>
      <c r="E6" s="25"/>
      <c r="F6" s="25"/>
      <c r="G6" s="25"/>
      <c r="H6" s="25"/>
      <c r="I6" s="25"/>
      <c r="J6" s="25"/>
      <c r="K6" s="25"/>
      <c r="L6" s="25"/>
      <c r="M6" s="25"/>
      <c r="N6" s="26"/>
    </row>
    <row r="7" spans="2:14" ht="15" thickBot="1" x14ac:dyDescent="0.35">
      <c r="B7" s="24"/>
      <c r="C7" s="25"/>
      <c r="D7" s="25"/>
      <c r="E7" s="25"/>
      <c r="F7" s="25"/>
      <c r="G7" s="25"/>
      <c r="H7" s="25"/>
      <c r="I7" s="25"/>
      <c r="J7" s="25"/>
      <c r="K7" s="25"/>
      <c r="L7" s="25"/>
      <c r="M7" s="25"/>
      <c r="N7" s="26"/>
    </row>
    <row r="8" spans="2:14" ht="15" thickBot="1" x14ac:dyDescent="0.35">
      <c r="B8" s="24"/>
      <c r="C8" s="25"/>
      <c r="D8" s="25"/>
      <c r="E8" s="25"/>
      <c r="F8" s="25"/>
      <c r="G8" s="25"/>
      <c r="H8" s="25"/>
      <c r="I8" s="25"/>
      <c r="J8" s="25"/>
      <c r="K8" s="25"/>
      <c r="L8" s="25"/>
      <c r="M8" s="25"/>
      <c r="N8" s="26"/>
    </row>
    <row r="9" spans="2:14" ht="15" thickBot="1" x14ac:dyDescent="0.35">
      <c r="B9" s="24"/>
      <c r="C9" s="25"/>
      <c r="D9" s="25"/>
      <c r="E9" s="25"/>
      <c r="F9" s="25"/>
      <c r="G9" s="25"/>
      <c r="H9" s="25"/>
      <c r="I9" s="25"/>
      <c r="J9" s="25"/>
      <c r="K9" s="25"/>
      <c r="L9" s="25"/>
      <c r="M9" s="25"/>
      <c r="N9" s="26"/>
    </row>
    <row r="10" spans="2:14" ht="15" thickBot="1" x14ac:dyDescent="0.35">
      <c r="B10" s="27"/>
      <c r="C10" s="28"/>
      <c r="D10" s="28"/>
      <c r="E10" s="28"/>
      <c r="F10" s="28"/>
      <c r="G10" s="28"/>
      <c r="H10" s="28"/>
      <c r="I10" s="28"/>
      <c r="J10" s="28"/>
      <c r="K10" s="28"/>
      <c r="L10" s="28"/>
      <c r="M10" s="28"/>
      <c r="N10" s="29"/>
    </row>
    <row r="11" spans="2:14" ht="15" thickTop="1" x14ac:dyDescent="0.3"/>
    <row r="12" spans="2:14" ht="15" thickBot="1" x14ac:dyDescent="0.35"/>
    <row r="13" spans="2:14" ht="15.6" thickTop="1" thickBot="1" x14ac:dyDescent="0.35">
      <c r="B13" s="4" t="s">
        <v>1</v>
      </c>
      <c r="C13" s="5"/>
      <c r="D13" s="5"/>
      <c r="E13" s="5"/>
      <c r="F13" s="5"/>
      <c r="G13" s="6"/>
      <c r="I13" s="30" t="s">
        <v>42</v>
      </c>
      <c r="J13" s="31"/>
      <c r="K13" s="77">
        <v>20000</v>
      </c>
      <c r="L13" s="78"/>
    </row>
    <row r="14" spans="2:14" ht="15" thickBot="1" x14ac:dyDescent="0.35">
      <c r="B14" s="7"/>
      <c r="C14" s="8"/>
      <c r="D14" s="8"/>
      <c r="E14" s="8"/>
      <c r="F14" s="8"/>
      <c r="G14" s="9"/>
      <c r="I14" s="32"/>
      <c r="J14" s="33"/>
      <c r="K14" s="79"/>
      <c r="L14" s="80"/>
    </row>
    <row r="15" spans="2:14" ht="15.6" customHeight="1" thickTop="1" thickBot="1" x14ac:dyDescent="0.35">
      <c r="B15" s="30" t="s">
        <v>8</v>
      </c>
      <c r="C15" s="31"/>
      <c r="D15" s="66" t="s">
        <v>9</v>
      </c>
      <c r="E15" s="67"/>
      <c r="F15" s="66" t="s">
        <v>10</v>
      </c>
      <c r="G15" s="6"/>
      <c r="I15" s="32" t="s">
        <v>43</v>
      </c>
      <c r="J15" s="33"/>
      <c r="K15" s="79">
        <v>5000</v>
      </c>
      <c r="L15" s="80"/>
    </row>
    <row r="16" spans="2:14" ht="15" thickBot="1" x14ac:dyDescent="0.35">
      <c r="B16" s="32"/>
      <c r="C16" s="33"/>
      <c r="D16" s="68"/>
      <c r="E16" s="69"/>
      <c r="F16" s="68"/>
      <c r="G16" s="70"/>
      <c r="I16" s="32"/>
      <c r="J16" s="33"/>
      <c r="K16" s="79"/>
      <c r="L16" s="80"/>
    </row>
    <row r="17" spans="2:12" ht="15" thickBot="1" x14ac:dyDescent="0.35">
      <c r="B17" s="71">
        <v>405</v>
      </c>
      <c r="C17" s="72"/>
      <c r="D17" s="72">
        <v>615</v>
      </c>
      <c r="E17" s="72"/>
      <c r="F17" s="72">
        <v>270</v>
      </c>
      <c r="G17" s="75"/>
      <c r="I17" s="32" t="s">
        <v>46</v>
      </c>
      <c r="J17" s="33"/>
      <c r="K17" s="54">
        <v>50</v>
      </c>
      <c r="L17" s="55"/>
    </row>
    <row r="18" spans="2:12" ht="15" thickBot="1" x14ac:dyDescent="0.35">
      <c r="B18" s="73"/>
      <c r="C18" s="74"/>
      <c r="D18" s="74"/>
      <c r="E18" s="74"/>
      <c r="F18" s="74"/>
      <c r="G18" s="76"/>
      <c r="I18" s="32"/>
      <c r="J18" s="33"/>
      <c r="K18" s="54"/>
      <c r="L18" s="55"/>
    </row>
    <row r="19" spans="2:12" ht="15.6" thickTop="1" thickBot="1" x14ac:dyDescent="0.35">
      <c r="I19" s="32" t="s">
        <v>44</v>
      </c>
      <c r="J19" s="33"/>
      <c r="K19" s="79">
        <v>25000</v>
      </c>
      <c r="L19" s="80"/>
    </row>
    <row r="20" spans="2:12" ht="15" thickBot="1" x14ac:dyDescent="0.35">
      <c r="I20" s="32"/>
      <c r="J20" s="33"/>
      <c r="K20" s="79"/>
      <c r="L20" s="80"/>
    </row>
    <row r="21" spans="2:12" ht="15" thickBot="1" x14ac:dyDescent="0.35">
      <c r="I21" s="32" t="s">
        <v>45</v>
      </c>
      <c r="J21" s="33"/>
      <c r="K21" s="79">
        <v>5000</v>
      </c>
      <c r="L21" s="80"/>
    </row>
    <row r="22" spans="2:12" ht="15" thickBot="1" x14ac:dyDescent="0.35">
      <c r="D22" s="3"/>
      <c r="I22" s="32"/>
      <c r="J22" s="33"/>
      <c r="K22" s="79"/>
      <c r="L22" s="80"/>
    </row>
    <row r="23" spans="2:12" ht="15" thickBot="1" x14ac:dyDescent="0.35">
      <c r="I23" s="32" t="s">
        <v>47</v>
      </c>
      <c r="J23" s="33"/>
      <c r="K23" s="54">
        <v>30</v>
      </c>
      <c r="L23" s="55"/>
    </row>
    <row r="24" spans="2:12" ht="15" thickBot="1" x14ac:dyDescent="0.35">
      <c r="D24" s="2"/>
      <c r="I24" s="32"/>
      <c r="J24" s="33"/>
      <c r="K24" s="54"/>
      <c r="L24" s="55"/>
    </row>
    <row r="25" spans="2:12" ht="15" thickBot="1" x14ac:dyDescent="0.35">
      <c r="I25" s="32" t="s">
        <v>55</v>
      </c>
      <c r="J25" s="33"/>
      <c r="K25" s="54">
        <v>15</v>
      </c>
      <c r="L25" s="55"/>
    </row>
    <row r="26" spans="2:12" ht="15" thickBot="1" x14ac:dyDescent="0.35">
      <c r="I26" s="32"/>
      <c r="J26" s="33"/>
      <c r="K26" s="54"/>
      <c r="L26" s="55"/>
    </row>
    <row r="27" spans="2:12" ht="15" customHeight="1" thickBot="1" x14ac:dyDescent="0.35">
      <c r="I27" s="32" t="s">
        <v>56</v>
      </c>
      <c r="J27" s="33"/>
      <c r="K27" s="54">
        <f>K25*12</f>
        <v>180</v>
      </c>
      <c r="L27" s="55"/>
    </row>
    <row r="28" spans="2:12" ht="15" thickBot="1" x14ac:dyDescent="0.35">
      <c r="I28" s="32"/>
      <c r="J28" s="33"/>
      <c r="K28" s="54"/>
      <c r="L28" s="55"/>
    </row>
    <row r="29" spans="2:12" ht="15" thickBot="1" x14ac:dyDescent="0.35">
      <c r="I29" s="91" t="s">
        <v>48</v>
      </c>
      <c r="J29" s="92"/>
      <c r="K29" s="52">
        <v>2.7E-2</v>
      </c>
      <c r="L29" s="53"/>
    </row>
    <row r="30" spans="2:12" ht="15" thickBot="1" x14ac:dyDescent="0.35">
      <c r="D30" s="2"/>
      <c r="I30" s="93"/>
      <c r="J30" s="94"/>
      <c r="K30" s="52"/>
      <c r="L30" s="53"/>
    </row>
    <row r="31" spans="2:12" x14ac:dyDescent="0.3">
      <c r="I31" s="91" t="s">
        <v>49</v>
      </c>
      <c r="J31" s="92"/>
      <c r="K31" s="95">
        <f>K29/12</f>
        <v>2.2499999999999998E-3</v>
      </c>
      <c r="L31" s="96"/>
    </row>
    <row r="32" spans="2:12" ht="15" thickBot="1" x14ac:dyDescent="0.35">
      <c r="I32" s="93"/>
      <c r="J32" s="94"/>
      <c r="K32" s="97"/>
      <c r="L32" s="98"/>
    </row>
    <row r="33" spans="2:15" ht="15" thickBot="1" x14ac:dyDescent="0.35">
      <c r="I33" s="32" t="s">
        <v>54</v>
      </c>
      <c r="J33" s="33"/>
      <c r="K33" s="38">
        <f>K29/4</f>
        <v>6.7499999999999999E-3</v>
      </c>
      <c r="L33" s="39"/>
    </row>
    <row r="34" spans="2:15" ht="15" thickBot="1" x14ac:dyDescent="0.35">
      <c r="I34" s="46"/>
      <c r="J34" s="47"/>
      <c r="K34" s="81"/>
      <c r="L34" s="82"/>
    </row>
    <row r="35" spans="2:15" ht="15" thickTop="1" x14ac:dyDescent="0.3"/>
    <row r="36" spans="2:15" ht="15" thickBot="1" x14ac:dyDescent="0.35"/>
    <row r="37" spans="2:15" ht="15.6" customHeight="1" thickTop="1" x14ac:dyDescent="0.3">
      <c r="B37" s="4" t="s">
        <v>50</v>
      </c>
      <c r="C37" s="5"/>
      <c r="D37" s="5"/>
      <c r="E37" s="5"/>
      <c r="F37" s="5"/>
      <c r="G37" s="5"/>
      <c r="H37" s="5"/>
      <c r="I37" s="5"/>
      <c r="J37" s="5"/>
      <c r="K37" s="5"/>
      <c r="L37" s="5"/>
      <c r="M37" s="5"/>
      <c r="N37" s="5"/>
      <c r="O37" s="6"/>
    </row>
    <row r="38" spans="2:15" ht="15" thickBot="1" x14ac:dyDescent="0.35">
      <c r="B38" s="7"/>
      <c r="C38" s="8"/>
      <c r="D38" s="8"/>
      <c r="E38" s="8"/>
      <c r="F38" s="8"/>
      <c r="G38" s="8"/>
      <c r="H38" s="8"/>
      <c r="I38" s="8"/>
      <c r="J38" s="8"/>
      <c r="K38" s="8"/>
      <c r="L38" s="8"/>
      <c r="M38" s="8"/>
      <c r="N38" s="8"/>
      <c r="O38" s="9"/>
    </row>
    <row r="39" spans="2:15" ht="15.6" thickTop="1" thickBot="1" x14ac:dyDescent="0.35">
      <c r="B39" s="30" t="s">
        <v>53</v>
      </c>
      <c r="C39" s="31"/>
      <c r="D39" s="83">
        <f>K13+PV(K31,K17,-B17,0,1)+K15</f>
        <v>44175.196792208641</v>
      </c>
      <c r="E39" s="84"/>
      <c r="G39" s="30" t="s">
        <v>51</v>
      </c>
      <c r="H39" s="31"/>
      <c r="I39" s="87">
        <f>K19+PV(K33,K23,-D17)+K21</f>
        <v>46651.254670246431</v>
      </c>
      <c r="J39" s="88"/>
      <c r="L39" s="30" t="s">
        <v>52</v>
      </c>
      <c r="M39" s="31"/>
      <c r="N39" s="83">
        <f>PV(K31,K27,-F17)</f>
        <v>39926.36206412367</v>
      </c>
      <c r="O39" s="84"/>
    </row>
    <row r="40" spans="2:15" ht="15" thickBot="1" x14ac:dyDescent="0.35">
      <c r="B40" s="46"/>
      <c r="C40" s="47"/>
      <c r="D40" s="85"/>
      <c r="E40" s="86"/>
      <c r="G40" s="46"/>
      <c r="H40" s="47"/>
      <c r="I40" s="89"/>
      <c r="J40" s="90"/>
      <c r="L40" s="46"/>
      <c r="M40" s="47"/>
      <c r="N40" s="85"/>
      <c r="O40" s="86"/>
    </row>
    <row r="41" spans="2:15" ht="15" thickTop="1" x14ac:dyDescent="0.3">
      <c r="D41" s="1"/>
    </row>
    <row r="42" spans="2:15" ht="15" thickBot="1" x14ac:dyDescent="0.35"/>
    <row r="43" spans="2:15" ht="15" thickTop="1" x14ac:dyDescent="0.3">
      <c r="B43" s="4" t="s">
        <v>57</v>
      </c>
      <c r="C43" s="5"/>
      <c r="D43" s="5"/>
      <c r="E43" s="5"/>
      <c r="F43" s="5"/>
      <c r="G43" s="5"/>
      <c r="H43" s="5"/>
      <c r="I43" s="5"/>
      <c r="J43" s="5"/>
      <c r="K43" s="5"/>
      <c r="L43" s="5"/>
      <c r="M43" s="5"/>
      <c r="N43" s="5"/>
      <c r="O43" s="6"/>
    </row>
    <row r="44" spans="2:15" ht="15" thickBot="1" x14ac:dyDescent="0.35">
      <c r="B44" s="7"/>
      <c r="C44" s="8"/>
      <c r="D44" s="8"/>
      <c r="E44" s="8"/>
      <c r="F44" s="8"/>
      <c r="G44" s="8"/>
      <c r="H44" s="8"/>
      <c r="I44" s="8"/>
      <c r="J44" s="8"/>
      <c r="K44" s="8"/>
      <c r="L44" s="8"/>
      <c r="M44" s="8"/>
      <c r="N44" s="8"/>
      <c r="O44" s="9"/>
    </row>
    <row r="45" spans="2:15" ht="15" thickTop="1" x14ac:dyDescent="0.3"/>
    <row r="46" spans="2:15" ht="15" thickBot="1" x14ac:dyDescent="0.35"/>
    <row r="47" spans="2:15" ht="15" thickTop="1" x14ac:dyDescent="0.3">
      <c r="B47" s="4" t="s">
        <v>128</v>
      </c>
      <c r="C47" s="5"/>
      <c r="D47" s="5"/>
      <c r="E47" s="5"/>
      <c r="F47" s="5"/>
      <c r="G47" s="5"/>
      <c r="H47" s="5"/>
      <c r="I47" s="5"/>
      <c r="J47" s="5"/>
      <c r="K47" s="5"/>
      <c r="L47" s="5"/>
      <c r="M47" s="5"/>
      <c r="N47" s="5"/>
      <c r="O47" s="6"/>
    </row>
    <row r="48" spans="2:15" ht="15" thickBot="1" x14ac:dyDescent="0.35">
      <c r="B48" s="7"/>
      <c r="C48" s="8"/>
      <c r="D48" s="8"/>
      <c r="E48" s="8"/>
      <c r="F48" s="8"/>
      <c r="G48" s="8"/>
      <c r="H48" s="8"/>
      <c r="I48" s="8"/>
      <c r="J48" s="8"/>
      <c r="K48" s="8"/>
      <c r="L48" s="8"/>
      <c r="M48" s="8"/>
      <c r="N48" s="8"/>
      <c r="O48" s="9"/>
    </row>
    <row r="49" spans="2:15" ht="15" customHeight="1" thickTop="1" x14ac:dyDescent="0.3">
      <c r="B49" s="10" t="s">
        <v>131</v>
      </c>
      <c r="C49" s="11"/>
      <c r="D49" s="11"/>
      <c r="E49" s="11"/>
      <c r="F49" s="14" t="s">
        <v>132</v>
      </c>
      <c r="G49" s="14"/>
      <c r="H49" s="14"/>
      <c r="I49" s="14"/>
      <c r="J49" s="14"/>
      <c r="K49" s="14"/>
      <c r="L49" s="14"/>
      <c r="M49" s="14"/>
      <c r="N49" s="14"/>
      <c r="O49" s="15"/>
    </row>
    <row r="50" spans="2:15" x14ac:dyDescent="0.3">
      <c r="B50" s="64"/>
      <c r="C50" s="65"/>
      <c r="D50" s="65"/>
      <c r="E50" s="65"/>
      <c r="F50" s="62"/>
      <c r="G50" s="62"/>
      <c r="H50" s="62"/>
      <c r="I50" s="62"/>
      <c r="J50" s="62"/>
      <c r="K50" s="62"/>
      <c r="L50" s="62"/>
      <c r="M50" s="62"/>
      <c r="N50" s="62"/>
      <c r="O50" s="63"/>
    </row>
    <row r="51" spans="2:15" ht="15" thickBot="1" x14ac:dyDescent="0.35">
      <c r="B51" s="12"/>
      <c r="C51" s="13"/>
      <c r="D51" s="13"/>
      <c r="E51" s="13"/>
      <c r="F51" s="16"/>
      <c r="G51" s="16"/>
      <c r="H51" s="16"/>
      <c r="I51" s="16"/>
      <c r="J51" s="16"/>
      <c r="K51" s="16"/>
      <c r="L51" s="16"/>
      <c r="M51" s="16"/>
      <c r="N51" s="16"/>
      <c r="O51" s="17"/>
    </row>
    <row r="52" spans="2:15" ht="15" thickTop="1" x14ac:dyDescent="0.3"/>
  </sheetData>
  <mergeCells count="42">
    <mergeCell ref="I31:J32"/>
    <mergeCell ref="K31:L32"/>
    <mergeCell ref="B43:O44"/>
    <mergeCell ref="B39:C40"/>
    <mergeCell ref="D39:E40"/>
    <mergeCell ref="B37:O38"/>
    <mergeCell ref="L39:M40"/>
    <mergeCell ref="N39:O40"/>
    <mergeCell ref="G39:H40"/>
    <mergeCell ref="I39:J40"/>
    <mergeCell ref="I17:J18"/>
    <mergeCell ref="K17:L18"/>
    <mergeCell ref="I33:J34"/>
    <mergeCell ref="K33:L34"/>
    <mergeCell ref="I19:J20"/>
    <mergeCell ref="K19:L20"/>
    <mergeCell ref="I21:J22"/>
    <mergeCell ref="K21:L22"/>
    <mergeCell ref="I23:J24"/>
    <mergeCell ref="K23:L24"/>
    <mergeCell ref="I25:J26"/>
    <mergeCell ref="K25:L26"/>
    <mergeCell ref="I27:J28"/>
    <mergeCell ref="K27:L28"/>
    <mergeCell ref="I29:J30"/>
    <mergeCell ref="K29:L30"/>
    <mergeCell ref="B47:O48"/>
    <mergeCell ref="F49:O51"/>
    <mergeCell ref="B49:E51"/>
    <mergeCell ref="B1:N2"/>
    <mergeCell ref="B3:N10"/>
    <mergeCell ref="B13:G14"/>
    <mergeCell ref="B15:C16"/>
    <mergeCell ref="D15:E16"/>
    <mergeCell ref="F15:G16"/>
    <mergeCell ref="B17:C18"/>
    <mergeCell ref="D17:E18"/>
    <mergeCell ref="F17:G18"/>
    <mergeCell ref="I13:J14"/>
    <mergeCell ref="K13:L14"/>
    <mergeCell ref="I15:J16"/>
    <mergeCell ref="K15:L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E591A-E849-4228-8D4B-7F38CF5C7E51}">
  <dimension ref="B1:O119"/>
  <sheetViews>
    <sheetView workbookViewId="0">
      <selection activeCell="H122" sqref="H122"/>
    </sheetView>
  </sheetViews>
  <sheetFormatPr baseColWidth="10" defaultRowHeight="14.4" x14ac:dyDescent="0.3"/>
  <sheetData>
    <row r="1" spans="2:14" ht="15.6" thickTop="1" thickBot="1" x14ac:dyDescent="0.35">
      <c r="B1" s="18" t="s">
        <v>13</v>
      </c>
      <c r="C1" s="19"/>
      <c r="D1" s="19"/>
      <c r="E1" s="19"/>
      <c r="F1" s="19"/>
      <c r="G1" s="19"/>
      <c r="H1" s="19"/>
      <c r="I1" s="19"/>
      <c r="J1" s="19"/>
      <c r="K1" s="19"/>
      <c r="L1" s="19"/>
      <c r="M1" s="19"/>
      <c r="N1" s="20"/>
    </row>
    <row r="2" spans="2:14" ht="15" thickBot="1" x14ac:dyDescent="0.35">
      <c r="B2" s="21"/>
      <c r="C2" s="22"/>
      <c r="D2" s="22"/>
      <c r="E2" s="22"/>
      <c r="F2" s="22"/>
      <c r="G2" s="22"/>
      <c r="H2" s="22"/>
      <c r="I2" s="22"/>
      <c r="J2" s="22"/>
      <c r="K2" s="22"/>
      <c r="L2" s="22"/>
      <c r="M2" s="22"/>
      <c r="N2" s="23"/>
    </row>
    <row r="3" spans="2:14" ht="15" customHeight="1" x14ac:dyDescent="0.3">
      <c r="B3" s="99" t="s">
        <v>14</v>
      </c>
      <c r="C3" s="100"/>
      <c r="D3" s="100"/>
      <c r="E3" s="100"/>
      <c r="F3" s="100"/>
      <c r="G3" s="100"/>
      <c r="H3" s="100"/>
      <c r="I3" s="100"/>
      <c r="J3" s="100"/>
      <c r="K3" s="100"/>
      <c r="L3" s="100"/>
      <c r="M3" s="100"/>
      <c r="N3" s="101"/>
    </row>
    <row r="4" spans="2:14" x14ac:dyDescent="0.3">
      <c r="B4" s="102"/>
      <c r="C4" s="103"/>
      <c r="D4" s="103"/>
      <c r="E4" s="103"/>
      <c r="F4" s="103"/>
      <c r="G4" s="103"/>
      <c r="H4" s="103"/>
      <c r="I4" s="103"/>
      <c r="J4" s="103"/>
      <c r="K4" s="103"/>
      <c r="L4" s="103"/>
      <c r="M4" s="103"/>
      <c r="N4" s="104"/>
    </row>
    <row r="5" spans="2:14" x14ac:dyDescent="0.3">
      <c r="B5" s="102"/>
      <c r="C5" s="103"/>
      <c r="D5" s="103"/>
      <c r="E5" s="103"/>
      <c r="F5" s="103"/>
      <c r="G5" s="103"/>
      <c r="H5" s="103"/>
      <c r="I5" s="103"/>
      <c r="J5" s="103"/>
      <c r="K5" s="103"/>
      <c r="L5" s="103"/>
      <c r="M5" s="103"/>
      <c r="N5" s="104"/>
    </row>
    <row r="6" spans="2:14" x14ac:dyDescent="0.3">
      <c r="B6" s="102"/>
      <c r="C6" s="103"/>
      <c r="D6" s="103"/>
      <c r="E6" s="103"/>
      <c r="F6" s="103"/>
      <c r="G6" s="103"/>
      <c r="H6" s="103"/>
      <c r="I6" s="103"/>
      <c r="J6" s="103"/>
      <c r="K6" s="103"/>
      <c r="L6" s="103"/>
      <c r="M6" s="103"/>
      <c r="N6" s="104"/>
    </row>
    <row r="7" spans="2:14" x14ac:dyDescent="0.3">
      <c r="B7" s="102"/>
      <c r="C7" s="103"/>
      <c r="D7" s="103"/>
      <c r="E7" s="103"/>
      <c r="F7" s="103"/>
      <c r="G7" s="103"/>
      <c r="H7" s="103"/>
      <c r="I7" s="103"/>
      <c r="J7" s="103"/>
      <c r="K7" s="103"/>
      <c r="L7" s="103"/>
      <c r="M7" s="103"/>
      <c r="N7" s="104"/>
    </row>
    <row r="8" spans="2:14" x14ac:dyDescent="0.3">
      <c r="B8" s="102"/>
      <c r="C8" s="103"/>
      <c r="D8" s="103"/>
      <c r="E8" s="103"/>
      <c r="F8" s="103"/>
      <c r="G8" s="103"/>
      <c r="H8" s="103"/>
      <c r="I8" s="103"/>
      <c r="J8" s="103"/>
      <c r="K8" s="103"/>
      <c r="L8" s="103"/>
      <c r="M8" s="103"/>
      <c r="N8" s="104"/>
    </row>
    <row r="9" spans="2:14" x14ac:dyDescent="0.3">
      <c r="B9" s="102"/>
      <c r="C9" s="103"/>
      <c r="D9" s="103"/>
      <c r="E9" s="103"/>
      <c r="F9" s="103"/>
      <c r="G9" s="103"/>
      <c r="H9" s="103"/>
      <c r="I9" s="103"/>
      <c r="J9" s="103"/>
      <c r="K9" s="103"/>
      <c r="L9" s="103"/>
      <c r="M9" s="103"/>
      <c r="N9" s="104"/>
    </row>
    <row r="10" spans="2:14" x14ac:dyDescent="0.3">
      <c r="B10" s="102"/>
      <c r="C10" s="103"/>
      <c r="D10" s="103"/>
      <c r="E10" s="103"/>
      <c r="F10" s="103"/>
      <c r="G10" s="103"/>
      <c r="H10" s="103"/>
      <c r="I10" s="103"/>
      <c r="J10" s="103"/>
      <c r="K10" s="103"/>
      <c r="L10" s="103"/>
      <c r="M10" s="103"/>
      <c r="N10" s="104"/>
    </row>
    <row r="11" spans="2:14" x14ac:dyDescent="0.3">
      <c r="B11" s="102"/>
      <c r="C11" s="103"/>
      <c r="D11" s="103"/>
      <c r="E11" s="103"/>
      <c r="F11" s="103"/>
      <c r="G11" s="103"/>
      <c r="H11" s="103"/>
      <c r="I11" s="103"/>
      <c r="J11" s="103"/>
      <c r="K11" s="103"/>
      <c r="L11" s="103"/>
      <c r="M11" s="103"/>
      <c r="N11" s="104"/>
    </row>
    <row r="12" spans="2:14" x14ac:dyDescent="0.3">
      <c r="B12" s="102"/>
      <c r="C12" s="103"/>
      <c r="D12" s="103"/>
      <c r="E12" s="103"/>
      <c r="F12" s="103"/>
      <c r="G12" s="103"/>
      <c r="H12" s="103"/>
      <c r="I12" s="103"/>
      <c r="J12" s="103"/>
      <c r="K12" s="103"/>
      <c r="L12" s="103"/>
      <c r="M12" s="103"/>
      <c r="N12" s="104"/>
    </row>
    <row r="13" spans="2:14" ht="15" thickBot="1" x14ac:dyDescent="0.35">
      <c r="B13" s="105"/>
      <c r="C13" s="106"/>
      <c r="D13" s="106"/>
      <c r="E13" s="106"/>
      <c r="F13" s="106"/>
      <c r="G13" s="106"/>
      <c r="H13" s="106"/>
      <c r="I13" s="106"/>
      <c r="J13" s="106"/>
      <c r="K13" s="106"/>
      <c r="L13" s="106"/>
      <c r="M13" s="106"/>
      <c r="N13" s="107"/>
    </row>
    <row r="14" spans="2:14" ht="15" thickTop="1" x14ac:dyDescent="0.3"/>
    <row r="15" spans="2:14" ht="15" thickBot="1" x14ac:dyDescent="0.35"/>
    <row r="16" spans="2:14" ht="15.6" thickTop="1" thickBot="1" x14ac:dyDescent="0.35">
      <c r="B16" s="4" t="s">
        <v>1</v>
      </c>
      <c r="C16" s="5"/>
      <c r="D16" s="5"/>
      <c r="E16" s="6"/>
      <c r="G16" s="45" t="s">
        <v>58</v>
      </c>
      <c r="H16" s="34"/>
      <c r="I16" s="108">
        <f>B20-19</f>
        <v>26</v>
      </c>
      <c r="J16" s="109"/>
    </row>
    <row r="17" spans="2:10" ht="15" thickBot="1" x14ac:dyDescent="0.35">
      <c r="B17" s="7"/>
      <c r="C17" s="8"/>
      <c r="D17" s="8"/>
      <c r="E17" s="9"/>
      <c r="G17" s="41"/>
      <c r="H17" s="35"/>
      <c r="I17" s="54"/>
      <c r="J17" s="55"/>
    </row>
    <row r="18" spans="2:10" ht="15.6" thickTop="1" thickBot="1" x14ac:dyDescent="0.35">
      <c r="B18" s="30" t="s">
        <v>11</v>
      </c>
      <c r="C18" s="31"/>
      <c r="D18" s="66" t="s">
        <v>12</v>
      </c>
      <c r="E18" s="6"/>
      <c r="G18" s="41" t="s">
        <v>59</v>
      </c>
      <c r="H18" s="35"/>
      <c r="I18" s="54">
        <f>I16*12</f>
        <v>312</v>
      </c>
      <c r="J18" s="55"/>
    </row>
    <row r="19" spans="2:10" ht="15" thickBot="1" x14ac:dyDescent="0.35">
      <c r="B19" s="32"/>
      <c r="C19" s="33"/>
      <c r="D19" s="68"/>
      <c r="E19" s="70"/>
      <c r="G19" s="41"/>
      <c r="H19" s="35"/>
      <c r="I19" s="54"/>
      <c r="J19" s="55"/>
    </row>
    <row r="20" spans="2:10" ht="15" thickBot="1" x14ac:dyDescent="0.35">
      <c r="B20" s="41">
        <v>45</v>
      </c>
      <c r="C20" s="35"/>
      <c r="D20" s="35">
        <v>70</v>
      </c>
      <c r="E20" s="37"/>
      <c r="G20" s="32" t="s">
        <v>61</v>
      </c>
      <c r="H20" s="33"/>
      <c r="I20" s="52">
        <v>4.4999999999999998E-2</v>
      </c>
      <c r="J20" s="37"/>
    </row>
    <row r="21" spans="2:10" ht="15" thickBot="1" x14ac:dyDescent="0.35">
      <c r="B21" s="42"/>
      <c r="C21" s="43"/>
      <c r="D21" s="43"/>
      <c r="E21" s="44"/>
      <c r="G21" s="32"/>
      <c r="H21" s="33"/>
      <c r="I21" s="35"/>
      <c r="J21" s="37"/>
    </row>
    <row r="22" spans="2:10" ht="15.6" customHeight="1" thickTop="1" thickBot="1" x14ac:dyDescent="0.35">
      <c r="G22" s="32" t="s">
        <v>62</v>
      </c>
      <c r="H22" s="33"/>
      <c r="I22" s="38">
        <f>I20/12</f>
        <v>3.7499999999999999E-3</v>
      </c>
      <c r="J22" s="39"/>
    </row>
    <row r="23" spans="2:10" ht="15" thickBot="1" x14ac:dyDescent="0.35">
      <c r="G23" s="32"/>
      <c r="H23" s="33"/>
      <c r="I23" s="38"/>
      <c r="J23" s="39"/>
    </row>
    <row r="24" spans="2:10" ht="15" customHeight="1" thickBot="1" x14ac:dyDescent="0.35">
      <c r="G24" s="41" t="s">
        <v>63</v>
      </c>
      <c r="H24" s="35"/>
      <c r="I24" s="54">
        <f>2*I16</f>
        <v>52</v>
      </c>
      <c r="J24" s="55"/>
    </row>
    <row r="25" spans="2:10" ht="15" thickBot="1" x14ac:dyDescent="0.35">
      <c r="G25" s="41"/>
      <c r="H25" s="35"/>
      <c r="I25" s="54"/>
      <c r="J25" s="55"/>
    </row>
    <row r="26" spans="2:10" ht="15" thickBot="1" x14ac:dyDescent="0.35">
      <c r="G26" s="41" t="s">
        <v>64</v>
      </c>
      <c r="H26" s="35"/>
      <c r="I26" s="52">
        <f>I20/2</f>
        <v>2.2499999999999999E-2</v>
      </c>
      <c r="J26" s="53"/>
    </row>
    <row r="27" spans="2:10" ht="15" thickBot="1" x14ac:dyDescent="0.35">
      <c r="G27" s="41"/>
      <c r="H27" s="35"/>
      <c r="I27" s="52"/>
      <c r="J27" s="53"/>
    </row>
    <row r="28" spans="2:10" ht="15" thickBot="1" x14ac:dyDescent="0.35">
      <c r="G28" s="41" t="s">
        <v>65</v>
      </c>
      <c r="H28" s="35"/>
      <c r="I28" s="54">
        <f>D20*2</f>
        <v>140</v>
      </c>
      <c r="J28" s="55"/>
    </row>
    <row r="29" spans="2:10" ht="15" thickBot="1" x14ac:dyDescent="0.35">
      <c r="G29" s="41"/>
      <c r="H29" s="35"/>
      <c r="I29" s="54"/>
      <c r="J29" s="55"/>
    </row>
    <row r="30" spans="2:10" ht="15" thickBot="1" x14ac:dyDescent="0.35">
      <c r="G30" s="41" t="s">
        <v>60</v>
      </c>
      <c r="H30" s="35"/>
      <c r="I30" s="52">
        <v>3.5000000000000003E-2</v>
      </c>
      <c r="J30" s="53"/>
    </row>
    <row r="31" spans="2:10" ht="15" thickBot="1" x14ac:dyDescent="0.35">
      <c r="G31" s="42"/>
      <c r="H31" s="43"/>
      <c r="I31" s="56"/>
      <c r="J31" s="57"/>
    </row>
    <row r="32" spans="2:10" ht="15" thickTop="1" x14ac:dyDescent="0.3"/>
    <row r="33" spans="2:14" ht="15" thickBot="1" x14ac:dyDescent="0.35"/>
    <row r="34" spans="2:14" ht="15" thickTop="1" x14ac:dyDescent="0.3">
      <c r="B34" s="4" t="s">
        <v>66</v>
      </c>
      <c r="C34" s="5"/>
      <c r="D34" s="5"/>
      <c r="E34" s="5"/>
      <c r="F34" s="5"/>
      <c r="G34" s="5"/>
      <c r="H34" s="5"/>
      <c r="I34" s="5"/>
      <c r="J34" s="5"/>
      <c r="K34" s="5"/>
      <c r="L34" s="5"/>
      <c r="M34" s="5"/>
      <c r="N34" s="6"/>
    </row>
    <row r="35" spans="2:14" ht="15" thickBot="1" x14ac:dyDescent="0.35">
      <c r="B35" s="7"/>
      <c r="C35" s="8"/>
      <c r="D35" s="8"/>
      <c r="E35" s="8"/>
      <c r="F35" s="8"/>
      <c r="G35" s="8"/>
      <c r="H35" s="8"/>
      <c r="I35" s="8"/>
      <c r="J35" s="8"/>
      <c r="K35" s="8"/>
      <c r="L35" s="8"/>
      <c r="M35" s="8"/>
      <c r="N35" s="9"/>
    </row>
    <row r="36" spans="2:14" ht="15" thickTop="1" x14ac:dyDescent="0.3">
      <c r="B36" s="10" t="s">
        <v>67</v>
      </c>
      <c r="C36" s="11"/>
      <c r="D36" s="111">
        <f>PV(I22,I18,-D20)</f>
        <v>12860.458706721442</v>
      </c>
      <c r="E36" s="112"/>
    </row>
    <row r="37" spans="2:14" x14ac:dyDescent="0.3">
      <c r="B37" s="64"/>
      <c r="C37" s="65"/>
      <c r="D37" s="113"/>
      <c r="E37" s="114"/>
    </row>
    <row r="38" spans="2:14" ht="15.6" customHeight="1" thickBot="1" x14ac:dyDescent="0.35">
      <c r="B38" s="12"/>
      <c r="C38" s="13"/>
      <c r="D38" s="115"/>
      <c r="E38" s="116"/>
    </row>
    <row r="39" spans="2:14" ht="15" thickTop="1" x14ac:dyDescent="0.3"/>
    <row r="40" spans="2:14" ht="15" thickBot="1" x14ac:dyDescent="0.35"/>
    <row r="41" spans="2:14" ht="15" thickTop="1" x14ac:dyDescent="0.3">
      <c r="B41" s="4" t="s">
        <v>68</v>
      </c>
      <c r="C41" s="5"/>
      <c r="D41" s="5"/>
      <c r="E41" s="5"/>
      <c r="F41" s="5"/>
      <c r="G41" s="5"/>
      <c r="H41" s="5"/>
      <c r="I41" s="5"/>
      <c r="J41" s="5"/>
      <c r="K41" s="5"/>
      <c r="L41" s="5"/>
      <c r="M41" s="5"/>
      <c r="N41" s="6"/>
    </row>
    <row r="42" spans="2:14" ht="15" thickBot="1" x14ac:dyDescent="0.35">
      <c r="B42" s="7"/>
      <c r="C42" s="8"/>
      <c r="D42" s="8"/>
      <c r="E42" s="8"/>
      <c r="F42" s="8"/>
      <c r="G42" s="8"/>
      <c r="H42" s="8"/>
      <c r="I42" s="8"/>
      <c r="J42" s="8"/>
      <c r="K42" s="8"/>
      <c r="L42" s="8"/>
      <c r="M42" s="8"/>
      <c r="N42" s="9"/>
    </row>
    <row r="43" spans="2:14" ht="15" thickTop="1" x14ac:dyDescent="0.3">
      <c r="B43" s="10" t="s">
        <v>70</v>
      </c>
      <c r="C43" s="11"/>
      <c r="D43" s="111">
        <f>(PV(I22,I18,-D20))+(PV(I26,I24,-I28))</f>
        <v>17126.301668424243</v>
      </c>
      <c r="E43" s="112"/>
    </row>
    <row r="44" spans="2:14" x14ac:dyDescent="0.3">
      <c r="B44" s="64"/>
      <c r="C44" s="65"/>
      <c r="D44" s="113"/>
      <c r="E44" s="114"/>
    </row>
    <row r="45" spans="2:14" ht="15" customHeight="1" x14ac:dyDescent="0.3">
      <c r="B45" s="64"/>
      <c r="C45" s="65"/>
      <c r="D45" s="113"/>
      <c r="E45" s="114"/>
    </row>
    <row r="46" spans="2:14" x14ac:dyDescent="0.3">
      <c r="B46" s="64"/>
      <c r="C46" s="65"/>
      <c r="D46" s="113"/>
      <c r="E46" s="114"/>
    </row>
    <row r="47" spans="2:14" ht="15" thickBot="1" x14ac:dyDescent="0.35">
      <c r="B47" s="12"/>
      <c r="C47" s="13"/>
      <c r="D47" s="115"/>
      <c r="E47" s="116"/>
    </row>
    <row r="48" spans="2:14" ht="15" thickTop="1" x14ac:dyDescent="0.3"/>
    <row r="49" spans="2:14" ht="15" thickBot="1" x14ac:dyDescent="0.35"/>
    <row r="50" spans="2:14" ht="15" thickTop="1" x14ac:dyDescent="0.3">
      <c r="B50" s="4" t="s">
        <v>69</v>
      </c>
      <c r="C50" s="5"/>
      <c r="D50" s="5"/>
      <c r="E50" s="5"/>
      <c r="F50" s="5"/>
      <c r="G50" s="5"/>
      <c r="H50" s="5"/>
      <c r="I50" s="5"/>
      <c r="J50" s="5"/>
      <c r="K50" s="5"/>
      <c r="L50" s="5"/>
      <c r="M50" s="5"/>
      <c r="N50" s="6"/>
    </row>
    <row r="51" spans="2:14" ht="15" thickBot="1" x14ac:dyDescent="0.35">
      <c r="B51" s="7"/>
      <c r="C51" s="8"/>
      <c r="D51" s="8"/>
      <c r="E51" s="8"/>
      <c r="F51" s="8"/>
      <c r="G51" s="8"/>
      <c r="H51" s="8"/>
      <c r="I51" s="8"/>
      <c r="J51" s="8"/>
      <c r="K51" s="8"/>
      <c r="L51" s="8"/>
      <c r="M51" s="8"/>
      <c r="N51" s="9"/>
    </row>
    <row r="52" spans="2:14" ht="15.6" thickTop="1" thickBot="1" x14ac:dyDescent="0.35">
      <c r="B52" s="30" t="s">
        <v>71</v>
      </c>
      <c r="C52" s="31"/>
      <c r="D52" s="31" t="s">
        <v>72</v>
      </c>
      <c r="E52" s="31"/>
      <c r="F52" s="31" t="s">
        <v>73</v>
      </c>
      <c r="G52" s="31"/>
      <c r="H52" s="31" t="s">
        <v>74</v>
      </c>
      <c r="I52" s="31"/>
      <c r="J52" s="31" t="s">
        <v>75</v>
      </c>
      <c r="K52" s="49"/>
    </row>
    <row r="53" spans="2:14" ht="15" thickBot="1" x14ac:dyDescent="0.35">
      <c r="B53" s="32"/>
      <c r="C53" s="33"/>
      <c r="D53" s="33"/>
      <c r="E53" s="33"/>
      <c r="F53" s="33"/>
      <c r="G53" s="33"/>
      <c r="H53" s="33"/>
      <c r="I53" s="33"/>
      <c r="J53" s="33"/>
      <c r="K53" s="110"/>
    </row>
    <row r="54" spans="2:14" ht="15.6" customHeight="1" thickBot="1" x14ac:dyDescent="0.35">
      <c r="B54" s="46"/>
      <c r="C54" s="47"/>
      <c r="D54" s="47"/>
      <c r="E54" s="47"/>
      <c r="F54" s="47"/>
      <c r="G54" s="47"/>
      <c r="H54" s="47"/>
      <c r="I54" s="47"/>
      <c r="J54" s="47"/>
      <c r="K54" s="50"/>
    </row>
    <row r="55" spans="2:14" ht="15.6" thickTop="1" thickBot="1" x14ac:dyDescent="0.35">
      <c r="B55" s="117">
        <v>1</v>
      </c>
      <c r="C55" s="118"/>
      <c r="D55" s="118">
        <f>D20</f>
        <v>70</v>
      </c>
      <c r="E55" s="118"/>
      <c r="F55" s="119">
        <f>I28</f>
        <v>140</v>
      </c>
      <c r="G55" s="118"/>
      <c r="H55" s="120">
        <f>(PV($I$22,12,-D55))+(PV($I$26,2,-F55))</f>
        <v>1090.7040698952489</v>
      </c>
      <c r="I55" s="120"/>
      <c r="J55" s="120">
        <f>PV($I$20,B55-1,0,-H55)</f>
        <v>1090.7040698952489</v>
      </c>
      <c r="K55" s="122"/>
    </row>
    <row r="56" spans="2:14" ht="15" thickBot="1" x14ac:dyDescent="0.35">
      <c r="B56" s="41"/>
      <c r="C56" s="35"/>
      <c r="D56" s="35"/>
      <c r="E56" s="35"/>
      <c r="F56" s="35"/>
      <c r="G56" s="35"/>
      <c r="H56" s="121"/>
      <c r="I56" s="121"/>
      <c r="J56" s="121"/>
      <c r="K56" s="123"/>
    </row>
    <row r="57" spans="2:14" ht="15" thickBot="1" x14ac:dyDescent="0.35">
      <c r="B57" s="41">
        <v>2</v>
      </c>
      <c r="C57" s="35"/>
      <c r="D57" s="35">
        <f>D55*(1+$I$30)</f>
        <v>72.449999999999989</v>
      </c>
      <c r="E57" s="35"/>
      <c r="F57" s="35">
        <f>F55*(1+$I$30)</f>
        <v>144.89999999999998</v>
      </c>
      <c r="G57" s="35"/>
      <c r="H57" s="120">
        <f>(PV($I$22,12,-D57))+(PV($I$26,2,-F57))</f>
        <v>1128.8787123415825</v>
      </c>
      <c r="I57" s="120"/>
      <c r="J57" s="120">
        <f>PV($I$20,B57-1,0,-H57)</f>
        <v>1080.2667103747201</v>
      </c>
      <c r="K57" s="122"/>
    </row>
    <row r="58" spans="2:14" ht="15" thickBot="1" x14ac:dyDescent="0.35">
      <c r="B58" s="41"/>
      <c r="C58" s="35"/>
      <c r="D58" s="35"/>
      <c r="E58" s="35"/>
      <c r="F58" s="35"/>
      <c r="G58" s="35"/>
      <c r="H58" s="121"/>
      <c r="I58" s="121"/>
      <c r="J58" s="121"/>
      <c r="K58" s="123"/>
    </row>
    <row r="59" spans="2:14" ht="15" thickBot="1" x14ac:dyDescent="0.35">
      <c r="B59" s="41">
        <v>3</v>
      </c>
      <c r="C59" s="35"/>
      <c r="D59" s="121">
        <f t="shared" ref="D59" si="0">D57*(1+$I$30)</f>
        <v>74.985749999999982</v>
      </c>
      <c r="E59" s="121"/>
      <c r="F59" s="121">
        <f t="shared" ref="F59" si="1">F57*(1+$I$30)</f>
        <v>149.97149999999996</v>
      </c>
      <c r="G59" s="121"/>
      <c r="H59" s="120">
        <f t="shared" ref="H59" si="2">(PV($I$22,12,-D59))+(PV($I$26,2,-F59))</f>
        <v>1168.389467273538</v>
      </c>
      <c r="I59" s="120"/>
      <c r="J59" s="120">
        <f t="shared" ref="J59" si="3">PV($I$20,B59-1,0,-H59)</f>
        <v>1069.9292298926657</v>
      </c>
      <c r="K59" s="122"/>
    </row>
    <row r="60" spans="2:14" ht="15" thickBot="1" x14ac:dyDescent="0.35">
      <c r="B60" s="41"/>
      <c r="C60" s="35"/>
      <c r="D60" s="121"/>
      <c r="E60" s="121"/>
      <c r="F60" s="121"/>
      <c r="G60" s="121"/>
      <c r="H60" s="121"/>
      <c r="I60" s="121"/>
      <c r="J60" s="121"/>
      <c r="K60" s="123"/>
    </row>
    <row r="61" spans="2:14" ht="15" thickBot="1" x14ac:dyDescent="0.35">
      <c r="B61" s="41">
        <v>4</v>
      </c>
      <c r="C61" s="35"/>
      <c r="D61" s="121">
        <f t="shared" ref="D61" si="4">D59*(1+$I$30)</f>
        <v>77.610251249999976</v>
      </c>
      <c r="E61" s="121"/>
      <c r="F61" s="121">
        <f t="shared" ref="F61" si="5">F59*(1+$I$30)</f>
        <v>155.22050249999995</v>
      </c>
      <c r="G61" s="121"/>
      <c r="H61" s="120">
        <f t="shared" ref="H61" si="6">(PV($I$22,12,-D61))+(PV($I$26,2,-F61))</f>
        <v>1209.2830986281117</v>
      </c>
      <c r="I61" s="120"/>
      <c r="J61" s="120">
        <f t="shared" ref="J61" si="7">PV($I$20,B61-1,0,-H61)</f>
        <v>1059.6906726688123</v>
      </c>
      <c r="K61" s="122"/>
    </row>
    <row r="62" spans="2:14" ht="15" thickBot="1" x14ac:dyDescent="0.35">
      <c r="B62" s="41"/>
      <c r="C62" s="35"/>
      <c r="D62" s="121"/>
      <c r="E62" s="121"/>
      <c r="F62" s="121"/>
      <c r="G62" s="121"/>
      <c r="H62" s="121"/>
      <c r="I62" s="121"/>
      <c r="J62" s="121"/>
      <c r="K62" s="123"/>
    </row>
    <row r="63" spans="2:14" ht="15" thickBot="1" x14ac:dyDescent="0.35">
      <c r="B63" s="41">
        <v>5</v>
      </c>
      <c r="C63" s="35"/>
      <c r="D63" s="121">
        <f t="shared" ref="D63" si="8">D61*(1+$I$30)</f>
        <v>80.326610043749966</v>
      </c>
      <c r="E63" s="121"/>
      <c r="F63" s="121">
        <f t="shared" ref="F63" si="9">F61*(1+$I$30)</f>
        <v>160.65322008749993</v>
      </c>
      <c r="G63" s="121"/>
      <c r="H63" s="120">
        <f t="shared" ref="H63" si="10">(PV($I$22,12,-D63))+(PV($I$26,2,-F63))</f>
        <v>1251.6080070800954</v>
      </c>
      <c r="I63" s="120"/>
      <c r="J63" s="120">
        <f t="shared" ref="J63" si="11">PV($I$20,B63-1,0,-H63)</f>
        <v>1049.5500920691109</v>
      </c>
      <c r="K63" s="122"/>
    </row>
    <row r="64" spans="2:14" ht="15" thickBot="1" x14ac:dyDescent="0.35">
      <c r="B64" s="41"/>
      <c r="C64" s="35"/>
      <c r="D64" s="121"/>
      <c r="E64" s="121"/>
      <c r="F64" s="121"/>
      <c r="G64" s="121"/>
      <c r="H64" s="121"/>
      <c r="I64" s="121"/>
      <c r="J64" s="121"/>
      <c r="K64" s="123"/>
    </row>
    <row r="65" spans="2:11" ht="15" thickBot="1" x14ac:dyDescent="0.35">
      <c r="B65" s="41">
        <v>6</v>
      </c>
      <c r="C65" s="35"/>
      <c r="D65" s="121">
        <f t="shared" ref="D65" si="12">D63*(1+$I$30)</f>
        <v>83.138041395281206</v>
      </c>
      <c r="E65" s="121"/>
      <c r="F65" s="121">
        <f t="shared" ref="F65" si="13">F63*(1+$I$30)</f>
        <v>166.27608279056241</v>
      </c>
      <c r="G65" s="121"/>
      <c r="H65" s="120">
        <f t="shared" ref="H65" si="14">(PV($I$22,12,-D65))+(PV($I$26,2,-F65))</f>
        <v>1295.4142873278986</v>
      </c>
      <c r="I65" s="120"/>
      <c r="J65" s="120">
        <f t="shared" ref="J65" si="15">PV($I$20,B65-1,0,-H65)</f>
        <v>1039.5065505182101</v>
      </c>
      <c r="K65" s="122"/>
    </row>
    <row r="66" spans="2:11" ht="15" thickBot="1" x14ac:dyDescent="0.35">
      <c r="B66" s="41"/>
      <c r="C66" s="35"/>
      <c r="D66" s="121"/>
      <c r="E66" s="121"/>
      <c r="F66" s="121"/>
      <c r="G66" s="121"/>
      <c r="H66" s="121"/>
      <c r="I66" s="121"/>
      <c r="J66" s="121"/>
      <c r="K66" s="123"/>
    </row>
    <row r="67" spans="2:11" ht="15" thickBot="1" x14ac:dyDescent="0.35">
      <c r="B67" s="41">
        <v>7</v>
      </c>
      <c r="C67" s="35"/>
      <c r="D67" s="121">
        <f t="shared" ref="D67" si="16">D65*(1+$I$30)</f>
        <v>86.047872844116043</v>
      </c>
      <c r="E67" s="121"/>
      <c r="F67" s="121">
        <f t="shared" ref="F67" si="17">F65*(1+$I$30)</f>
        <v>172.09574568823209</v>
      </c>
      <c r="G67" s="121"/>
      <c r="H67" s="120">
        <f t="shared" ref="H67" si="18">(PV($I$22,12,-D67))+(PV($I$26,2,-F67))</f>
        <v>1340.7537873843751</v>
      </c>
      <c r="I67" s="120"/>
      <c r="J67" s="120">
        <f t="shared" ref="J67" si="19">PV($I$20,B67-1,0,-H67)</f>
        <v>1029.559119412773</v>
      </c>
      <c r="K67" s="122"/>
    </row>
    <row r="68" spans="2:11" ht="15" thickBot="1" x14ac:dyDescent="0.35">
      <c r="B68" s="41"/>
      <c r="C68" s="35"/>
      <c r="D68" s="121"/>
      <c r="E68" s="121"/>
      <c r="F68" s="121"/>
      <c r="G68" s="121"/>
      <c r="H68" s="121"/>
      <c r="I68" s="121"/>
      <c r="J68" s="121"/>
      <c r="K68" s="123"/>
    </row>
    <row r="69" spans="2:11" ht="15" thickBot="1" x14ac:dyDescent="0.35">
      <c r="B69" s="41">
        <v>8</v>
      </c>
      <c r="C69" s="35"/>
      <c r="D69" s="121">
        <f t="shared" ref="D69" si="20">D67*(1+$I$30)</f>
        <v>89.059548393660094</v>
      </c>
      <c r="E69" s="121"/>
      <c r="F69" s="121">
        <f t="shared" ref="F69" si="21">F67*(1+$I$30)</f>
        <v>178.11909678732019</v>
      </c>
      <c r="G69" s="121"/>
      <c r="H69" s="120">
        <f t="shared" ref="H69" si="22">(PV($I$22,12,-D69))+(PV($I$26,2,-F69))</f>
        <v>1387.6801699428281</v>
      </c>
      <c r="I69" s="120"/>
      <c r="J69" s="120">
        <f t="shared" ref="J69" si="23">PV($I$20,B69-1,0,-H69)</f>
        <v>1019.7068790356171</v>
      </c>
      <c r="K69" s="122"/>
    </row>
    <row r="70" spans="2:11" ht="15" thickBot="1" x14ac:dyDescent="0.35">
      <c r="B70" s="41"/>
      <c r="C70" s="35"/>
      <c r="D70" s="121"/>
      <c r="E70" s="121"/>
      <c r="F70" s="121"/>
      <c r="G70" s="121"/>
      <c r="H70" s="121"/>
      <c r="I70" s="121"/>
      <c r="J70" s="121"/>
      <c r="K70" s="123"/>
    </row>
    <row r="71" spans="2:11" ht="15" thickBot="1" x14ac:dyDescent="0.35">
      <c r="B71" s="41">
        <v>9</v>
      </c>
      <c r="C71" s="35"/>
      <c r="D71" s="121">
        <f t="shared" ref="D71" si="24">D69*(1+$I$30)</f>
        <v>92.176632587438192</v>
      </c>
      <c r="E71" s="121"/>
      <c r="F71" s="121">
        <f t="shared" ref="F71" si="25">F69*(1+$I$30)</f>
        <v>184.35326517487638</v>
      </c>
      <c r="G71" s="121"/>
      <c r="H71" s="120">
        <f t="shared" ref="H71" si="26">(PV($I$22,12,-D71))+(PV($I$26,2,-F71))</f>
        <v>1436.2489758908268</v>
      </c>
      <c r="I71" s="120"/>
      <c r="J71" s="120">
        <f t="shared" ref="J71" si="27">PV($I$20,B71-1,0,-H71)</f>
        <v>1009.9489184706831</v>
      </c>
      <c r="K71" s="122"/>
    </row>
    <row r="72" spans="2:11" ht="15" thickBot="1" x14ac:dyDescent="0.35">
      <c r="B72" s="41"/>
      <c r="C72" s="35"/>
      <c r="D72" s="121"/>
      <c r="E72" s="121"/>
      <c r="F72" s="121"/>
      <c r="G72" s="121"/>
      <c r="H72" s="121"/>
      <c r="I72" s="121"/>
      <c r="J72" s="121"/>
      <c r="K72" s="123"/>
    </row>
    <row r="73" spans="2:11" ht="15" thickBot="1" x14ac:dyDescent="0.35">
      <c r="B73" s="41">
        <v>10</v>
      </c>
      <c r="C73" s="35"/>
      <c r="D73" s="121">
        <f t="shared" ref="D73" si="28">D71*(1+$I$30)</f>
        <v>95.402814727998518</v>
      </c>
      <c r="E73" s="121"/>
      <c r="F73" s="121">
        <f t="shared" ref="F73" si="29">F71*(1+$I$30)</f>
        <v>190.80562945599704</v>
      </c>
      <c r="G73" s="121"/>
      <c r="H73" s="120">
        <f t="shared" ref="H73" si="30">(PV($I$22,12,-D73))+(PV($I$26,2,-F73))</f>
        <v>1486.5176900470055</v>
      </c>
      <c r="I73" s="120"/>
      <c r="J73" s="120">
        <f t="shared" ref="J73" si="31">PV($I$20,B73-1,0,-H73)</f>
        <v>1000.2843355188104</v>
      </c>
      <c r="K73" s="122"/>
    </row>
    <row r="74" spans="2:11" ht="15" thickBot="1" x14ac:dyDescent="0.35">
      <c r="B74" s="41"/>
      <c r="C74" s="35"/>
      <c r="D74" s="121"/>
      <c r="E74" s="121"/>
      <c r="F74" s="121"/>
      <c r="G74" s="121"/>
      <c r="H74" s="121"/>
      <c r="I74" s="121"/>
      <c r="J74" s="121"/>
      <c r="K74" s="123"/>
    </row>
    <row r="75" spans="2:11" ht="15" thickBot="1" x14ac:dyDescent="0.35">
      <c r="B75" s="41">
        <v>11</v>
      </c>
      <c r="C75" s="35"/>
      <c r="D75" s="121">
        <f t="shared" ref="D75" si="32">D73*(1+$I$30)</f>
        <v>98.741913243478464</v>
      </c>
      <c r="E75" s="121"/>
      <c r="F75" s="121">
        <f t="shared" ref="F75" si="33">F73*(1+$I$30)</f>
        <v>197.48382648695693</v>
      </c>
      <c r="G75" s="121"/>
      <c r="H75" s="120">
        <f t="shared" ref="H75" si="34">(PV($I$22,12,-D75))+(PV($I$26,2,-F75))</f>
        <v>1538.5458091986507</v>
      </c>
      <c r="I75" s="120"/>
      <c r="J75" s="120">
        <f t="shared" ref="J75" si="35">PV($I$20,B75-1,0,-H75)</f>
        <v>990.71223661432441</v>
      </c>
      <c r="K75" s="122"/>
    </row>
    <row r="76" spans="2:11" ht="15" thickBot="1" x14ac:dyDescent="0.35">
      <c r="B76" s="41"/>
      <c r="C76" s="35"/>
      <c r="D76" s="121"/>
      <c r="E76" s="121"/>
      <c r="F76" s="121"/>
      <c r="G76" s="121"/>
      <c r="H76" s="121"/>
      <c r="I76" s="121"/>
      <c r="J76" s="121"/>
      <c r="K76" s="123"/>
    </row>
    <row r="77" spans="2:11" ht="15" thickBot="1" x14ac:dyDescent="0.35">
      <c r="B77" s="41">
        <v>12</v>
      </c>
      <c r="C77" s="35"/>
      <c r="D77" s="121">
        <f t="shared" ref="D77" si="36">D75*(1+$I$30)</f>
        <v>102.1978802070002</v>
      </c>
      <c r="E77" s="121"/>
      <c r="F77" s="121">
        <f t="shared" ref="F77" si="37">F75*(1+$I$30)</f>
        <v>204.39576041400039</v>
      </c>
      <c r="G77" s="121"/>
      <c r="H77" s="120">
        <f t="shared" ref="H77" si="38">(PV($I$22,12,-D77))+(PV($I$26,2,-F77))</f>
        <v>1592.3949125206032</v>
      </c>
      <c r="I77" s="120"/>
      <c r="J77" s="120">
        <f t="shared" ref="J77" si="39">PV($I$20,B77-1,0,-H77)</f>
        <v>981.23173674241673</v>
      </c>
      <c r="K77" s="122"/>
    </row>
    <row r="78" spans="2:11" ht="15" thickBot="1" x14ac:dyDescent="0.35">
      <c r="B78" s="41"/>
      <c r="C78" s="35"/>
      <c r="D78" s="121"/>
      <c r="E78" s="121"/>
      <c r="F78" s="121"/>
      <c r="G78" s="121"/>
      <c r="H78" s="121"/>
      <c r="I78" s="121"/>
      <c r="J78" s="121"/>
      <c r="K78" s="123"/>
    </row>
    <row r="79" spans="2:11" ht="15" thickBot="1" x14ac:dyDescent="0.35">
      <c r="B79" s="41">
        <v>13</v>
      </c>
      <c r="C79" s="35"/>
      <c r="D79" s="121">
        <f t="shared" ref="D79" si="40">D77*(1+$I$30)</f>
        <v>105.7748060142452</v>
      </c>
      <c r="E79" s="121"/>
      <c r="F79" s="121">
        <f t="shared" ref="F79" si="41">F77*(1+$I$30)</f>
        <v>211.5496120284904</v>
      </c>
      <c r="G79" s="121"/>
      <c r="H79" s="120">
        <f t="shared" ref="H79" si="42">(PV($I$22,12,-D79))+(PV($I$26,2,-F79))</f>
        <v>1648.1287344588243</v>
      </c>
      <c r="I79" s="120"/>
      <c r="J79" s="120">
        <f t="shared" ref="J79" si="43">PV($I$20,B79-1,0,-H79)</f>
        <v>971.84195935732214</v>
      </c>
      <c r="K79" s="122"/>
    </row>
    <row r="80" spans="2:11" ht="15" thickBot="1" x14ac:dyDescent="0.35">
      <c r="B80" s="41"/>
      <c r="C80" s="35"/>
      <c r="D80" s="121"/>
      <c r="E80" s="121"/>
      <c r="F80" s="121"/>
      <c r="G80" s="121"/>
      <c r="H80" s="121"/>
      <c r="I80" s="121"/>
      <c r="J80" s="121"/>
      <c r="K80" s="123"/>
    </row>
    <row r="81" spans="2:11" ht="15" thickBot="1" x14ac:dyDescent="0.35">
      <c r="B81" s="41">
        <v>14</v>
      </c>
      <c r="C81" s="35"/>
      <c r="D81" s="121">
        <f t="shared" ref="D81" si="44">D79*(1+$I$30)</f>
        <v>109.47692422474377</v>
      </c>
      <c r="E81" s="121"/>
      <c r="F81" s="121">
        <f t="shared" ref="F81" si="45">F79*(1+$I$30)</f>
        <v>218.95384844948754</v>
      </c>
      <c r="G81" s="121"/>
      <c r="H81" s="120">
        <f t="shared" ref="H81" si="46">(PV($I$22,12,-D81))+(PV($I$26,2,-F81))</f>
        <v>1705.8132401648832</v>
      </c>
      <c r="I81" s="120"/>
      <c r="J81" s="120">
        <f t="shared" ref="J81" si="47">PV($I$20,B81-1,0,-H81)</f>
        <v>962.54203630127108</v>
      </c>
      <c r="K81" s="122"/>
    </row>
    <row r="82" spans="2:11" ht="15" thickBot="1" x14ac:dyDescent="0.35">
      <c r="B82" s="41"/>
      <c r="C82" s="35"/>
      <c r="D82" s="121"/>
      <c r="E82" s="121"/>
      <c r="F82" s="121"/>
      <c r="G82" s="121"/>
      <c r="H82" s="121"/>
      <c r="I82" s="121"/>
      <c r="J82" s="121"/>
      <c r="K82" s="123"/>
    </row>
    <row r="83" spans="2:11" ht="15" thickBot="1" x14ac:dyDescent="0.35">
      <c r="B83" s="41">
        <v>15</v>
      </c>
      <c r="C83" s="35"/>
      <c r="D83" s="121">
        <f t="shared" ref="D83" si="48">D81*(1+$I$30)</f>
        <v>113.30861657260979</v>
      </c>
      <c r="E83" s="121"/>
      <c r="F83" s="121">
        <f t="shared" ref="F83" si="49">F81*(1+$I$30)</f>
        <v>226.61723314521959</v>
      </c>
      <c r="G83" s="121"/>
      <c r="H83" s="120">
        <f t="shared" ref="H83" si="50">(PV($I$22,12,-D83))+(PV($I$26,2,-F83))</f>
        <v>1765.5167035706538</v>
      </c>
      <c r="I83" s="120"/>
      <c r="J83" s="120">
        <f t="shared" ref="J83" si="51">PV($I$20,B83-1,0,-H83)</f>
        <v>953.3311077242256</v>
      </c>
      <c r="K83" s="122"/>
    </row>
    <row r="84" spans="2:11" ht="15" thickBot="1" x14ac:dyDescent="0.35">
      <c r="B84" s="41"/>
      <c r="C84" s="35"/>
      <c r="D84" s="121"/>
      <c r="E84" s="121"/>
      <c r="F84" s="121"/>
      <c r="G84" s="121"/>
      <c r="H84" s="121"/>
      <c r="I84" s="121"/>
      <c r="J84" s="121"/>
      <c r="K84" s="123"/>
    </row>
    <row r="85" spans="2:11" ht="15" thickBot="1" x14ac:dyDescent="0.35">
      <c r="B85" s="41">
        <v>16</v>
      </c>
      <c r="C85" s="35"/>
      <c r="D85" s="121">
        <f t="shared" ref="D85" si="52">D83*(1+$I$30)</f>
        <v>117.27441815265112</v>
      </c>
      <c r="E85" s="121"/>
      <c r="F85" s="121">
        <f t="shared" ref="F85" si="53">F83*(1+$I$30)</f>
        <v>234.54883630530225</v>
      </c>
      <c r="G85" s="121"/>
      <c r="H85" s="120">
        <f t="shared" ref="H85" si="54">(PV($I$22,12,-D85))+(PV($I$26,2,-F85))</f>
        <v>1827.3097881956267</v>
      </c>
      <c r="I85" s="120"/>
      <c r="J85" s="120">
        <f t="shared" ref="J85" si="55">PV($I$20,B85-1,0,-H85)</f>
        <v>944.20832200437644</v>
      </c>
      <c r="K85" s="122"/>
    </row>
    <row r="86" spans="2:11" ht="15" thickBot="1" x14ac:dyDescent="0.35">
      <c r="B86" s="41"/>
      <c r="C86" s="35"/>
      <c r="D86" s="121"/>
      <c r="E86" s="121"/>
      <c r="F86" s="121"/>
      <c r="G86" s="121"/>
      <c r="H86" s="121"/>
      <c r="I86" s="121"/>
      <c r="J86" s="121"/>
      <c r="K86" s="123"/>
    </row>
    <row r="87" spans="2:11" ht="15" thickBot="1" x14ac:dyDescent="0.35">
      <c r="B87" s="41">
        <v>17</v>
      </c>
      <c r="C87" s="35"/>
      <c r="D87" s="121">
        <f t="shared" ref="D87" si="56">D85*(1+$I$30)</f>
        <v>121.3790227879939</v>
      </c>
      <c r="E87" s="121"/>
      <c r="F87" s="121">
        <f t="shared" ref="F87" si="57">F85*(1+$I$30)</f>
        <v>242.75804557598781</v>
      </c>
      <c r="G87" s="121"/>
      <c r="H87" s="120">
        <f t="shared" ref="H87" si="58">(PV($I$22,12,-D87))+(PV($I$26,2,-F87))</f>
        <v>1891.2656307824732</v>
      </c>
      <c r="I87" s="120"/>
      <c r="J87" s="120">
        <f t="shared" ref="J87" si="59">PV($I$20,B87-1,0,-H87)</f>
        <v>935.17283566940648</v>
      </c>
      <c r="K87" s="122"/>
    </row>
    <row r="88" spans="2:11" ht="15" thickBot="1" x14ac:dyDescent="0.35">
      <c r="B88" s="41"/>
      <c r="C88" s="35"/>
      <c r="D88" s="121"/>
      <c r="E88" s="121"/>
      <c r="F88" s="121"/>
      <c r="G88" s="121"/>
      <c r="H88" s="121"/>
      <c r="I88" s="121"/>
      <c r="J88" s="121"/>
      <c r="K88" s="123"/>
    </row>
    <row r="89" spans="2:11" ht="15" thickBot="1" x14ac:dyDescent="0.35">
      <c r="B89" s="41">
        <v>18</v>
      </c>
      <c r="C89" s="35"/>
      <c r="D89" s="121">
        <f t="shared" ref="D89" si="60">D87*(1+$I$30)</f>
        <v>125.62728858557368</v>
      </c>
      <c r="E89" s="121"/>
      <c r="F89" s="121">
        <f t="shared" ref="F89" si="61">F87*(1+$I$30)</f>
        <v>251.25457717114736</v>
      </c>
      <c r="G89" s="121"/>
      <c r="H89" s="120">
        <f t="shared" ref="H89" si="62">(PV($I$22,12,-D89))+(PV($I$26,2,-F89))</f>
        <v>1957.4599278598596</v>
      </c>
      <c r="I89" s="120"/>
      <c r="J89" s="120">
        <f t="shared" ref="J89" si="63">PV($I$20,B89-1,0,-H89)</f>
        <v>926.22381331850295</v>
      </c>
      <c r="K89" s="122"/>
    </row>
    <row r="90" spans="2:11" ht="15" thickBot="1" x14ac:dyDescent="0.35">
      <c r="B90" s="41"/>
      <c r="C90" s="35"/>
      <c r="D90" s="121"/>
      <c r="E90" s="121"/>
      <c r="F90" s="121"/>
      <c r="G90" s="121"/>
      <c r="H90" s="121"/>
      <c r="I90" s="121"/>
      <c r="J90" s="121"/>
      <c r="K90" s="123"/>
    </row>
    <row r="91" spans="2:11" ht="15" thickBot="1" x14ac:dyDescent="0.35">
      <c r="B91" s="41">
        <v>19</v>
      </c>
      <c r="C91" s="35"/>
      <c r="D91" s="121">
        <f t="shared" ref="D91" si="64">D89*(1+$I$30)</f>
        <v>130.02424368606876</v>
      </c>
      <c r="E91" s="121"/>
      <c r="F91" s="121">
        <f t="shared" ref="F91" si="65">F89*(1+$I$30)</f>
        <v>260.04848737213752</v>
      </c>
      <c r="G91" s="121"/>
      <c r="H91" s="120">
        <f t="shared" ref="H91" si="66">(PV($I$22,12,-D91))+(PV($I$26,2,-F91))</f>
        <v>2025.9710253349547</v>
      </c>
      <c r="I91" s="120"/>
      <c r="J91" s="120">
        <f t="shared" ref="J91" si="67">PV($I$20,B91-1,0,-H91)</f>
        <v>917.36042754512039</v>
      </c>
      <c r="K91" s="122"/>
    </row>
    <row r="92" spans="2:11" ht="15" thickBot="1" x14ac:dyDescent="0.35">
      <c r="B92" s="41"/>
      <c r="C92" s="35"/>
      <c r="D92" s="121"/>
      <c r="E92" s="121"/>
      <c r="F92" s="121"/>
      <c r="G92" s="121"/>
      <c r="H92" s="121"/>
      <c r="I92" s="121"/>
      <c r="J92" s="121"/>
      <c r="K92" s="123"/>
    </row>
    <row r="93" spans="2:11" ht="15" thickBot="1" x14ac:dyDescent="0.35">
      <c r="B93" s="41">
        <v>20</v>
      </c>
      <c r="C93" s="35"/>
      <c r="D93" s="121">
        <f t="shared" ref="D93" si="68">D91*(1+$I$30)</f>
        <v>134.57509221508116</v>
      </c>
      <c r="E93" s="121"/>
      <c r="F93" s="121">
        <f t="shared" ref="F93" si="69">F91*(1+$I$30)</f>
        <v>269.15018443016231</v>
      </c>
      <c r="G93" s="121"/>
      <c r="H93" s="120">
        <f t="shared" ref="H93" si="70">(PV($I$22,12,-D93))+(PV($I$26,2,-F93))</f>
        <v>2096.8800112216782</v>
      </c>
      <c r="I93" s="120"/>
      <c r="J93" s="120">
        <f t="shared" ref="J93" si="71">PV($I$20,B93-1,0,-H93)</f>
        <v>908.58185886047818</v>
      </c>
      <c r="K93" s="122"/>
    </row>
    <row r="94" spans="2:11" ht="15" thickBot="1" x14ac:dyDescent="0.35">
      <c r="B94" s="41"/>
      <c r="C94" s="35"/>
      <c r="D94" s="121"/>
      <c r="E94" s="121"/>
      <c r="F94" s="121"/>
      <c r="G94" s="121"/>
      <c r="H94" s="121"/>
      <c r="I94" s="121"/>
      <c r="J94" s="121"/>
      <c r="K94" s="123"/>
    </row>
    <row r="95" spans="2:11" ht="15" thickBot="1" x14ac:dyDescent="0.35">
      <c r="B95" s="41">
        <v>21</v>
      </c>
      <c r="C95" s="35"/>
      <c r="D95" s="121">
        <f t="shared" ref="D95" si="72">D93*(1+$I$30)</f>
        <v>139.28522044260899</v>
      </c>
      <c r="E95" s="121"/>
      <c r="F95" s="121">
        <f t="shared" ref="F95" si="73">F93*(1+$I$30)</f>
        <v>278.57044088521798</v>
      </c>
      <c r="G95" s="121"/>
      <c r="H95" s="120">
        <f t="shared" ref="H95" si="74">(PV($I$22,12,-D95))+(PV($I$26,2,-F95))</f>
        <v>2170.2708116144368</v>
      </c>
      <c r="I95" s="120"/>
      <c r="J95" s="120">
        <f t="shared" ref="J95" si="75">PV($I$20,B95-1,0,-H95)</f>
        <v>899.88729561779428</v>
      </c>
      <c r="K95" s="122"/>
    </row>
    <row r="96" spans="2:11" ht="15" thickBot="1" x14ac:dyDescent="0.35">
      <c r="B96" s="41"/>
      <c r="C96" s="35"/>
      <c r="D96" s="121"/>
      <c r="E96" s="121"/>
      <c r="F96" s="121"/>
      <c r="G96" s="121"/>
      <c r="H96" s="121"/>
      <c r="I96" s="121"/>
      <c r="J96" s="121"/>
      <c r="K96" s="123"/>
    </row>
    <row r="97" spans="2:15" ht="15" thickBot="1" x14ac:dyDescent="0.35">
      <c r="B97" s="41">
        <v>22</v>
      </c>
      <c r="C97" s="35"/>
      <c r="D97" s="121">
        <f t="shared" ref="D97" si="76">D95*(1+$I$30)</f>
        <v>144.1602031581003</v>
      </c>
      <c r="E97" s="121"/>
      <c r="F97" s="121">
        <f t="shared" ref="F97" si="77">F95*(1+$I$30)</f>
        <v>288.3204063162006</v>
      </c>
      <c r="G97" s="121"/>
      <c r="H97" s="120">
        <f t="shared" ref="H97" si="78">(PV($I$22,12,-D97))+(PV($I$26,2,-F97))</f>
        <v>2246.230290020942</v>
      </c>
      <c r="I97" s="120"/>
      <c r="J97" s="120">
        <f t="shared" ref="J97" si="79">PV($I$20,B97-1,0,-H97)</f>
        <v>891.27593393724112</v>
      </c>
      <c r="K97" s="122"/>
    </row>
    <row r="98" spans="2:15" ht="15" thickBot="1" x14ac:dyDescent="0.35">
      <c r="B98" s="41"/>
      <c r="C98" s="35"/>
      <c r="D98" s="121"/>
      <c r="E98" s="121"/>
      <c r="F98" s="121"/>
      <c r="G98" s="121"/>
      <c r="H98" s="121"/>
      <c r="I98" s="121"/>
      <c r="J98" s="121"/>
      <c r="K98" s="123"/>
    </row>
    <row r="99" spans="2:15" ht="15" thickBot="1" x14ac:dyDescent="0.35">
      <c r="B99" s="41">
        <v>23</v>
      </c>
      <c r="C99" s="35"/>
      <c r="D99" s="121">
        <f t="shared" ref="D99" si="80">D97*(1+$I$30)</f>
        <v>149.2058102686338</v>
      </c>
      <c r="E99" s="121"/>
      <c r="F99" s="121">
        <f t="shared" ref="F99" si="81">F97*(1+$I$30)</f>
        <v>298.41162053726759</v>
      </c>
      <c r="G99" s="121"/>
      <c r="H99" s="120">
        <f t="shared" ref="H99" si="82">(PV($I$22,12,-D99))+(PV($I$26,2,-F99))</f>
        <v>2324.8483501716746</v>
      </c>
      <c r="I99" s="120"/>
      <c r="J99" s="120">
        <f t="shared" ref="J99" si="83">PV($I$20,B99-1,0,-H99)</f>
        <v>882.7469776316218</v>
      </c>
      <c r="K99" s="122"/>
    </row>
    <row r="100" spans="2:15" ht="15" thickBot="1" x14ac:dyDescent="0.35">
      <c r="B100" s="41"/>
      <c r="C100" s="35"/>
      <c r="D100" s="121"/>
      <c r="E100" s="121"/>
      <c r="F100" s="121"/>
      <c r="G100" s="121"/>
      <c r="H100" s="121"/>
      <c r="I100" s="121"/>
      <c r="J100" s="121"/>
      <c r="K100" s="123"/>
    </row>
    <row r="101" spans="2:15" ht="15" thickBot="1" x14ac:dyDescent="0.35">
      <c r="B101" s="41">
        <v>24</v>
      </c>
      <c r="C101" s="35"/>
      <c r="D101" s="121">
        <f t="shared" ref="D101" si="84">D99*(1+$I$30)</f>
        <v>154.42801362803596</v>
      </c>
      <c r="E101" s="121"/>
      <c r="F101" s="121">
        <f t="shared" ref="F101" si="85">F99*(1+$I$30)</f>
        <v>308.85602725607191</v>
      </c>
      <c r="G101" s="121"/>
      <c r="H101" s="120">
        <f t="shared" ref="H101" si="86">(PV($I$22,12,-D101))+(PV($I$26,2,-F101))</f>
        <v>2406.218042427683</v>
      </c>
      <c r="I101" s="120"/>
      <c r="J101" s="120">
        <f t="shared" ref="J101" si="87">PV($I$20,B101-1,0,-H101)</f>
        <v>874.29963813275447</v>
      </c>
      <c r="K101" s="122"/>
    </row>
    <row r="102" spans="2:15" ht="15" thickBot="1" x14ac:dyDescent="0.35">
      <c r="B102" s="41"/>
      <c r="C102" s="35"/>
      <c r="D102" s="121"/>
      <c r="E102" s="121"/>
      <c r="F102" s="121"/>
      <c r="G102" s="121"/>
      <c r="H102" s="121"/>
      <c r="I102" s="121"/>
      <c r="J102" s="121"/>
      <c r="K102" s="123"/>
    </row>
    <row r="103" spans="2:15" ht="15" thickBot="1" x14ac:dyDescent="0.35">
      <c r="B103" s="41">
        <v>25</v>
      </c>
      <c r="C103" s="35"/>
      <c r="D103" s="121">
        <f t="shared" ref="D103" si="88">D101*(1+$I$30)</f>
        <v>159.83299410501721</v>
      </c>
      <c r="E103" s="121"/>
      <c r="F103" s="121">
        <f t="shared" ref="F103" si="89">F101*(1+$I$30)</f>
        <v>319.66598821003441</v>
      </c>
      <c r="G103" s="121"/>
      <c r="H103" s="120">
        <f t="shared" ref="H103" si="90">(PV($I$22,12,-D103))+(PV($I$26,2,-F103))</f>
        <v>2490.4356739126515</v>
      </c>
      <c r="I103" s="120"/>
      <c r="J103" s="120">
        <f t="shared" ref="J103" si="91">PV($I$20,B103-1,0,-H103)</f>
        <v>865.93313441856549</v>
      </c>
      <c r="K103" s="122"/>
    </row>
    <row r="104" spans="2:15" ht="15" thickBot="1" x14ac:dyDescent="0.35">
      <c r="B104" s="41"/>
      <c r="C104" s="35"/>
      <c r="D104" s="121"/>
      <c r="E104" s="121"/>
      <c r="F104" s="121"/>
      <c r="G104" s="121"/>
      <c r="H104" s="121"/>
      <c r="I104" s="121"/>
      <c r="J104" s="121"/>
      <c r="K104" s="123"/>
    </row>
    <row r="105" spans="2:15" ht="15" thickBot="1" x14ac:dyDescent="0.35">
      <c r="B105" s="41">
        <v>26</v>
      </c>
      <c r="C105" s="35"/>
      <c r="D105" s="121">
        <f t="shared" ref="D105" si="92">D103*(1+$I$30)</f>
        <v>165.42714889869279</v>
      </c>
      <c r="E105" s="121"/>
      <c r="F105" s="121">
        <f t="shared" ref="F105" si="93">F103*(1+$I$30)</f>
        <v>330.85429779738558</v>
      </c>
      <c r="G105" s="121"/>
      <c r="H105" s="120">
        <f t="shared" ref="H105" si="94">(PV($I$22,12,-D105))+(PV($I$26,2,-F105))</f>
        <v>2577.6009224995942</v>
      </c>
      <c r="I105" s="120"/>
      <c r="J105" s="120">
        <f t="shared" ref="J105" si="95">PV($I$20,B105-1,0,-H105)</f>
        <v>857.64669294087582</v>
      </c>
      <c r="K105" s="122"/>
    </row>
    <row r="106" spans="2:15" ht="15" thickBot="1" x14ac:dyDescent="0.35">
      <c r="B106" s="42"/>
      <c r="C106" s="43"/>
      <c r="D106" s="121"/>
      <c r="E106" s="121"/>
      <c r="F106" s="121"/>
      <c r="G106" s="121"/>
      <c r="H106" s="121"/>
      <c r="I106" s="121"/>
      <c r="J106" s="121"/>
      <c r="K106" s="123"/>
    </row>
    <row r="107" spans="2:15" ht="15.6" thickTop="1" thickBot="1" x14ac:dyDescent="0.35">
      <c r="B107" s="125" t="s">
        <v>76</v>
      </c>
      <c r="C107" s="126"/>
      <c r="D107" s="126"/>
      <c r="E107" s="126"/>
      <c r="F107" s="126"/>
      <c r="G107" s="126"/>
      <c r="H107" s="126"/>
      <c r="I107" s="127"/>
      <c r="J107" s="124">
        <f>SUM(J55:K106)</f>
        <v>25212.142584672951</v>
      </c>
      <c r="K107" s="36"/>
    </row>
    <row r="108" spans="2:15" ht="15" thickBot="1" x14ac:dyDescent="0.35">
      <c r="B108" s="128"/>
      <c r="C108" s="129"/>
      <c r="D108" s="129"/>
      <c r="E108" s="129"/>
      <c r="F108" s="129"/>
      <c r="G108" s="129"/>
      <c r="H108" s="129"/>
      <c r="I108" s="130"/>
      <c r="J108" s="43"/>
      <c r="K108" s="44"/>
    </row>
    <row r="109" spans="2:15" ht="15" thickTop="1" x14ac:dyDescent="0.3"/>
    <row r="110" spans="2:15" ht="15" thickBot="1" x14ac:dyDescent="0.35"/>
    <row r="111" spans="2:15" ht="15" thickTop="1" x14ac:dyDescent="0.3">
      <c r="B111" s="4" t="s">
        <v>77</v>
      </c>
      <c r="C111" s="5"/>
      <c r="D111" s="5"/>
      <c r="E111" s="5"/>
      <c r="F111" s="5"/>
      <c r="G111" s="5"/>
      <c r="H111" s="5"/>
      <c r="I111" s="5"/>
      <c r="J111" s="5"/>
      <c r="K111" s="5"/>
      <c r="L111" s="5"/>
      <c r="M111" s="5"/>
      <c r="N111" s="5"/>
      <c r="O111" s="6"/>
    </row>
    <row r="112" spans="2:15" ht="15" thickBot="1" x14ac:dyDescent="0.35">
      <c r="B112" s="7"/>
      <c r="C112" s="8"/>
      <c r="D112" s="8"/>
      <c r="E112" s="8"/>
      <c r="F112" s="8"/>
      <c r="G112" s="8"/>
      <c r="H112" s="8"/>
      <c r="I112" s="8"/>
      <c r="J112" s="8"/>
      <c r="K112" s="8"/>
      <c r="L112" s="8"/>
      <c r="M112" s="8"/>
      <c r="N112" s="8"/>
      <c r="O112" s="9"/>
    </row>
    <row r="113" spans="2:15" ht="15" thickTop="1" x14ac:dyDescent="0.3"/>
    <row r="114" spans="2:15" ht="15" thickBot="1" x14ac:dyDescent="0.35"/>
    <row r="115" spans="2:15" ht="15" thickTop="1" x14ac:dyDescent="0.3">
      <c r="B115" s="4" t="s">
        <v>128</v>
      </c>
      <c r="C115" s="5"/>
      <c r="D115" s="5"/>
      <c r="E115" s="5"/>
      <c r="F115" s="5"/>
      <c r="G115" s="5"/>
      <c r="H115" s="5"/>
      <c r="I115" s="5"/>
      <c r="J115" s="5"/>
      <c r="K115" s="5"/>
      <c r="L115" s="5"/>
      <c r="M115" s="5"/>
      <c r="N115" s="5"/>
      <c r="O115" s="6"/>
    </row>
    <row r="116" spans="2:15" ht="15" thickBot="1" x14ac:dyDescent="0.35">
      <c r="B116" s="7"/>
      <c r="C116" s="8"/>
      <c r="D116" s="8"/>
      <c r="E116" s="8"/>
      <c r="F116" s="8"/>
      <c r="G116" s="8"/>
      <c r="H116" s="8"/>
      <c r="I116" s="8"/>
      <c r="J116" s="8"/>
      <c r="K116" s="8"/>
      <c r="L116" s="8"/>
      <c r="M116" s="8"/>
      <c r="N116" s="8"/>
      <c r="O116" s="9"/>
    </row>
    <row r="117" spans="2:15" ht="15" customHeight="1" thickTop="1" x14ac:dyDescent="0.3">
      <c r="B117" s="10" t="s">
        <v>131</v>
      </c>
      <c r="C117" s="11"/>
      <c r="D117" s="11"/>
      <c r="E117" s="11"/>
      <c r="F117" s="14" t="s">
        <v>133</v>
      </c>
      <c r="G117" s="14"/>
      <c r="H117" s="14"/>
      <c r="I117" s="14"/>
      <c r="J117" s="14"/>
      <c r="K117" s="14"/>
      <c r="L117" s="14"/>
      <c r="M117" s="14"/>
      <c r="N117" s="14"/>
      <c r="O117" s="15"/>
    </row>
    <row r="118" spans="2:15" ht="15" thickBot="1" x14ac:dyDescent="0.35">
      <c r="B118" s="12"/>
      <c r="C118" s="13"/>
      <c r="D118" s="13"/>
      <c r="E118" s="13"/>
      <c r="F118" s="16"/>
      <c r="G118" s="16"/>
      <c r="H118" s="16"/>
      <c r="I118" s="16"/>
      <c r="J118" s="16"/>
      <c r="K118" s="16"/>
      <c r="L118" s="16"/>
      <c r="M118" s="16"/>
      <c r="N118" s="16"/>
      <c r="O118" s="17"/>
    </row>
    <row r="119" spans="2:15" ht="15" thickTop="1" x14ac:dyDescent="0.3"/>
  </sheetData>
  <mergeCells count="171">
    <mergeCell ref="J107:K108"/>
    <mergeCell ref="B107:I108"/>
    <mergeCell ref="B111:O112"/>
    <mergeCell ref="B103:C104"/>
    <mergeCell ref="D103:E104"/>
    <mergeCell ref="F103:G104"/>
    <mergeCell ref="H103:I104"/>
    <mergeCell ref="J103:K104"/>
    <mergeCell ref="B105:C106"/>
    <mergeCell ref="D105:E106"/>
    <mergeCell ref="F105:G106"/>
    <mergeCell ref="H105:I106"/>
    <mergeCell ref="J105:K106"/>
    <mergeCell ref="B99:C100"/>
    <mergeCell ref="D99:E100"/>
    <mergeCell ref="F99:G100"/>
    <mergeCell ref="H99:I100"/>
    <mergeCell ref="J99:K100"/>
    <mergeCell ref="B101:C102"/>
    <mergeCell ref="D101:E102"/>
    <mergeCell ref="F101:G102"/>
    <mergeCell ref="H101:I102"/>
    <mergeCell ref="J101:K102"/>
    <mergeCell ref="B95:C96"/>
    <mergeCell ref="D95:E96"/>
    <mergeCell ref="F95:G96"/>
    <mergeCell ref="H95:I96"/>
    <mergeCell ref="J95:K96"/>
    <mergeCell ref="B97:C98"/>
    <mergeCell ref="D97:E98"/>
    <mergeCell ref="F97:G98"/>
    <mergeCell ref="H97:I98"/>
    <mergeCell ref="J97:K98"/>
    <mergeCell ref="B91:C92"/>
    <mergeCell ref="D91:E92"/>
    <mergeCell ref="F91:G92"/>
    <mergeCell ref="H91:I92"/>
    <mergeCell ref="J91:K92"/>
    <mergeCell ref="B93:C94"/>
    <mergeCell ref="D93:E94"/>
    <mergeCell ref="F93:G94"/>
    <mergeCell ref="H93:I94"/>
    <mergeCell ref="J93:K94"/>
    <mergeCell ref="B87:C88"/>
    <mergeCell ref="D87:E88"/>
    <mergeCell ref="F87:G88"/>
    <mergeCell ref="H87:I88"/>
    <mergeCell ref="J87:K88"/>
    <mergeCell ref="B89:C90"/>
    <mergeCell ref="D89:E90"/>
    <mergeCell ref="F89:G90"/>
    <mergeCell ref="H89:I90"/>
    <mergeCell ref="J89:K90"/>
    <mergeCell ref="B83:C84"/>
    <mergeCell ref="D83:E84"/>
    <mergeCell ref="F83:G84"/>
    <mergeCell ref="H83:I84"/>
    <mergeCell ref="J83:K84"/>
    <mergeCell ref="B85:C86"/>
    <mergeCell ref="D85:E86"/>
    <mergeCell ref="F85:G86"/>
    <mergeCell ref="H85:I86"/>
    <mergeCell ref="J85:K86"/>
    <mergeCell ref="B79:C80"/>
    <mergeCell ref="D79:E80"/>
    <mergeCell ref="F79:G80"/>
    <mergeCell ref="H79:I80"/>
    <mergeCell ref="J79:K80"/>
    <mergeCell ref="B81:C82"/>
    <mergeCell ref="D81:E82"/>
    <mergeCell ref="F81:G82"/>
    <mergeCell ref="H81:I82"/>
    <mergeCell ref="J81:K82"/>
    <mergeCell ref="B75:C76"/>
    <mergeCell ref="D75:E76"/>
    <mergeCell ref="F75:G76"/>
    <mergeCell ref="H75:I76"/>
    <mergeCell ref="J75:K76"/>
    <mergeCell ref="B77:C78"/>
    <mergeCell ref="D77:E78"/>
    <mergeCell ref="F77:G78"/>
    <mergeCell ref="H77:I78"/>
    <mergeCell ref="J77:K78"/>
    <mergeCell ref="B71:C72"/>
    <mergeCell ref="D71:E72"/>
    <mergeCell ref="F71:G72"/>
    <mergeCell ref="H71:I72"/>
    <mergeCell ref="J71:K72"/>
    <mergeCell ref="B73:C74"/>
    <mergeCell ref="D73:E74"/>
    <mergeCell ref="F73:G74"/>
    <mergeCell ref="H73:I74"/>
    <mergeCell ref="J73:K74"/>
    <mergeCell ref="B67:C68"/>
    <mergeCell ref="D67:E68"/>
    <mergeCell ref="F67:G68"/>
    <mergeCell ref="H67:I68"/>
    <mergeCell ref="J67:K68"/>
    <mergeCell ref="B69:C70"/>
    <mergeCell ref="D69:E70"/>
    <mergeCell ref="F69:G70"/>
    <mergeCell ref="H69:I70"/>
    <mergeCell ref="J69:K70"/>
    <mergeCell ref="B63:C64"/>
    <mergeCell ref="D63:E64"/>
    <mergeCell ref="F63:G64"/>
    <mergeCell ref="H63:I64"/>
    <mergeCell ref="J63:K64"/>
    <mergeCell ref="B65:C66"/>
    <mergeCell ref="D65:E66"/>
    <mergeCell ref="F65:G66"/>
    <mergeCell ref="H65:I66"/>
    <mergeCell ref="J65:K66"/>
    <mergeCell ref="B59:C60"/>
    <mergeCell ref="D59:E60"/>
    <mergeCell ref="F59:G60"/>
    <mergeCell ref="H59:I60"/>
    <mergeCell ref="J59:K60"/>
    <mergeCell ref="B61:C62"/>
    <mergeCell ref="D61:E62"/>
    <mergeCell ref="F61:G62"/>
    <mergeCell ref="H61:I62"/>
    <mergeCell ref="J61:K62"/>
    <mergeCell ref="D55:E56"/>
    <mergeCell ref="F55:G56"/>
    <mergeCell ref="H55:I56"/>
    <mergeCell ref="J55:K56"/>
    <mergeCell ref="B57:C58"/>
    <mergeCell ref="D57:E58"/>
    <mergeCell ref="F57:G58"/>
    <mergeCell ref="H57:I58"/>
    <mergeCell ref="J57:K58"/>
    <mergeCell ref="B1:N2"/>
    <mergeCell ref="B18:C19"/>
    <mergeCell ref="D18:E19"/>
    <mergeCell ref="G22:H23"/>
    <mergeCell ref="I22:J23"/>
    <mergeCell ref="G26:H27"/>
    <mergeCell ref="I26:J27"/>
    <mergeCell ref="G28:H29"/>
    <mergeCell ref="I28:J29"/>
    <mergeCell ref="G20:H21"/>
    <mergeCell ref="I20:J21"/>
    <mergeCell ref="G24:H25"/>
    <mergeCell ref="I24:J25"/>
    <mergeCell ref="B20:C21"/>
    <mergeCell ref="D20:E21"/>
    <mergeCell ref="B115:O116"/>
    <mergeCell ref="F117:O118"/>
    <mergeCell ref="B117:E118"/>
    <mergeCell ref="B16:E17"/>
    <mergeCell ref="B3:N13"/>
    <mergeCell ref="G16:H17"/>
    <mergeCell ref="I16:J17"/>
    <mergeCell ref="G18:H19"/>
    <mergeCell ref="I18:J19"/>
    <mergeCell ref="B50:N51"/>
    <mergeCell ref="G30:H31"/>
    <mergeCell ref="I30:J31"/>
    <mergeCell ref="B52:C54"/>
    <mergeCell ref="D52:E54"/>
    <mergeCell ref="F52:G54"/>
    <mergeCell ref="H52:I54"/>
    <mergeCell ref="J52:K54"/>
    <mergeCell ref="B43:C47"/>
    <mergeCell ref="D43:E47"/>
    <mergeCell ref="B34:N35"/>
    <mergeCell ref="B36:C38"/>
    <mergeCell ref="D36:E38"/>
    <mergeCell ref="B41:N42"/>
    <mergeCell ref="B55:C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95B5-4C5E-4AD9-BA92-6B4324851D96}">
  <dimension ref="B1:AA638"/>
  <sheetViews>
    <sheetView workbookViewId="0">
      <selection activeCell="R66" sqref="R66"/>
    </sheetView>
  </sheetViews>
  <sheetFormatPr baseColWidth="10" defaultRowHeight="14.4" x14ac:dyDescent="0.3"/>
  <sheetData>
    <row r="1" spans="2:14" ht="15.6" thickTop="1" thickBot="1" x14ac:dyDescent="0.35">
      <c r="B1" s="18" t="s">
        <v>18</v>
      </c>
      <c r="C1" s="19"/>
      <c r="D1" s="19"/>
      <c r="E1" s="19"/>
      <c r="F1" s="19"/>
      <c r="G1" s="19"/>
      <c r="H1" s="19"/>
      <c r="I1" s="19"/>
      <c r="J1" s="19"/>
      <c r="K1" s="19"/>
      <c r="L1" s="19"/>
      <c r="M1" s="19"/>
      <c r="N1" s="20"/>
    </row>
    <row r="2" spans="2:14" ht="15" thickBot="1" x14ac:dyDescent="0.35">
      <c r="B2" s="21"/>
      <c r="C2" s="22"/>
      <c r="D2" s="22"/>
      <c r="E2" s="22"/>
      <c r="F2" s="22"/>
      <c r="G2" s="22"/>
      <c r="H2" s="22"/>
      <c r="I2" s="22"/>
      <c r="J2" s="22"/>
      <c r="K2" s="22"/>
      <c r="L2" s="22"/>
      <c r="M2" s="22"/>
      <c r="N2" s="23"/>
    </row>
    <row r="3" spans="2:14" x14ac:dyDescent="0.3">
      <c r="B3" s="99" t="s">
        <v>15</v>
      </c>
      <c r="C3" s="100"/>
      <c r="D3" s="100"/>
      <c r="E3" s="100"/>
      <c r="F3" s="100"/>
      <c r="G3" s="100"/>
      <c r="H3" s="100"/>
      <c r="I3" s="100"/>
      <c r="J3" s="100"/>
      <c r="K3" s="100"/>
      <c r="L3" s="100"/>
      <c r="M3" s="100"/>
      <c r="N3" s="101"/>
    </row>
    <row r="4" spans="2:14" x14ac:dyDescent="0.3">
      <c r="B4" s="102"/>
      <c r="C4" s="103"/>
      <c r="D4" s="103"/>
      <c r="E4" s="103"/>
      <c r="F4" s="103"/>
      <c r="G4" s="103"/>
      <c r="H4" s="103"/>
      <c r="I4" s="103"/>
      <c r="J4" s="103"/>
      <c r="K4" s="103"/>
      <c r="L4" s="103"/>
      <c r="M4" s="103"/>
      <c r="N4" s="104"/>
    </row>
    <row r="5" spans="2:14" x14ac:dyDescent="0.3">
      <c r="B5" s="102"/>
      <c r="C5" s="103"/>
      <c r="D5" s="103"/>
      <c r="E5" s="103"/>
      <c r="F5" s="103"/>
      <c r="G5" s="103"/>
      <c r="H5" s="103"/>
      <c r="I5" s="103"/>
      <c r="J5" s="103"/>
      <c r="K5" s="103"/>
      <c r="L5" s="103"/>
      <c r="M5" s="103"/>
      <c r="N5" s="104"/>
    </row>
    <row r="6" spans="2:14" x14ac:dyDescent="0.3">
      <c r="B6" s="102"/>
      <c r="C6" s="103"/>
      <c r="D6" s="103"/>
      <c r="E6" s="103"/>
      <c r="F6" s="103"/>
      <c r="G6" s="103"/>
      <c r="H6" s="103"/>
      <c r="I6" s="103"/>
      <c r="J6" s="103"/>
      <c r="K6" s="103"/>
      <c r="L6" s="103"/>
      <c r="M6" s="103"/>
      <c r="N6" s="104"/>
    </row>
    <row r="7" spans="2:14" x14ac:dyDescent="0.3">
      <c r="B7" s="102"/>
      <c r="C7" s="103"/>
      <c r="D7" s="103"/>
      <c r="E7" s="103"/>
      <c r="F7" s="103"/>
      <c r="G7" s="103"/>
      <c r="H7" s="103"/>
      <c r="I7" s="103"/>
      <c r="J7" s="103"/>
      <c r="K7" s="103"/>
      <c r="L7" s="103"/>
      <c r="M7" s="103"/>
      <c r="N7" s="104"/>
    </row>
    <row r="8" spans="2:14" x14ac:dyDescent="0.3">
      <c r="B8" s="102"/>
      <c r="C8" s="103"/>
      <c r="D8" s="103"/>
      <c r="E8" s="103"/>
      <c r="F8" s="103"/>
      <c r="G8" s="103"/>
      <c r="H8" s="103"/>
      <c r="I8" s="103"/>
      <c r="J8" s="103"/>
      <c r="K8" s="103"/>
      <c r="L8" s="103"/>
      <c r="M8" s="103"/>
      <c r="N8" s="104"/>
    </row>
    <row r="9" spans="2:14" x14ac:dyDescent="0.3">
      <c r="B9" s="102"/>
      <c r="C9" s="103"/>
      <c r="D9" s="103"/>
      <c r="E9" s="103"/>
      <c r="F9" s="103"/>
      <c r="G9" s="103"/>
      <c r="H9" s="103"/>
      <c r="I9" s="103"/>
      <c r="J9" s="103"/>
      <c r="K9" s="103"/>
      <c r="L9" s="103"/>
      <c r="M9" s="103"/>
      <c r="N9" s="104"/>
    </row>
    <row r="10" spans="2:14" x14ac:dyDescent="0.3">
      <c r="B10" s="102"/>
      <c r="C10" s="103"/>
      <c r="D10" s="103"/>
      <c r="E10" s="103"/>
      <c r="F10" s="103"/>
      <c r="G10" s="103"/>
      <c r="H10" s="103"/>
      <c r="I10" s="103"/>
      <c r="J10" s="103"/>
      <c r="K10" s="103"/>
      <c r="L10" s="103"/>
      <c r="M10" s="103"/>
      <c r="N10" s="104"/>
    </row>
    <row r="11" spans="2:14" x14ac:dyDescent="0.3">
      <c r="B11" s="102"/>
      <c r="C11" s="103"/>
      <c r="D11" s="103"/>
      <c r="E11" s="103"/>
      <c r="F11" s="103"/>
      <c r="G11" s="103"/>
      <c r="H11" s="103"/>
      <c r="I11" s="103"/>
      <c r="J11" s="103"/>
      <c r="K11" s="103"/>
      <c r="L11" s="103"/>
      <c r="M11" s="103"/>
      <c r="N11" s="104"/>
    </row>
    <row r="12" spans="2:14" x14ac:dyDescent="0.3">
      <c r="B12" s="102"/>
      <c r="C12" s="103"/>
      <c r="D12" s="103"/>
      <c r="E12" s="103"/>
      <c r="F12" s="103"/>
      <c r="G12" s="103"/>
      <c r="H12" s="103"/>
      <c r="I12" s="103"/>
      <c r="J12" s="103"/>
      <c r="K12" s="103"/>
      <c r="L12" s="103"/>
      <c r="M12" s="103"/>
      <c r="N12" s="104"/>
    </row>
    <row r="13" spans="2:14" ht="15" thickBot="1" x14ac:dyDescent="0.35">
      <c r="B13" s="105"/>
      <c r="C13" s="106"/>
      <c r="D13" s="106"/>
      <c r="E13" s="106"/>
      <c r="F13" s="106"/>
      <c r="G13" s="106"/>
      <c r="H13" s="106"/>
      <c r="I13" s="106"/>
      <c r="J13" s="106"/>
      <c r="K13" s="106"/>
      <c r="L13" s="106"/>
      <c r="M13" s="106"/>
      <c r="N13" s="107"/>
    </row>
    <row r="14" spans="2:14" ht="15" thickTop="1" x14ac:dyDescent="0.3"/>
    <row r="15" spans="2:14" ht="15" thickBot="1" x14ac:dyDescent="0.35"/>
    <row r="16" spans="2:14" ht="15.6" thickTop="1" thickBot="1" x14ac:dyDescent="0.35">
      <c r="B16" s="4" t="s">
        <v>1</v>
      </c>
      <c r="C16" s="6"/>
      <c r="E16" s="30" t="s">
        <v>78</v>
      </c>
      <c r="F16" s="31"/>
      <c r="G16" s="108">
        <v>25</v>
      </c>
      <c r="H16" s="109"/>
    </row>
    <row r="17" spans="2:17" ht="15" thickBot="1" x14ac:dyDescent="0.35">
      <c r="B17" s="7"/>
      <c r="C17" s="9"/>
      <c r="E17" s="32"/>
      <c r="F17" s="33"/>
      <c r="G17" s="54"/>
      <c r="H17" s="55"/>
    </row>
    <row r="18" spans="2:17" ht="15.6" thickTop="1" thickBot="1" x14ac:dyDescent="0.35">
      <c r="B18" s="30" t="s">
        <v>16</v>
      </c>
      <c r="C18" s="31"/>
      <c r="E18" s="32" t="s">
        <v>79</v>
      </c>
      <c r="F18" s="33"/>
      <c r="G18" s="54">
        <f>G16*12</f>
        <v>300</v>
      </c>
      <c r="H18" s="55"/>
    </row>
    <row r="19" spans="2:17" ht="15" thickBot="1" x14ac:dyDescent="0.35">
      <c r="B19" s="32"/>
      <c r="C19" s="33"/>
      <c r="E19" s="32"/>
      <c r="F19" s="33"/>
      <c r="G19" s="54"/>
      <c r="H19" s="55"/>
    </row>
    <row r="20" spans="2:17" ht="15" thickBot="1" x14ac:dyDescent="0.35">
      <c r="B20" s="41">
        <v>3100</v>
      </c>
      <c r="C20" s="35"/>
      <c r="E20" s="32" t="s">
        <v>81</v>
      </c>
      <c r="F20" s="33"/>
      <c r="G20" s="52">
        <v>0.01</v>
      </c>
      <c r="H20" s="37"/>
    </row>
    <row r="21" spans="2:17" ht="15" thickBot="1" x14ac:dyDescent="0.35">
      <c r="B21" s="42"/>
      <c r="C21" s="43"/>
      <c r="E21" s="32"/>
      <c r="F21" s="33"/>
      <c r="G21" s="35"/>
      <c r="H21" s="37"/>
    </row>
    <row r="22" spans="2:17" ht="15.6" thickTop="1" thickBot="1" x14ac:dyDescent="0.35">
      <c r="E22" s="32" t="s">
        <v>80</v>
      </c>
      <c r="F22" s="33"/>
      <c r="G22" s="52">
        <f>G20+0.013</f>
        <v>2.3E-2</v>
      </c>
      <c r="H22" s="37"/>
    </row>
    <row r="23" spans="2:17" ht="15" thickBot="1" x14ac:dyDescent="0.35">
      <c r="E23" s="32"/>
      <c r="F23" s="33"/>
      <c r="G23" s="35"/>
      <c r="H23" s="37"/>
    </row>
    <row r="24" spans="2:17" ht="15" customHeight="1" thickBot="1" x14ac:dyDescent="0.35">
      <c r="E24" s="32" t="s">
        <v>82</v>
      </c>
      <c r="F24" s="33"/>
      <c r="G24" s="52">
        <v>2.4E-2</v>
      </c>
      <c r="H24" s="37"/>
    </row>
    <row r="25" spans="2:17" ht="15" thickBot="1" x14ac:dyDescent="0.35">
      <c r="E25" s="46"/>
      <c r="F25" s="47"/>
      <c r="G25" s="43"/>
      <c r="H25" s="44"/>
    </row>
    <row r="26" spans="2:17" ht="15" thickTop="1" x14ac:dyDescent="0.3"/>
    <row r="27" spans="2:17" ht="15" thickBot="1" x14ac:dyDescent="0.35"/>
    <row r="28" spans="2:17" ht="15" thickTop="1" x14ac:dyDescent="0.3">
      <c r="B28" s="4" t="s">
        <v>83</v>
      </c>
      <c r="C28" s="5"/>
      <c r="D28" s="5"/>
      <c r="E28" s="5"/>
      <c r="F28" s="5"/>
      <c r="G28" s="5"/>
      <c r="H28" s="5"/>
      <c r="I28" s="5"/>
      <c r="J28" s="5"/>
      <c r="K28" s="5"/>
      <c r="L28" s="5"/>
      <c r="M28" s="5"/>
      <c r="N28" s="5"/>
      <c r="O28" s="5"/>
      <c r="P28" s="5"/>
      <c r="Q28" s="6"/>
    </row>
    <row r="29" spans="2:17" ht="15" thickBot="1" x14ac:dyDescent="0.35">
      <c r="B29" s="7"/>
      <c r="C29" s="8"/>
      <c r="D29" s="8"/>
      <c r="E29" s="8"/>
      <c r="F29" s="8"/>
      <c r="G29" s="8"/>
      <c r="H29" s="8"/>
      <c r="I29" s="8"/>
      <c r="J29" s="8"/>
      <c r="K29" s="8"/>
      <c r="L29" s="8"/>
      <c r="M29" s="8"/>
      <c r="N29" s="8"/>
      <c r="O29" s="8"/>
      <c r="P29" s="8"/>
      <c r="Q29" s="9"/>
    </row>
    <row r="30" spans="2:17" ht="15.6" thickTop="1" thickBot="1" x14ac:dyDescent="0.35">
      <c r="B30" s="137" t="s">
        <v>84</v>
      </c>
      <c r="C30" s="138"/>
      <c r="D30" s="139">
        <f>PMT(G22/12,G18,-B20)</f>
        <v>13.596946499530036</v>
      </c>
      <c r="E30" s="140"/>
      <c r="H30" s="137" t="s">
        <v>89</v>
      </c>
      <c r="I30" s="138"/>
      <c r="J30" s="156">
        <f>EFFECT(G22,12)</f>
        <v>2.3244014073448005E-2</v>
      </c>
      <c r="K30" s="157"/>
      <c r="N30" s="4" t="s">
        <v>91</v>
      </c>
      <c r="O30" s="5"/>
      <c r="P30" s="5"/>
      <c r="Q30" s="6"/>
    </row>
    <row r="31" spans="2:17" ht="15" thickBot="1" x14ac:dyDescent="0.35">
      <c r="B31" s="46"/>
      <c r="C31" s="47"/>
      <c r="D31" s="141"/>
      <c r="E31" s="142"/>
      <c r="H31" s="46"/>
      <c r="I31" s="47"/>
      <c r="J31" s="158"/>
      <c r="K31" s="159"/>
      <c r="N31" s="7"/>
      <c r="O31" s="8"/>
      <c r="P31" s="8"/>
      <c r="Q31" s="9"/>
    </row>
    <row r="32" spans="2:17" ht="15.6" thickTop="1" thickBot="1" x14ac:dyDescent="0.35">
      <c r="N32" s="137" t="s">
        <v>90</v>
      </c>
      <c r="O32" s="138"/>
      <c r="P32" s="139">
        <f>B20*G24</f>
        <v>74.400000000000006</v>
      </c>
      <c r="Q32" s="140"/>
    </row>
    <row r="33" spans="2:17" ht="15.6" thickTop="1" thickBot="1" x14ac:dyDescent="0.35">
      <c r="B33" s="30" t="s">
        <v>113</v>
      </c>
      <c r="C33" s="31"/>
      <c r="D33" s="31" t="s">
        <v>85</v>
      </c>
      <c r="E33" s="31"/>
      <c r="F33" s="31" t="s">
        <v>86</v>
      </c>
      <c r="G33" s="31"/>
      <c r="H33" s="31" t="s">
        <v>87</v>
      </c>
      <c r="I33" s="31"/>
      <c r="J33" s="31" t="s">
        <v>88</v>
      </c>
      <c r="K33" s="49"/>
      <c r="N33" s="46"/>
      <c r="O33" s="47"/>
      <c r="P33" s="141"/>
      <c r="Q33" s="142"/>
    </row>
    <row r="34" spans="2:17" ht="15" thickBot="1" x14ac:dyDescent="0.35">
      <c r="B34" s="32"/>
      <c r="C34" s="33"/>
      <c r="D34" s="33"/>
      <c r="E34" s="33"/>
      <c r="F34" s="33"/>
      <c r="G34" s="33"/>
      <c r="H34" s="33"/>
      <c r="I34" s="33"/>
      <c r="J34" s="33"/>
      <c r="K34" s="110"/>
      <c r="N34" s="137" t="s">
        <v>92</v>
      </c>
      <c r="O34" s="138"/>
      <c r="P34" s="139">
        <f>B20-P32</f>
        <v>3025.6</v>
      </c>
      <c r="Q34" s="140"/>
    </row>
    <row r="35" spans="2:17" ht="15" thickBot="1" x14ac:dyDescent="0.35">
      <c r="B35" s="46"/>
      <c r="C35" s="47"/>
      <c r="D35" s="47"/>
      <c r="E35" s="47"/>
      <c r="F35" s="47"/>
      <c r="G35" s="47"/>
      <c r="H35" s="47"/>
      <c r="I35" s="47"/>
      <c r="J35" s="47"/>
      <c r="K35" s="50"/>
      <c r="N35" s="46"/>
      <c r="O35" s="47"/>
      <c r="P35" s="141"/>
      <c r="Q35" s="142"/>
    </row>
    <row r="36" spans="2:17" ht="15.6" thickTop="1" thickBot="1" x14ac:dyDescent="0.35">
      <c r="B36" s="117">
        <v>0</v>
      </c>
      <c r="C36" s="118"/>
      <c r="D36" s="120"/>
      <c r="E36" s="120"/>
      <c r="F36" s="120"/>
      <c r="G36" s="120"/>
      <c r="H36" s="120"/>
      <c r="I36" s="120"/>
      <c r="J36" s="120">
        <f>B20</f>
        <v>3100</v>
      </c>
      <c r="K36" s="122"/>
      <c r="N36" s="137" t="s">
        <v>93</v>
      </c>
      <c r="O36" s="138"/>
      <c r="P36" s="156">
        <f>(RATE(G18,-D30,P34))*12</f>
        <v>2.5154794088390678E-2</v>
      </c>
      <c r="Q36" s="157"/>
    </row>
    <row r="37" spans="2:17" ht="15" thickBot="1" x14ac:dyDescent="0.35">
      <c r="B37" s="41"/>
      <c r="C37" s="35"/>
      <c r="D37" s="121"/>
      <c r="E37" s="121"/>
      <c r="F37" s="121"/>
      <c r="G37" s="121"/>
      <c r="H37" s="121"/>
      <c r="I37" s="121"/>
      <c r="J37" s="121"/>
      <c r="K37" s="123"/>
      <c r="N37" s="46"/>
      <c r="O37" s="47"/>
      <c r="P37" s="158"/>
      <c r="Q37" s="159"/>
    </row>
    <row r="38" spans="2:17" ht="15" thickBot="1" x14ac:dyDescent="0.35">
      <c r="B38" s="117">
        <v>1</v>
      </c>
      <c r="C38" s="118"/>
      <c r="D38" s="120">
        <f>$D$30</f>
        <v>13.596946499530036</v>
      </c>
      <c r="E38" s="120"/>
      <c r="F38" s="120">
        <f>($G$22/12)*J36</f>
        <v>5.9416666666666664</v>
      </c>
      <c r="G38" s="120"/>
      <c r="H38" s="120">
        <f>D38-F38</f>
        <v>7.6552798328633695</v>
      </c>
      <c r="I38" s="120"/>
      <c r="J38" s="120">
        <f>J36-H38</f>
        <v>3092.3447201671365</v>
      </c>
      <c r="K38" s="122"/>
    </row>
    <row r="39" spans="2:17" ht="15" thickBot="1" x14ac:dyDescent="0.35">
      <c r="B39" s="41"/>
      <c r="C39" s="35"/>
      <c r="D39" s="121"/>
      <c r="E39" s="121"/>
      <c r="F39" s="121"/>
      <c r="G39" s="121"/>
      <c r="H39" s="121"/>
      <c r="I39" s="121"/>
      <c r="J39" s="121"/>
      <c r="K39" s="123"/>
    </row>
    <row r="40" spans="2:17" ht="15.6" thickTop="1" thickBot="1" x14ac:dyDescent="0.35">
      <c r="B40" s="117">
        <v>2</v>
      </c>
      <c r="C40" s="118"/>
      <c r="D40" s="120">
        <f t="shared" ref="D40" si="0">$D$30</f>
        <v>13.596946499530036</v>
      </c>
      <c r="E40" s="120"/>
      <c r="F40" s="120">
        <f t="shared" ref="F40" si="1">($G$22/12)*J38</f>
        <v>5.9269940469870113</v>
      </c>
      <c r="G40" s="120"/>
      <c r="H40" s="120">
        <f t="shared" ref="H40" si="2">D40-F40</f>
        <v>7.6699524525430247</v>
      </c>
      <c r="I40" s="120"/>
      <c r="J40" s="120">
        <f t="shared" ref="J40" si="3">J38-H40</f>
        <v>3084.6747677145936</v>
      </c>
      <c r="K40" s="122"/>
      <c r="N40" s="4" t="s">
        <v>97</v>
      </c>
      <c r="O40" s="5"/>
      <c r="P40" s="5"/>
      <c r="Q40" s="6"/>
    </row>
    <row r="41" spans="2:17" ht="15" thickBot="1" x14ac:dyDescent="0.35">
      <c r="B41" s="41"/>
      <c r="C41" s="35"/>
      <c r="D41" s="121"/>
      <c r="E41" s="121"/>
      <c r="F41" s="121"/>
      <c r="G41" s="121"/>
      <c r="H41" s="121"/>
      <c r="I41" s="121"/>
      <c r="J41" s="121"/>
      <c r="K41" s="123"/>
      <c r="N41" s="7"/>
      <c r="O41" s="8"/>
      <c r="P41" s="8"/>
      <c r="Q41" s="9"/>
    </row>
    <row r="42" spans="2:17" ht="15.6" thickTop="1" thickBot="1" x14ac:dyDescent="0.35">
      <c r="B42" s="117">
        <v>3</v>
      </c>
      <c r="C42" s="118"/>
      <c r="D42" s="120">
        <f t="shared" ref="D42" si="4">$D$30</f>
        <v>13.596946499530036</v>
      </c>
      <c r="E42" s="120"/>
      <c r="F42" s="120">
        <f t="shared" ref="F42" si="5">($G$22/12)*J40</f>
        <v>5.9122933047863038</v>
      </c>
      <c r="G42" s="120"/>
      <c r="H42" s="120">
        <f t="shared" ref="H42" si="6">D42-F42</f>
        <v>7.6846531947437322</v>
      </c>
      <c r="I42" s="120"/>
      <c r="J42" s="120">
        <f t="shared" ref="J42" si="7">J40-H42</f>
        <v>3076.9901145198501</v>
      </c>
      <c r="K42" s="122"/>
      <c r="N42" s="30" t="s">
        <v>94</v>
      </c>
      <c r="O42" s="31"/>
      <c r="P42" s="145">
        <f>D30*G18</f>
        <v>4079.0839498590108</v>
      </c>
      <c r="Q42" s="146"/>
    </row>
    <row r="43" spans="2:17" ht="15" thickBot="1" x14ac:dyDescent="0.35">
      <c r="B43" s="41"/>
      <c r="C43" s="35"/>
      <c r="D43" s="121"/>
      <c r="E43" s="121"/>
      <c r="F43" s="121"/>
      <c r="G43" s="121"/>
      <c r="H43" s="121"/>
      <c r="I43" s="121"/>
      <c r="J43" s="121"/>
      <c r="K43" s="123"/>
      <c r="N43" s="46"/>
      <c r="O43" s="47"/>
      <c r="P43" s="141"/>
      <c r="Q43" s="142"/>
    </row>
    <row r="44" spans="2:17" ht="15.6" thickTop="1" thickBot="1" x14ac:dyDescent="0.35">
      <c r="B44" s="117">
        <v>4</v>
      </c>
      <c r="C44" s="118"/>
      <c r="D44" s="120">
        <f t="shared" ref="D44" si="8">$D$30</f>
        <v>13.596946499530036</v>
      </c>
      <c r="E44" s="120"/>
      <c r="F44" s="120">
        <f t="shared" ref="F44" si="9">($G$22/12)*J42</f>
        <v>5.8975643861630456</v>
      </c>
      <c r="G44" s="120"/>
      <c r="H44" s="120">
        <f t="shared" ref="H44" si="10">D44-F44</f>
        <v>7.6993821133669904</v>
      </c>
      <c r="I44" s="120"/>
      <c r="J44" s="120">
        <f t="shared" ref="J44" si="11">J42-H44</f>
        <v>3069.2907324064831</v>
      </c>
      <c r="K44" s="122"/>
      <c r="N44" s="30" t="s">
        <v>95</v>
      </c>
      <c r="O44" s="31"/>
      <c r="P44" s="145">
        <f>P42-B20</f>
        <v>979.08394985901077</v>
      </c>
      <c r="Q44" s="146"/>
    </row>
    <row r="45" spans="2:17" ht="15" thickBot="1" x14ac:dyDescent="0.35">
      <c r="B45" s="41"/>
      <c r="C45" s="35"/>
      <c r="D45" s="121"/>
      <c r="E45" s="121"/>
      <c r="F45" s="121"/>
      <c r="G45" s="121"/>
      <c r="H45" s="121"/>
      <c r="I45" s="121"/>
      <c r="J45" s="121"/>
      <c r="K45" s="123"/>
      <c r="N45" s="46"/>
      <c r="O45" s="47"/>
      <c r="P45" s="141"/>
      <c r="Q45" s="142"/>
    </row>
    <row r="46" spans="2:17" ht="15" thickBot="1" x14ac:dyDescent="0.35">
      <c r="B46" s="117">
        <v>5</v>
      </c>
      <c r="C46" s="118"/>
      <c r="D46" s="120">
        <f t="shared" ref="D46" si="12">$D$30</f>
        <v>13.596946499530036</v>
      </c>
      <c r="E46" s="120"/>
      <c r="F46" s="120">
        <f t="shared" ref="F46" si="13">($G$22/12)*J44</f>
        <v>5.8828072371124254</v>
      </c>
      <c r="G46" s="120"/>
      <c r="H46" s="120">
        <f t="shared" ref="H46" si="14">D46-F46</f>
        <v>7.7141392624176106</v>
      </c>
      <c r="I46" s="120"/>
      <c r="J46" s="120">
        <f t="shared" ref="J46" si="15">J44-H46</f>
        <v>3061.5765931440656</v>
      </c>
      <c r="K46" s="122"/>
    </row>
    <row r="47" spans="2:17" ht="15" thickBot="1" x14ac:dyDescent="0.35">
      <c r="B47" s="41"/>
      <c r="C47" s="35"/>
      <c r="D47" s="121"/>
      <c r="E47" s="121"/>
      <c r="F47" s="121"/>
      <c r="G47" s="121"/>
      <c r="H47" s="121"/>
      <c r="I47" s="121"/>
      <c r="J47" s="121"/>
      <c r="K47" s="123"/>
    </row>
    <row r="48" spans="2:17" ht="15.6" thickTop="1" thickBot="1" x14ac:dyDescent="0.35">
      <c r="B48" s="117">
        <v>6</v>
      </c>
      <c r="C48" s="118"/>
      <c r="D48" s="120">
        <f t="shared" ref="D48" si="16">$D$30</f>
        <v>13.596946499530036</v>
      </c>
      <c r="E48" s="120"/>
      <c r="F48" s="120">
        <f t="shared" ref="F48" si="17">($G$22/12)*J46</f>
        <v>5.8680218035261253</v>
      </c>
      <c r="G48" s="120"/>
      <c r="H48" s="120">
        <f t="shared" ref="H48" si="18">D48-F48</f>
        <v>7.7289246960039106</v>
      </c>
      <c r="I48" s="120"/>
      <c r="J48" s="120">
        <f t="shared" ref="J48" si="19">J46-H48</f>
        <v>3053.8476684480615</v>
      </c>
      <c r="K48" s="122"/>
      <c r="N48" s="4" t="s">
        <v>98</v>
      </c>
      <c r="O48" s="5"/>
      <c r="P48" s="5"/>
      <c r="Q48" s="6"/>
    </row>
    <row r="49" spans="2:27" ht="15" thickBot="1" x14ac:dyDescent="0.35">
      <c r="B49" s="41"/>
      <c r="C49" s="35"/>
      <c r="D49" s="121"/>
      <c r="E49" s="121"/>
      <c r="F49" s="121"/>
      <c r="G49" s="121"/>
      <c r="H49" s="121"/>
      <c r="I49" s="121"/>
      <c r="J49" s="121"/>
      <c r="K49" s="123"/>
      <c r="N49" s="7"/>
      <c r="O49" s="8"/>
      <c r="P49" s="8"/>
      <c r="Q49" s="9"/>
    </row>
    <row r="50" spans="2:27" ht="15.6" thickTop="1" thickBot="1" x14ac:dyDescent="0.35">
      <c r="B50" s="117">
        <v>7</v>
      </c>
      <c r="C50" s="118"/>
      <c r="D50" s="120">
        <f t="shared" ref="D50" si="20">$D$30</f>
        <v>13.596946499530036</v>
      </c>
      <c r="E50" s="120"/>
      <c r="F50" s="120">
        <f t="shared" ref="F50" si="21">($G$22/12)*J48</f>
        <v>5.8532080311921177</v>
      </c>
      <c r="G50" s="120"/>
      <c r="H50" s="120">
        <f t="shared" ref="H50" si="22">D50-F50</f>
        <v>7.7437384683379182</v>
      </c>
      <c r="I50" s="120"/>
      <c r="J50" s="120">
        <f t="shared" ref="J50" si="23">J48-H50</f>
        <v>3046.1039299797235</v>
      </c>
      <c r="K50" s="122"/>
      <c r="N50" s="147" t="s">
        <v>96</v>
      </c>
      <c r="O50" s="148"/>
      <c r="P50" s="148"/>
      <c r="Q50" s="149"/>
    </row>
    <row r="51" spans="2:27" ht="15" thickBot="1" x14ac:dyDescent="0.35">
      <c r="B51" s="41"/>
      <c r="C51" s="35"/>
      <c r="D51" s="121"/>
      <c r="E51" s="121"/>
      <c r="F51" s="121"/>
      <c r="G51" s="121"/>
      <c r="H51" s="121"/>
      <c r="I51" s="121"/>
      <c r="J51" s="121"/>
      <c r="K51" s="123"/>
      <c r="N51" s="150"/>
      <c r="O51" s="151"/>
      <c r="P51" s="151"/>
      <c r="Q51" s="152"/>
    </row>
    <row r="52" spans="2:27" ht="15" thickBot="1" x14ac:dyDescent="0.35">
      <c r="B52" s="117">
        <v>8</v>
      </c>
      <c r="C52" s="118"/>
      <c r="D52" s="120">
        <f t="shared" ref="D52" si="24">$D$30</f>
        <v>13.596946499530036</v>
      </c>
      <c r="E52" s="120"/>
      <c r="F52" s="120">
        <f t="shared" ref="F52" si="25">($G$22/12)*J50</f>
        <v>5.8383658657944695</v>
      </c>
      <c r="G52" s="120"/>
      <c r="H52" s="120">
        <f t="shared" ref="H52" si="26">D52-F52</f>
        <v>7.7585806337355665</v>
      </c>
      <c r="I52" s="120"/>
      <c r="J52" s="120">
        <f t="shared" ref="J52" si="27">J50-H52</f>
        <v>3038.3453493459879</v>
      </c>
      <c r="K52" s="122"/>
      <c r="N52" s="150"/>
      <c r="O52" s="151"/>
      <c r="P52" s="151"/>
      <c r="Q52" s="152"/>
    </row>
    <row r="53" spans="2:27" ht="15" thickBot="1" x14ac:dyDescent="0.35">
      <c r="B53" s="41"/>
      <c r="C53" s="35"/>
      <c r="D53" s="121"/>
      <c r="E53" s="121"/>
      <c r="F53" s="121"/>
      <c r="G53" s="121"/>
      <c r="H53" s="121"/>
      <c r="I53" s="121"/>
      <c r="J53" s="121"/>
      <c r="K53" s="123"/>
      <c r="N53" s="153"/>
      <c r="O53" s="154"/>
      <c r="P53" s="154"/>
      <c r="Q53" s="155"/>
    </row>
    <row r="54" spans="2:27" ht="15" thickBot="1" x14ac:dyDescent="0.35">
      <c r="B54" s="117">
        <v>9</v>
      </c>
      <c r="C54" s="118"/>
      <c r="D54" s="120">
        <f t="shared" ref="D54" si="28">$D$30</f>
        <v>13.596946499530036</v>
      </c>
      <c r="E54" s="120"/>
      <c r="F54" s="120">
        <f t="shared" ref="F54" si="29">($G$22/12)*J52</f>
        <v>5.8234952529131432</v>
      </c>
      <c r="G54" s="120"/>
      <c r="H54" s="120">
        <f t="shared" ref="H54" si="30">D54-F54</f>
        <v>7.7734512466168928</v>
      </c>
      <c r="I54" s="120"/>
      <c r="J54" s="120">
        <f t="shared" ref="J54" si="31">J52-H54</f>
        <v>3030.5718980993711</v>
      </c>
      <c r="K54" s="122"/>
    </row>
    <row r="55" spans="2:27" ht="15" thickBot="1" x14ac:dyDescent="0.35">
      <c r="B55" s="41"/>
      <c r="C55" s="35"/>
      <c r="D55" s="121"/>
      <c r="E55" s="121"/>
      <c r="F55" s="121"/>
      <c r="G55" s="121"/>
      <c r="H55" s="121"/>
      <c r="I55" s="121"/>
      <c r="J55" s="121"/>
      <c r="K55" s="123"/>
    </row>
    <row r="56" spans="2:27" ht="15.6" thickTop="1" thickBot="1" x14ac:dyDescent="0.35">
      <c r="B56" s="117">
        <v>10</v>
      </c>
      <c r="C56" s="118"/>
      <c r="D56" s="120">
        <f t="shared" ref="D56" si="32">$D$30</f>
        <v>13.596946499530036</v>
      </c>
      <c r="E56" s="120"/>
      <c r="F56" s="120">
        <f t="shared" ref="F56" si="33">($G$22/12)*J54</f>
        <v>5.8085961380237938</v>
      </c>
      <c r="G56" s="120"/>
      <c r="H56" s="120">
        <f t="shared" ref="H56" si="34">D56-F56</f>
        <v>7.7883503615062422</v>
      </c>
      <c r="I56" s="120"/>
      <c r="J56" s="120">
        <f t="shared" ref="J56" si="35">J54-H56</f>
        <v>3022.7835477378649</v>
      </c>
      <c r="K56" s="122"/>
      <c r="N56" s="4" t="s">
        <v>128</v>
      </c>
      <c r="O56" s="5"/>
      <c r="P56" s="5"/>
      <c r="Q56" s="5"/>
      <c r="R56" s="5"/>
      <c r="S56" s="5"/>
      <c r="T56" s="5"/>
      <c r="U56" s="5"/>
      <c r="V56" s="5"/>
      <c r="W56" s="5"/>
      <c r="X56" s="5"/>
      <c r="Y56" s="5"/>
      <c r="Z56" s="5"/>
      <c r="AA56" s="6"/>
    </row>
    <row r="57" spans="2:27" ht="15" thickBot="1" x14ac:dyDescent="0.35">
      <c r="B57" s="41"/>
      <c r="C57" s="35"/>
      <c r="D57" s="121"/>
      <c r="E57" s="121"/>
      <c r="F57" s="121"/>
      <c r="G57" s="121"/>
      <c r="H57" s="121"/>
      <c r="I57" s="121"/>
      <c r="J57" s="121"/>
      <c r="K57" s="123"/>
      <c r="N57" s="7"/>
      <c r="O57" s="8"/>
      <c r="P57" s="8"/>
      <c r="Q57" s="8"/>
      <c r="R57" s="8"/>
      <c r="S57" s="8"/>
      <c r="T57" s="8"/>
      <c r="U57" s="8"/>
      <c r="V57" s="8"/>
      <c r="W57" s="8"/>
      <c r="X57" s="8"/>
      <c r="Y57" s="8"/>
      <c r="Z57" s="8"/>
      <c r="AA57" s="9"/>
    </row>
    <row r="58" spans="2:27" ht="15.6" customHeight="1" thickTop="1" thickBot="1" x14ac:dyDescent="0.35">
      <c r="B58" s="117">
        <v>11</v>
      </c>
      <c r="C58" s="118"/>
      <c r="D58" s="120">
        <f t="shared" ref="D58" si="36">$D$30</f>
        <v>13.596946499530036</v>
      </c>
      <c r="E58" s="120"/>
      <c r="F58" s="120">
        <f t="shared" ref="F58" si="37">($G$22/12)*J56</f>
        <v>5.7936684664975742</v>
      </c>
      <c r="G58" s="120"/>
      <c r="H58" s="120">
        <f t="shared" ref="H58" si="38">D58-F58</f>
        <v>7.8032780330324618</v>
      </c>
      <c r="I58" s="120"/>
      <c r="J58" s="120">
        <f t="shared" ref="J58" si="39">J56-H58</f>
        <v>3014.9802697048326</v>
      </c>
      <c r="K58" s="122"/>
      <c r="N58" s="30" t="s">
        <v>134</v>
      </c>
      <c r="O58" s="31"/>
      <c r="P58" s="31"/>
      <c r="Q58" s="31"/>
      <c r="R58" s="131" t="s">
        <v>135</v>
      </c>
      <c r="S58" s="131"/>
      <c r="T58" s="131"/>
      <c r="U58" s="131"/>
      <c r="V58" s="131"/>
      <c r="W58" s="131"/>
      <c r="X58" s="131"/>
      <c r="Y58" s="131"/>
      <c r="Z58" s="131"/>
      <c r="AA58" s="132"/>
    </row>
    <row r="59" spans="2:27" ht="15" thickBot="1" x14ac:dyDescent="0.35">
      <c r="B59" s="41"/>
      <c r="C59" s="35"/>
      <c r="D59" s="121"/>
      <c r="E59" s="121"/>
      <c r="F59" s="121"/>
      <c r="G59" s="121"/>
      <c r="H59" s="121"/>
      <c r="I59" s="121"/>
      <c r="J59" s="121"/>
      <c r="K59" s="123"/>
      <c r="N59" s="32"/>
      <c r="O59" s="33"/>
      <c r="P59" s="33"/>
      <c r="Q59" s="33"/>
      <c r="R59" s="133"/>
      <c r="S59" s="133"/>
      <c r="T59" s="133"/>
      <c r="U59" s="133"/>
      <c r="V59" s="133"/>
      <c r="W59" s="133"/>
      <c r="X59" s="133"/>
      <c r="Y59" s="133"/>
      <c r="Z59" s="133"/>
      <c r="AA59" s="134"/>
    </row>
    <row r="60" spans="2:27" ht="15" thickBot="1" x14ac:dyDescent="0.35">
      <c r="B60" s="117">
        <v>12</v>
      </c>
      <c r="C60" s="118"/>
      <c r="D60" s="120">
        <f t="shared" ref="D60" si="40">$D$30</f>
        <v>13.596946499530036</v>
      </c>
      <c r="E60" s="120"/>
      <c r="F60" s="120">
        <f t="shared" ref="F60" si="41">($G$22/12)*J58</f>
        <v>5.7787121836009288</v>
      </c>
      <c r="G60" s="120"/>
      <c r="H60" s="120">
        <f t="shared" ref="H60" si="42">D60-F60</f>
        <v>7.8182343159291072</v>
      </c>
      <c r="I60" s="120"/>
      <c r="J60" s="120">
        <f t="shared" ref="J60" si="43">J58-H60</f>
        <v>3007.1620353889034</v>
      </c>
      <c r="K60" s="122"/>
      <c r="N60" s="32" t="s">
        <v>136</v>
      </c>
      <c r="O60" s="33"/>
      <c r="P60" s="33"/>
      <c r="Q60" s="33"/>
      <c r="R60" s="133" t="s">
        <v>137</v>
      </c>
      <c r="S60" s="133"/>
      <c r="T60" s="133"/>
      <c r="U60" s="133"/>
      <c r="V60" s="133"/>
      <c r="W60" s="133"/>
      <c r="X60" s="133"/>
      <c r="Y60" s="133"/>
      <c r="Z60" s="133"/>
      <c r="AA60" s="134"/>
    </row>
    <row r="61" spans="2:27" ht="15" thickBot="1" x14ac:dyDescent="0.35">
      <c r="B61" s="41"/>
      <c r="C61" s="35"/>
      <c r="D61" s="121"/>
      <c r="E61" s="121"/>
      <c r="F61" s="121"/>
      <c r="G61" s="121"/>
      <c r="H61" s="121"/>
      <c r="I61" s="121"/>
      <c r="J61" s="121"/>
      <c r="K61" s="123"/>
      <c r="N61" s="46"/>
      <c r="O61" s="47"/>
      <c r="P61" s="47"/>
      <c r="Q61" s="47"/>
      <c r="R61" s="135"/>
      <c r="S61" s="135"/>
      <c r="T61" s="135"/>
      <c r="U61" s="135"/>
      <c r="V61" s="135"/>
      <c r="W61" s="135"/>
      <c r="X61" s="135"/>
      <c r="Y61" s="135"/>
      <c r="Z61" s="135"/>
      <c r="AA61" s="136"/>
    </row>
    <row r="62" spans="2:27" ht="15" thickBot="1" x14ac:dyDescent="0.35">
      <c r="B62" s="117">
        <v>13</v>
      </c>
      <c r="C62" s="118"/>
      <c r="D62" s="120">
        <f t="shared" ref="D62" si="44">$D$30</f>
        <v>13.596946499530036</v>
      </c>
      <c r="E62" s="120"/>
      <c r="F62" s="120">
        <f t="shared" ref="F62" si="45">($G$22/12)*J60</f>
        <v>5.7637272344953976</v>
      </c>
      <c r="G62" s="120"/>
      <c r="H62" s="120">
        <f t="shared" ref="H62" si="46">D62-F62</f>
        <v>7.8332192650346384</v>
      </c>
      <c r="I62" s="120"/>
      <c r="J62" s="120">
        <f t="shared" ref="J62" si="47">J60-H62</f>
        <v>2999.3288161238688</v>
      </c>
      <c r="K62" s="122"/>
    </row>
    <row r="63" spans="2:27" ht="15" thickBot="1" x14ac:dyDescent="0.35">
      <c r="B63" s="41"/>
      <c r="C63" s="35"/>
      <c r="D63" s="121"/>
      <c r="E63" s="121"/>
      <c r="F63" s="121"/>
      <c r="G63" s="121"/>
      <c r="H63" s="121"/>
      <c r="I63" s="121"/>
      <c r="J63" s="121"/>
      <c r="K63" s="123"/>
    </row>
    <row r="64" spans="2:27" ht="15" thickBot="1" x14ac:dyDescent="0.35">
      <c r="B64" s="117">
        <v>14</v>
      </c>
      <c r="C64" s="118"/>
      <c r="D64" s="120">
        <f t="shared" ref="D64" si="48">$D$30</f>
        <v>13.596946499530036</v>
      </c>
      <c r="E64" s="120"/>
      <c r="F64" s="120">
        <f t="shared" ref="F64" si="49">($G$22/12)*J62</f>
        <v>5.7487135642374145</v>
      </c>
      <c r="G64" s="120"/>
      <c r="H64" s="120">
        <f t="shared" ref="H64" si="50">D64-F64</f>
        <v>7.8482329352926214</v>
      </c>
      <c r="I64" s="120"/>
      <c r="J64" s="120">
        <f t="shared" ref="J64" si="51">J62-H64</f>
        <v>2991.480583188576</v>
      </c>
      <c r="K64" s="122"/>
    </row>
    <row r="65" spans="2:11" ht="15" thickBot="1" x14ac:dyDescent="0.35">
      <c r="B65" s="41"/>
      <c r="C65" s="35"/>
      <c r="D65" s="121"/>
      <c r="E65" s="121"/>
      <c r="F65" s="121"/>
      <c r="G65" s="121"/>
      <c r="H65" s="121"/>
      <c r="I65" s="121"/>
      <c r="J65" s="121"/>
      <c r="K65" s="123"/>
    </row>
    <row r="66" spans="2:11" ht="15" thickBot="1" x14ac:dyDescent="0.35">
      <c r="B66" s="117">
        <v>15</v>
      </c>
      <c r="C66" s="118"/>
      <c r="D66" s="120">
        <f t="shared" ref="D66" si="52">$D$30</f>
        <v>13.596946499530036</v>
      </c>
      <c r="E66" s="120"/>
      <c r="F66" s="120">
        <f t="shared" ref="F66" si="53">($G$22/12)*J64</f>
        <v>5.7336711177781039</v>
      </c>
      <c r="G66" s="120"/>
      <c r="H66" s="120">
        <f t="shared" ref="H66" si="54">D66-F66</f>
        <v>7.8632753817519321</v>
      </c>
      <c r="I66" s="120"/>
      <c r="J66" s="120">
        <f t="shared" ref="J66" si="55">J64-H66</f>
        <v>2983.6173078068241</v>
      </c>
      <c r="K66" s="122"/>
    </row>
    <row r="67" spans="2:11" ht="15" thickBot="1" x14ac:dyDescent="0.35">
      <c r="B67" s="41"/>
      <c r="C67" s="35"/>
      <c r="D67" s="121"/>
      <c r="E67" s="121"/>
      <c r="F67" s="121"/>
      <c r="G67" s="121"/>
      <c r="H67" s="121"/>
      <c r="I67" s="121"/>
      <c r="J67" s="121"/>
      <c r="K67" s="123"/>
    </row>
    <row r="68" spans="2:11" ht="15" thickBot="1" x14ac:dyDescent="0.35">
      <c r="B68" s="117">
        <v>16</v>
      </c>
      <c r="C68" s="118"/>
      <c r="D68" s="120">
        <f t="shared" ref="D68" si="56">$D$30</f>
        <v>13.596946499530036</v>
      </c>
      <c r="E68" s="120"/>
      <c r="F68" s="120">
        <f t="shared" ref="F68" si="57">($G$22/12)*J66</f>
        <v>5.7185998399630789</v>
      </c>
      <c r="G68" s="120"/>
      <c r="H68" s="120">
        <f t="shared" ref="H68" si="58">D68-F68</f>
        <v>7.8783466595669571</v>
      </c>
      <c r="I68" s="120"/>
      <c r="J68" s="120">
        <f t="shared" ref="J68" si="59">J66-H68</f>
        <v>2975.7389611472572</v>
      </c>
      <c r="K68" s="122"/>
    </row>
    <row r="69" spans="2:11" ht="15" thickBot="1" x14ac:dyDescent="0.35">
      <c r="B69" s="41"/>
      <c r="C69" s="35"/>
      <c r="D69" s="121"/>
      <c r="E69" s="121"/>
      <c r="F69" s="121"/>
      <c r="G69" s="121"/>
      <c r="H69" s="121"/>
      <c r="I69" s="121"/>
      <c r="J69" s="121"/>
      <c r="K69" s="123"/>
    </row>
    <row r="70" spans="2:11" ht="15" thickBot="1" x14ac:dyDescent="0.35">
      <c r="B70" s="117">
        <v>17</v>
      </c>
      <c r="C70" s="118"/>
      <c r="D70" s="120">
        <f t="shared" ref="D70" si="60">$D$30</f>
        <v>13.596946499530036</v>
      </c>
      <c r="E70" s="120"/>
      <c r="F70" s="120">
        <f t="shared" ref="F70" si="61">($G$22/12)*J68</f>
        <v>5.7034996755322425</v>
      </c>
      <c r="G70" s="120"/>
      <c r="H70" s="120">
        <f t="shared" ref="H70" si="62">D70-F70</f>
        <v>7.8934468239977935</v>
      </c>
      <c r="I70" s="120"/>
      <c r="J70" s="120">
        <f t="shared" ref="J70" si="63">J68-H70</f>
        <v>2967.8455143232595</v>
      </c>
      <c r="K70" s="122"/>
    </row>
    <row r="71" spans="2:11" ht="15" thickBot="1" x14ac:dyDescent="0.35">
      <c r="B71" s="41"/>
      <c r="C71" s="35"/>
      <c r="D71" s="121"/>
      <c r="E71" s="121"/>
      <c r="F71" s="121"/>
      <c r="G71" s="121"/>
      <c r="H71" s="121"/>
      <c r="I71" s="121"/>
      <c r="J71" s="121"/>
      <c r="K71" s="123"/>
    </row>
    <row r="72" spans="2:11" ht="15" thickBot="1" x14ac:dyDescent="0.35">
      <c r="B72" s="117">
        <v>18</v>
      </c>
      <c r="C72" s="118"/>
      <c r="D72" s="120">
        <f t="shared" ref="D72" si="64">$D$30</f>
        <v>13.596946499530036</v>
      </c>
      <c r="E72" s="120"/>
      <c r="F72" s="120">
        <f t="shared" ref="F72" si="65">($G$22/12)*J70</f>
        <v>5.6883705691195807</v>
      </c>
      <c r="G72" s="120"/>
      <c r="H72" s="120">
        <f t="shared" ref="H72" si="66">D72-F72</f>
        <v>7.9085759304104553</v>
      </c>
      <c r="I72" s="120"/>
      <c r="J72" s="120">
        <f t="shared" ref="J72" si="67">J70-H72</f>
        <v>2959.9369383928492</v>
      </c>
      <c r="K72" s="122"/>
    </row>
    <row r="73" spans="2:11" ht="15" thickBot="1" x14ac:dyDescent="0.35">
      <c r="B73" s="41"/>
      <c r="C73" s="35"/>
      <c r="D73" s="121"/>
      <c r="E73" s="121"/>
      <c r="F73" s="121"/>
      <c r="G73" s="121"/>
      <c r="H73" s="121"/>
      <c r="I73" s="121"/>
      <c r="J73" s="121"/>
      <c r="K73" s="123"/>
    </row>
    <row r="74" spans="2:11" ht="15" thickBot="1" x14ac:dyDescent="0.35">
      <c r="B74" s="117">
        <v>19</v>
      </c>
      <c r="C74" s="118"/>
      <c r="D74" s="120">
        <f t="shared" ref="D74" si="68">$D$30</f>
        <v>13.596946499530036</v>
      </c>
      <c r="E74" s="120"/>
      <c r="F74" s="120">
        <f t="shared" ref="F74" si="69">($G$22/12)*J72</f>
        <v>5.673212465252961</v>
      </c>
      <c r="G74" s="120"/>
      <c r="H74" s="120">
        <f t="shared" ref="H74" si="70">D74-F74</f>
        <v>7.923734034277075</v>
      </c>
      <c r="I74" s="120"/>
      <c r="J74" s="120">
        <f t="shared" ref="J74" si="71">J72-H74</f>
        <v>2952.0132043585722</v>
      </c>
      <c r="K74" s="122"/>
    </row>
    <row r="75" spans="2:11" ht="15" thickBot="1" x14ac:dyDescent="0.35">
      <c r="B75" s="41"/>
      <c r="C75" s="35"/>
      <c r="D75" s="121"/>
      <c r="E75" s="121"/>
      <c r="F75" s="121"/>
      <c r="G75" s="121"/>
      <c r="H75" s="121"/>
      <c r="I75" s="121"/>
      <c r="J75" s="121"/>
      <c r="K75" s="123"/>
    </row>
    <row r="76" spans="2:11" ht="15" thickBot="1" x14ac:dyDescent="0.35">
      <c r="B76" s="117">
        <v>20</v>
      </c>
      <c r="C76" s="118"/>
      <c r="D76" s="120">
        <f t="shared" ref="D76" si="72">$D$30</f>
        <v>13.596946499530036</v>
      </c>
      <c r="E76" s="120"/>
      <c r="F76" s="120">
        <f t="shared" ref="F76" si="73">($G$22/12)*J74</f>
        <v>5.6580253083539302</v>
      </c>
      <c r="G76" s="120"/>
      <c r="H76" s="120">
        <f t="shared" ref="H76" si="74">D76-F76</f>
        <v>7.9389211911761057</v>
      </c>
      <c r="I76" s="120"/>
      <c r="J76" s="120">
        <f t="shared" ref="J76" si="75">J74-H76</f>
        <v>2944.0742831673961</v>
      </c>
      <c r="K76" s="122"/>
    </row>
    <row r="77" spans="2:11" ht="15" thickBot="1" x14ac:dyDescent="0.35">
      <c r="B77" s="41"/>
      <c r="C77" s="35"/>
      <c r="D77" s="121"/>
      <c r="E77" s="121"/>
      <c r="F77" s="121"/>
      <c r="G77" s="121"/>
      <c r="H77" s="121"/>
      <c r="I77" s="121"/>
      <c r="J77" s="121"/>
      <c r="K77" s="123"/>
    </row>
    <row r="78" spans="2:11" ht="15" thickBot="1" x14ac:dyDescent="0.35">
      <c r="B78" s="117">
        <v>21</v>
      </c>
      <c r="C78" s="118"/>
      <c r="D78" s="120">
        <f t="shared" ref="D78" si="76">$D$30</f>
        <v>13.596946499530036</v>
      </c>
      <c r="E78" s="120"/>
      <c r="F78" s="120">
        <f t="shared" ref="F78" si="77">($G$22/12)*J76</f>
        <v>5.6428090427375084</v>
      </c>
      <c r="G78" s="120"/>
      <c r="H78" s="120">
        <f t="shared" ref="H78" si="78">D78-F78</f>
        <v>7.9541374567925276</v>
      </c>
      <c r="I78" s="120"/>
      <c r="J78" s="120">
        <f t="shared" ref="J78" si="79">J76-H78</f>
        <v>2936.1201457106035</v>
      </c>
      <c r="K78" s="122"/>
    </row>
    <row r="79" spans="2:11" ht="15" thickBot="1" x14ac:dyDescent="0.35">
      <c r="B79" s="41"/>
      <c r="C79" s="35"/>
      <c r="D79" s="121"/>
      <c r="E79" s="121"/>
      <c r="F79" s="121"/>
      <c r="G79" s="121"/>
      <c r="H79" s="121"/>
      <c r="I79" s="121"/>
      <c r="J79" s="121"/>
      <c r="K79" s="123"/>
    </row>
    <row r="80" spans="2:11" ht="15" thickBot="1" x14ac:dyDescent="0.35">
      <c r="B80" s="117">
        <v>22</v>
      </c>
      <c r="C80" s="118"/>
      <c r="D80" s="120">
        <f t="shared" ref="D80" si="80">$D$30</f>
        <v>13.596946499530036</v>
      </c>
      <c r="E80" s="120"/>
      <c r="F80" s="120">
        <f t="shared" ref="F80" si="81">($G$22/12)*J78</f>
        <v>5.6275636126119899</v>
      </c>
      <c r="G80" s="120"/>
      <c r="H80" s="120">
        <f t="shared" ref="H80" si="82">D80-F80</f>
        <v>7.9693828869180461</v>
      </c>
      <c r="I80" s="120"/>
      <c r="J80" s="120">
        <f t="shared" ref="J80" si="83">J78-H80</f>
        <v>2928.1507628236855</v>
      </c>
      <c r="K80" s="122"/>
    </row>
    <row r="81" spans="2:11" ht="15" thickBot="1" x14ac:dyDescent="0.35">
      <c r="B81" s="41"/>
      <c r="C81" s="35"/>
      <c r="D81" s="121"/>
      <c r="E81" s="121"/>
      <c r="F81" s="121"/>
      <c r="G81" s="121"/>
      <c r="H81" s="121"/>
      <c r="I81" s="121"/>
      <c r="J81" s="121"/>
      <c r="K81" s="123"/>
    </row>
    <row r="82" spans="2:11" ht="15" thickBot="1" x14ac:dyDescent="0.35">
      <c r="B82" s="117">
        <v>23</v>
      </c>
      <c r="C82" s="118"/>
      <c r="D82" s="120">
        <f t="shared" ref="D82" si="84">$D$30</f>
        <v>13.596946499530036</v>
      </c>
      <c r="E82" s="120"/>
      <c r="F82" s="120">
        <f t="shared" ref="F82" si="85">($G$22/12)*J80</f>
        <v>5.61228896207873</v>
      </c>
      <c r="G82" s="120"/>
      <c r="H82" s="120">
        <f t="shared" ref="H82" si="86">D82-F82</f>
        <v>7.984657537451306</v>
      </c>
      <c r="I82" s="120"/>
      <c r="J82" s="120">
        <f t="shared" ref="J82" si="87">J80-H82</f>
        <v>2920.1661052862341</v>
      </c>
      <c r="K82" s="122"/>
    </row>
    <row r="83" spans="2:11" ht="15" thickBot="1" x14ac:dyDescent="0.35">
      <c r="B83" s="41"/>
      <c r="C83" s="35"/>
      <c r="D83" s="121"/>
      <c r="E83" s="121"/>
      <c r="F83" s="121"/>
      <c r="G83" s="121"/>
      <c r="H83" s="121"/>
      <c r="I83" s="121"/>
      <c r="J83" s="121"/>
      <c r="K83" s="123"/>
    </row>
    <row r="84" spans="2:11" ht="15" thickBot="1" x14ac:dyDescent="0.35">
      <c r="B84" s="117">
        <v>24</v>
      </c>
      <c r="C84" s="118"/>
      <c r="D84" s="120">
        <f t="shared" ref="D84" si="88">$D$30</f>
        <v>13.596946499530036</v>
      </c>
      <c r="E84" s="120"/>
      <c r="F84" s="120">
        <f t="shared" ref="F84" si="89">($G$22/12)*J82</f>
        <v>5.5969850351319481</v>
      </c>
      <c r="G84" s="120"/>
      <c r="H84" s="120">
        <f t="shared" ref="H84" si="90">D84-F84</f>
        <v>7.9999614643980879</v>
      </c>
      <c r="I84" s="120"/>
      <c r="J84" s="120">
        <f t="shared" ref="J84" si="91">J82-H84</f>
        <v>2912.1661438218362</v>
      </c>
      <c r="K84" s="122"/>
    </row>
    <row r="85" spans="2:11" ht="15" thickBot="1" x14ac:dyDescent="0.35">
      <c r="B85" s="41"/>
      <c r="C85" s="35"/>
      <c r="D85" s="121"/>
      <c r="E85" s="121"/>
      <c r="F85" s="121"/>
      <c r="G85" s="121"/>
      <c r="H85" s="121"/>
      <c r="I85" s="121"/>
      <c r="J85" s="121"/>
      <c r="K85" s="123"/>
    </row>
    <row r="86" spans="2:11" ht="15" thickBot="1" x14ac:dyDescent="0.35">
      <c r="B86" s="117">
        <v>25</v>
      </c>
      <c r="C86" s="118"/>
      <c r="D86" s="120">
        <f t="shared" ref="D86" si="92">$D$30</f>
        <v>13.596946499530036</v>
      </c>
      <c r="E86" s="120"/>
      <c r="F86" s="120">
        <f t="shared" ref="F86" si="93">($G$22/12)*J84</f>
        <v>5.5816517756585187</v>
      </c>
      <c r="G86" s="120"/>
      <c r="H86" s="120">
        <f t="shared" ref="H86" si="94">D86-F86</f>
        <v>8.0152947238715164</v>
      </c>
      <c r="I86" s="120"/>
      <c r="J86" s="120">
        <f t="shared" ref="J86" si="95">J84-H86</f>
        <v>2904.1508490979645</v>
      </c>
      <c r="K86" s="122"/>
    </row>
    <row r="87" spans="2:11" ht="15" thickBot="1" x14ac:dyDescent="0.35">
      <c r="B87" s="41"/>
      <c r="C87" s="35"/>
      <c r="D87" s="121"/>
      <c r="E87" s="121"/>
      <c r="F87" s="121"/>
      <c r="G87" s="121"/>
      <c r="H87" s="121"/>
      <c r="I87" s="121"/>
      <c r="J87" s="121"/>
      <c r="K87" s="123"/>
    </row>
    <row r="88" spans="2:11" ht="15" thickBot="1" x14ac:dyDescent="0.35">
      <c r="B88" s="117">
        <v>26</v>
      </c>
      <c r="C88" s="118"/>
      <c r="D88" s="120">
        <f t="shared" ref="D88" si="96">$D$30</f>
        <v>13.596946499530036</v>
      </c>
      <c r="E88" s="120"/>
      <c r="F88" s="120">
        <f t="shared" ref="F88" si="97">($G$22/12)*J86</f>
        <v>5.5662891274377646</v>
      </c>
      <c r="G88" s="120"/>
      <c r="H88" s="120">
        <f t="shared" ref="H88" si="98">D88-F88</f>
        <v>8.0306573720922714</v>
      </c>
      <c r="I88" s="120"/>
      <c r="J88" s="120">
        <f t="shared" ref="J88" si="99">J86-H88</f>
        <v>2896.1201917258722</v>
      </c>
      <c r="K88" s="122"/>
    </row>
    <row r="89" spans="2:11" ht="15" thickBot="1" x14ac:dyDescent="0.35">
      <c r="B89" s="41"/>
      <c r="C89" s="35"/>
      <c r="D89" s="121"/>
      <c r="E89" s="121"/>
      <c r="F89" s="121"/>
      <c r="G89" s="121"/>
      <c r="H89" s="121"/>
      <c r="I89" s="121"/>
      <c r="J89" s="121"/>
      <c r="K89" s="123"/>
    </row>
    <row r="90" spans="2:11" ht="15" thickBot="1" x14ac:dyDescent="0.35">
      <c r="B90" s="117">
        <v>27</v>
      </c>
      <c r="C90" s="118"/>
      <c r="D90" s="120">
        <f t="shared" ref="D90" si="100">$D$30</f>
        <v>13.596946499530036</v>
      </c>
      <c r="E90" s="120"/>
      <c r="F90" s="120">
        <f t="shared" ref="F90" si="101">($G$22/12)*J88</f>
        <v>5.5508970341412551</v>
      </c>
      <c r="G90" s="120"/>
      <c r="H90" s="120">
        <f t="shared" ref="H90" si="102">D90-F90</f>
        <v>8.04604946538878</v>
      </c>
      <c r="I90" s="120"/>
      <c r="J90" s="120">
        <f t="shared" ref="J90" si="103">J88-H90</f>
        <v>2888.0741422604833</v>
      </c>
      <c r="K90" s="122"/>
    </row>
    <row r="91" spans="2:11" ht="15" thickBot="1" x14ac:dyDescent="0.35">
      <c r="B91" s="41"/>
      <c r="C91" s="35"/>
      <c r="D91" s="121"/>
      <c r="E91" s="121"/>
      <c r="F91" s="121"/>
      <c r="G91" s="121"/>
      <c r="H91" s="121"/>
      <c r="I91" s="121"/>
      <c r="J91" s="121"/>
      <c r="K91" s="123"/>
    </row>
    <row r="92" spans="2:11" ht="15" thickBot="1" x14ac:dyDescent="0.35">
      <c r="B92" s="117">
        <v>28</v>
      </c>
      <c r="C92" s="118"/>
      <c r="D92" s="120">
        <f t="shared" ref="D92" si="104">$D$30</f>
        <v>13.596946499530036</v>
      </c>
      <c r="E92" s="120"/>
      <c r="F92" s="120">
        <f t="shared" ref="F92" si="105">($G$22/12)*J90</f>
        <v>5.5354754393325925</v>
      </c>
      <c r="G92" s="120"/>
      <c r="H92" s="120">
        <f t="shared" ref="H92" si="106">D92-F92</f>
        <v>8.0614710601974444</v>
      </c>
      <c r="I92" s="120"/>
      <c r="J92" s="120">
        <f t="shared" ref="J92" si="107">J90-H92</f>
        <v>2880.0126712002857</v>
      </c>
      <c r="K92" s="122"/>
    </row>
    <row r="93" spans="2:11" ht="15" thickBot="1" x14ac:dyDescent="0.35">
      <c r="B93" s="41"/>
      <c r="C93" s="35"/>
      <c r="D93" s="121"/>
      <c r="E93" s="121"/>
      <c r="F93" s="121"/>
      <c r="G93" s="121"/>
      <c r="H93" s="121"/>
      <c r="I93" s="121"/>
      <c r="J93" s="121"/>
      <c r="K93" s="123"/>
    </row>
    <row r="94" spans="2:11" ht="15" thickBot="1" x14ac:dyDescent="0.35">
      <c r="B94" s="117">
        <v>29</v>
      </c>
      <c r="C94" s="118"/>
      <c r="D94" s="120">
        <f t="shared" ref="D94" si="108">$D$30</f>
        <v>13.596946499530036</v>
      </c>
      <c r="E94" s="120"/>
      <c r="F94" s="120">
        <f t="shared" ref="F94" si="109">($G$22/12)*J92</f>
        <v>5.5200242864672138</v>
      </c>
      <c r="G94" s="120"/>
      <c r="H94" s="120">
        <f t="shared" ref="H94" si="110">D94-F94</f>
        <v>8.0769222130628222</v>
      </c>
      <c r="I94" s="120"/>
      <c r="J94" s="120">
        <f t="shared" ref="J94" si="111">J92-H94</f>
        <v>2871.9357489872227</v>
      </c>
      <c r="K94" s="122"/>
    </row>
    <row r="95" spans="2:11" ht="15" thickBot="1" x14ac:dyDescent="0.35">
      <c r="B95" s="41"/>
      <c r="C95" s="35"/>
      <c r="D95" s="121"/>
      <c r="E95" s="121"/>
      <c r="F95" s="121"/>
      <c r="G95" s="121"/>
      <c r="H95" s="121"/>
      <c r="I95" s="121"/>
      <c r="J95" s="121"/>
      <c r="K95" s="123"/>
    </row>
    <row r="96" spans="2:11" ht="15" thickBot="1" x14ac:dyDescent="0.35">
      <c r="B96" s="117">
        <v>30</v>
      </c>
      <c r="C96" s="118"/>
      <c r="D96" s="120">
        <f t="shared" ref="D96" si="112">$D$30</f>
        <v>13.596946499530036</v>
      </c>
      <c r="E96" s="120"/>
      <c r="F96" s="120">
        <f t="shared" ref="F96" si="113">($G$22/12)*J94</f>
        <v>5.5045435188921763</v>
      </c>
      <c r="G96" s="120"/>
      <c r="H96" s="120">
        <f t="shared" ref="H96" si="114">D96-F96</f>
        <v>8.0924029806378606</v>
      </c>
      <c r="I96" s="120"/>
      <c r="J96" s="120">
        <f t="shared" ref="J96" si="115">J94-H96</f>
        <v>2863.8433460065849</v>
      </c>
      <c r="K96" s="122"/>
    </row>
    <row r="97" spans="2:11" ht="15" thickBot="1" x14ac:dyDescent="0.35">
      <c r="B97" s="41"/>
      <c r="C97" s="35"/>
      <c r="D97" s="121"/>
      <c r="E97" s="121"/>
      <c r="F97" s="121"/>
      <c r="G97" s="121"/>
      <c r="H97" s="121"/>
      <c r="I97" s="121"/>
      <c r="J97" s="121"/>
      <c r="K97" s="123"/>
    </row>
    <row r="98" spans="2:11" ht="15" thickBot="1" x14ac:dyDescent="0.35">
      <c r="B98" s="117">
        <v>31</v>
      </c>
      <c r="C98" s="118"/>
      <c r="D98" s="120">
        <f t="shared" ref="D98" si="116">$D$30</f>
        <v>13.596946499530036</v>
      </c>
      <c r="E98" s="120"/>
      <c r="F98" s="120">
        <f t="shared" ref="F98" si="117">($G$22/12)*J96</f>
        <v>5.4890330798459539</v>
      </c>
      <c r="G98" s="120"/>
      <c r="H98" s="120">
        <f t="shared" ref="H98" si="118">D98-F98</f>
        <v>8.1079134196840812</v>
      </c>
      <c r="I98" s="120"/>
      <c r="J98" s="120">
        <f t="shared" ref="J98" si="119">J96-H98</f>
        <v>2855.735432586901</v>
      </c>
      <c r="K98" s="122"/>
    </row>
    <row r="99" spans="2:11" ht="15" thickBot="1" x14ac:dyDescent="0.35">
      <c r="B99" s="41"/>
      <c r="C99" s="35"/>
      <c r="D99" s="121"/>
      <c r="E99" s="121"/>
      <c r="F99" s="121"/>
      <c r="G99" s="121"/>
      <c r="H99" s="121"/>
      <c r="I99" s="121"/>
      <c r="J99" s="121"/>
      <c r="K99" s="123"/>
    </row>
    <row r="100" spans="2:11" ht="15" thickBot="1" x14ac:dyDescent="0.35">
      <c r="B100" s="117">
        <v>32</v>
      </c>
      <c r="C100" s="118"/>
      <c r="D100" s="120">
        <f t="shared" ref="D100" si="120">$D$30</f>
        <v>13.596946499530036</v>
      </c>
      <c r="E100" s="120"/>
      <c r="F100" s="120">
        <f t="shared" ref="F100" si="121">($G$22/12)*J98</f>
        <v>5.4734929124582266</v>
      </c>
      <c r="G100" s="120"/>
      <c r="H100" s="120">
        <f t="shared" ref="H100" si="122">D100-F100</f>
        <v>8.1234535870718094</v>
      </c>
      <c r="I100" s="120"/>
      <c r="J100" s="120">
        <f t="shared" ref="J100" si="123">J98-H100</f>
        <v>2847.6119789998293</v>
      </c>
      <c r="K100" s="122"/>
    </row>
    <row r="101" spans="2:11" ht="15" thickBot="1" x14ac:dyDescent="0.35">
      <c r="B101" s="41"/>
      <c r="C101" s="35"/>
      <c r="D101" s="121"/>
      <c r="E101" s="121"/>
      <c r="F101" s="121"/>
      <c r="G101" s="121"/>
      <c r="H101" s="121"/>
      <c r="I101" s="121"/>
      <c r="J101" s="121"/>
      <c r="K101" s="123"/>
    </row>
    <row r="102" spans="2:11" ht="15" thickBot="1" x14ac:dyDescent="0.35">
      <c r="B102" s="117">
        <v>33</v>
      </c>
      <c r="C102" s="118"/>
      <c r="D102" s="120">
        <f t="shared" ref="D102" si="124">$D$30</f>
        <v>13.596946499530036</v>
      </c>
      <c r="E102" s="120"/>
      <c r="F102" s="120">
        <f t="shared" ref="F102" si="125">($G$22/12)*J100</f>
        <v>5.4579229597496726</v>
      </c>
      <c r="G102" s="120"/>
      <c r="H102" s="120">
        <f t="shared" ref="H102" si="126">D102-F102</f>
        <v>8.1390235397803643</v>
      </c>
      <c r="I102" s="120"/>
      <c r="J102" s="120">
        <f t="shared" ref="J102" si="127">J100-H102</f>
        <v>2839.472955460049</v>
      </c>
      <c r="K102" s="122"/>
    </row>
    <row r="103" spans="2:11" ht="15" thickBot="1" x14ac:dyDescent="0.35">
      <c r="B103" s="41"/>
      <c r="C103" s="35"/>
      <c r="D103" s="121"/>
      <c r="E103" s="121"/>
      <c r="F103" s="121"/>
      <c r="G103" s="121"/>
      <c r="H103" s="121"/>
      <c r="I103" s="121"/>
      <c r="J103" s="121"/>
      <c r="K103" s="123"/>
    </row>
    <row r="104" spans="2:11" ht="15" thickBot="1" x14ac:dyDescent="0.35">
      <c r="B104" s="117">
        <v>34</v>
      </c>
      <c r="C104" s="118"/>
      <c r="D104" s="120">
        <f t="shared" ref="D104" si="128">$D$30</f>
        <v>13.596946499530036</v>
      </c>
      <c r="E104" s="120"/>
      <c r="F104" s="120">
        <f t="shared" ref="F104" si="129">($G$22/12)*J102</f>
        <v>5.4423231646317607</v>
      </c>
      <c r="G104" s="120"/>
      <c r="H104" s="120">
        <f t="shared" ref="H104" si="130">D104-F104</f>
        <v>8.1546233348982753</v>
      </c>
      <c r="I104" s="120"/>
      <c r="J104" s="120">
        <f t="shared" ref="J104" si="131">J102-H104</f>
        <v>2831.3183321251508</v>
      </c>
      <c r="K104" s="122"/>
    </row>
    <row r="105" spans="2:11" ht="15" thickBot="1" x14ac:dyDescent="0.35">
      <c r="B105" s="41"/>
      <c r="C105" s="35"/>
      <c r="D105" s="121"/>
      <c r="E105" s="121"/>
      <c r="F105" s="121"/>
      <c r="G105" s="121"/>
      <c r="H105" s="121"/>
      <c r="I105" s="121"/>
      <c r="J105" s="121"/>
      <c r="K105" s="123"/>
    </row>
    <row r="106" spans="2:11" ht="15" thickBot="1" x14ac:dyDescent="0.35">
      <c r="B106" s="117">
        <v>35</v>
      </c>
      <c r="C106" s="118"/>
      <c r="D106" s="120">
        <f t="shared" ref="D106" si="132">$D$30</f>
        <v>13.596946499530036</v>
      </c>
      <c r="E106" s="120"/>
      <c r="F106" s="120">
        <f t="shared" ref="F106" si="133">($G$22/12)*J104</f>
        <v>5.4266934699065388</v>
      </c>
      <c r="G106" s="120"/>
      <c r="H106" s="120">
        <f t="shared" ref="H106" si="134">D106-F106</f>
        <v>8.1702530296234972</v>
      </c>
      <c r="I106" s="120"/>
      <c r="J106" s="120">
        <f t="shared" ref="J106" si="135">J104-H106</f>
        <v>2823.1480790955275</v>
      </c>
      <c r="K106" s="122"/>
    </row>
    <row r="107" spans="2:11" ht="15" thickBot="1" x14ac:dyDescent="0.35">
      <c r="B107" s="41"/>
      <c r="C107" s="35"/>
      <c r="D107" s="121"/>
      <c r="E107" s="121"/>
      <c r="F107" s="121"/>
      <c r="G107" s="121"/>
      <c r="H107" s="121"/>
      <c r="I107" s="121"/>
      <c r="J107" s="121"/>
      <c r="K107" s="123"/>
    </row>
    <row r="108" spans="2:11" ht="15" thickBot="1" x14ac:dyDescent="0.35">
      <c r="B108" s="117">
        <v>36</v>
      </c>
      <c r="C108" s="118"/>
      <c r="D108" s="120">
        <f t="shared" ref="D108" si="136">$D$30</f>
        <v>13.596946499530036</v>
      </c>
      <c r="E108" s="120"/>
      <c r="F108" s="120">
        <f t="shared" ref="F108" si="137">($G$22/12)*J106</f>
        <v>5.4110338182664277</v>
      </c>
      <c r="G108" s="120"/>
      <c r="H108" s="120">
        <f t="shared" ref="H108" si="138">D108-F108</f>
        <v>8.1859126812636092</v>
      </c>
      <c r="I108" s="120"/>
      <c r="J108" s="120">
        <f t="shared" ref="J108" si="139">J106-H108</f>
        <v>2814.9621664142637</v>
      </c>
      <c r="K108" s="122"/>
    </row>
    <row r="109" spans="2:11" ht="15" thickBot="1" x14ac:dyDescent="0.35">
      <c r="B109" s="41"/>
      <c r="C109" s="35"/>
      <c r="D109" s="121"/>
      <c r="E109" s="121"/>
      <c r="F109" s="121"/>
      <c r="G109" s="121"/>
      <c r="H109" s="121"/>
      <c r="I109" s="121"/>
      <c r="J109" s="121"/>
      <c r="K109" s="123"/>
    </row>
    <row r="110" spans="2:11" ht="15" thickBot="1" x14ac:dyDescent="0.35">
      <c r="B110" s="117">
        <v>37</v>
      </c>
      <c r="C110" s="118"/>
      <c r="D110" s="120">
        <f t="shared" ref="D110" si="140">$D$30</f>
        <v>13.596946499530036</v>
      </c>
      <c r="E110" s="120"/>
      <c r="F110" s="120">
        <f t="shared" ref="F110" si="141">($G$22/12)*J108</f>
        <v>5.3953441522940055</v>
      </c>
      <c r="G110" s="120"/>
      <c r="H110" s="120">
        <f t="shared" ref="H110" si="142">D110-F110</f>
        <v>8.2016023472360295</v>
      </c>
      <c r="I110" s="120"/>
      <c r="J110" s="120">
        <f t="shared" ref="J110" si="143">J108-H110</f>
        <v>2806.7605640670276</v>
      </c>
      <c r="K110" s="122"/>
    </row>
    <row r="111" spans="2:11" ht="15" thickBot="1" x14ac:dyDescent="0.35">
      <c r="B111" s="41"/>
      <c r="C111" s="35"/>
      <c r="D111" s="121"/>
      <c r="E111" s="121"/>
      <c r="F111" s="121"/>
      <c r="G111" s="121"/>
      <c r="H111" s="121"/>
      <c r="I111" s="121"/>
      <c r="J111" s="121"/>
      <c r="K111" s="123"/>
    </row>
    <row r="112" spans="2:11" ht="15" thickBot="1" x14ac:dyDescent="0.35">
      <c r="B112" s="117">
        <v>38</v>
      </c>
      <c r="C112" s="118"/>
      <c r="D112" s="120">
        <f t="shared" ref="D112" si="144">$D$30</f>
        <v>13.596946499530036</v>
      </c>
      <c r="E112" s="120"/>
      <c r="F112" s="120">
        <f t="shared" ref="F112" si="145">($G$22/12)*J110</f>
        <v>5.3796244144618024</v>
      </c>
      <c r="G112" s="120"/>
      <c r="H112" s="120">
        <f t="shared" ref="H112" si="146">D112-F112</f>
        <v>8.2173220850682327</v>
      </c>
      <c r="I112" s="120"/>
      <c r="J112" s="120">
        <f t="shared" ref="J112" si="147">J110-H112</f>
        <v>2798.5432419819595</v>
      </c>
      <c r="K112" s="122"/>
    </row>
    <row r="113" spans="2:11" ht="15" thickBot="1" x14ac:dyDescent="0.35">
      <c r="B113" s="41"/>
      <c r="C113" s="35"/>
      <c r="D113" s="121"/>
      <c r="E113" s="121"/>
      <c r="F113" s="121"/>
      <c r="G113" s="121"/>
      <c r="H113" s="121"/>
      <c r="I113" s="121"/>
      <c r="J113" s="121"/>
      <c r="K113" s="123"/>
    </row>
    <row r="114" spans="2:11" ht="15" thickBot="1" x14ac:dyDescent="0.35">
      <c r="B114" s="117">
        <v>39</v>
      </c>
      <c r="C114" s="118"/>
      <c r="D114" s="120">
        <f t="shared" ref="D114" si="148">$D$30</f>
        <v>13.596946499530036</v>
      </c>
      <c r="E114" s="120"/>
      <c r="F114" s="120">
        <f t="shared" ref="F114" si="149">($G$22/12)*J112</f>
        <v>5.363874547132089</v>
      </c>
      <c r="G114" s="120"/>
      <c r="H114" s="120">
        <f t="shared" ref="H114" si="150">D114-F114</f>
        <v>8.2330719523979461</v>
      </c>
      <c r="I114" s="120"/>
      <c r="J114" s="120">
        <f t="shared" ref="J114" si="151">J112-H114</f>
        <v>2790.3101700295615</v>
      </c>
      <c r="K114" s="122"/>
    </row>
    <row r="115" spans="2:11" ht="15" thickBot="1" x14ac:dyDescent="0.35">
      <c r="B115" s="41"/>
      <c r="C115" s="35"/>
      <c r="D115" s="121"/>
      <c r="E115" s="121"/>
      <c r="F115" s="121"/>
      <c r="G115" s="121"/>
      <c r="H115" s="121"/>
      <c r="I115" s="121"/>
      <c r="J115" s="121"/>
      <c r="K115" s="123"/>
    </row>
    <row r="116" spans="2:11" ht="15" thickBot="1" x14ac:dyDescent="0.35">
      <c r="B116" s="117">
        <v>40</v>
      </c>
      <c r="C116" s="118"/>
      <c r="D116" s="120">
        <f t="shared" ref="D116" si="152">$D$30</f>
        <v>13.596946499530036</v>
      </c>
      <c r="E116" s="120"/>
      <c r="F116" s="120">
        <f t="shared" ref="F116" si="153">($G$22/12)*J114</f>
        <v>5.3480944925566591</v>
      </c>
      <c r="G116" s="120"/>
      <c r="H116" s="120">
        <f t="shared" ref="H116" si="154">D116-F116</f>
        <v>8.2488520069733759</v>
      </c>
      <c r="I116" s="120"/>
      <c r="J116" s="120">
        <f t="shared" ref="J116" si="155">J114-H116</f>
        <v>2782.0613180225882</v>
      </c>
      <c r="K116" s="122"/>
    </row>
    <row r="117" spans="2:11" ht="15" thickBot="1" x14ac:dyDescent="0.35">
      <c r="B117" s="41"/>
      <c r="C117" s="35"/>
      <c r="D117" s="121"/>
      <c r="E117" s="121"/>
      <c r="F117" s="121"/>
      <c r="G117" s="121"/>
      <c r="H117" s="121"/>
      <c r="I117" s="121"/>
      <c r="J117" s="121"/>
      <c r="K117" s="123"/>
    </row>
    <row r="118" spans="2:11" ht="15" thickBot="1" x14ac:dyDescent="0.35">
      <c r="B118" s="117">
        <v>41</v>
      </c>
      <c r="C118" s="118"/>
      <c r="D118" s="120">
        <f t="shared" ref="D118" si="156">$D$30</f>
        <v>13.596946499530036</v>
      </c>
      <c r="E118" s="120"/>
      <c r="F118" s="120">
        <f t="shared" ref="F118" si="157">($G$22/12)*J116</f>
        <v>5.3322841928766271</v>
      </c>
      <c r="G118" s="120"/>
      <c r="H118" s="120">
        <f t="shared" ref="H118" si="158">D118-F118</f>
        <v>8.2646623066534097</v>
      </c>
      <c r="I118" s="120"/>
      <c r="J118" s="120">
        <f t="shared" ref="J118" si="159">J116-H118</f>
        <v>2773.7966557159348</v>
      </c>
      <c r="K118" s="122"/>
    </row>
    <row r="119" spans="2:11" ht="15" thickBot="1" x14ac:dyDescent="0.35">
      <c r="B119" s="41"/>
      <c r="C119" s="35"/>
      <c r="D119" s="121"/>
      <c r="E119" s="121"/>
      <c r="F119" s="121"/>
      <c r="G119" s="121"/>
      <c r="H119" s="121"/>
      <c r="I119" s="121"/>
      <c r="J119" s="121"/>
      <c r="K119" s="123"/>
    </row>
    <row r="120" spans="2:11" ht="15" thickBot="1" x14ac:dyDescent="0.35">
      <c r="B120" s="117">
        <v>42</v>
      </c>
      <c r="C120" s="118"/>
      <c r="D120" s="120">
        <f t="shared" ref="D120" si="160">$D$30</f>
        <v>13.596946499530036</v>
      </c>
      <c r="E120" s="120"/>
      <c r="F120" s="120">
        <f t="shared" ref="F120" si="161">($G$22/12)*J118</f>
        <v>5.3164435901222085</v>
      </c>
      <c r="G120" s="120"/>
      <c r="H120" s="120">
        <f t="shared" ref="H120" si="162">D120-F120</f>
        <v>8.2805029094078275</v>
      </c>
      <c r="I120" s="120"/>
      <c r="J120" s="120">
        <f t="shared" ref="J120" si="163">J118-H120</f>
        <v>2765.5161528065269</v>
      </c>
      <c r="K120" s="122"/>
    </row>
    <row r="121" spans="2:11" ht="15" thickBot="1" x14ac:dyDescent="0.35">
      <c r="B121" s="41"/>
      <c r="C121" s="35"/>
      <c r="D121" s="121"/>
      <c r="E121" s="121"/>
      <c r="F121" s="121"/>
      <c r="G121" s="121"/>
      <c r="H121" s="121"/>
      <c r="I121" s="121"/>
      <c r="J121" s="121"/>
      <c r="K121" s="123"/>
    </row>
    <row r="122" spans="2:11" ht="15" thickBot="1" x14ac:dyDescent="0.35">
      <c r="B122" s="117">
        <v>43</v>
      </c>
      <c r="C122" s="118"/>
      <c r="D122" s="120">
        <f t="shared" ref="D122" si="164">$D$30</f>
        <v>13.596946499530036</v>
      </c>
      <c r="E122" s="120"/>
      <c r="F122" s="120">
        <f t="shared" ref="F122" si="165">($G$22/12)*J120</f>
        <v>5.3005726262125092</v>
      </c>
      <c r="G122" s="120"/>
      <c r="H122" s="120">
        <f t="shared" ref="H122" si="166">D122-F122</f>
        <v>8.2963738733175276</v>
      </c>
      <c r="I122" s="120"/>
      <c r="J122" s="120">
        <f t="shared" ref="J122" si="167">J120-H122</f>
        <v>2757.2197789332095</v>
      </c>
      <c r="K122" s="122"/>
    </row>
    <row r="123" spans="2:11" ht="15" thickBot="1" x14ac:dyDescent="0.35">
      <c r="B123" s="41"/>
      <c r="C123" s="35"/>
      <c r="D123" s="121"/>
      <c r="E123" s="121"/>
      <c r="F123" s="121"/>
      <c r="G123" s="121"/>
      <c r="H123" s="121"/>
      <c r="I123" s="121"/>
      <c r="J123" s="121"/>
      <c r="K123" s="123"/>
    </row>
    <row r="124" spans="2:11" ht="15" thickBot="1" x14ac:dyDescent="0.35">
      <c r="B124" s="117">
        <v>44</v>
      </c>
      <c r="C124" s="118"/>
      <c r="D124" s="120">
        <f t="shared" ref="D124" si="168">$D$30</f>
        <v>13.596946499530036</v>
      </c>
      <c r="E124" s="120"/>
      <c r="F124" s="120">
        <f t="shared" ref="F124" si="169">($G$22/12)*J122</f>
        <v>5.2846712429553175</v>
      </c>
      <c r="G124" s="120"/>
      <c r="H124" s="120">
        <f t="shared" ref="H124" si="170">D124-F124</f>
        <v>8.3122752565747184</v>
      </c>
      <c r="I124" s="120"/>
      <c r="J124" s="120">
        <f t="shared" ref="J124" si="171">J122-H124</f>
        <v>2748.9075036766349</v>
      </c>
      <c r="K124" s="122"/>
    </row>
    <row r="125" spans="2:11" ht="15" thickBot="1" x14ac:dyDescent="0.35">
      <c r="B125" s="41"/>
      <c r="C125" s="35"/>
      <c r="D125" s="121"/>
      <c r="E125" s="121"/>
      <c r="F125" s="121"/>
      <c r="G125" s="121"/>
      <c r="H125" s="121"/>
      <c r="I125" s="121"/>
      <c r="J125" s="121"/>
      <c r="K125" s="123"/>
    </row>
    <row r="126" spans="2:11" ht="15" thickBot="1" x14ac:dyDescent="0.35">
      <c r="B126" s="117">
        <v>45</v>
      </c>
      <c r="C126" s="118"/>
      <c r="D126" s="120">
        <f t="shared" ref="D126" si="172">$D$30</f>
        <v>13.596946499530036</v>
      </c>
      <c r="E126" s="120"/>
      <c r="F126" s="120">
        <f t="shared" ref="F126" si="173">($G$22/12)*J124</f>
        <v>5.2687393820468831</v>
      </c>
      <c r="G126" s="120"/>
      <c r="H126" s="120">
        <f t="shared" ref="H126" si="174">D126-F126</f>
        <v>8.3282071174831529</v>
      </c>
      <c r="I126" s="120"/>
      <c r="J126" s="120">
        <f t="shared" ref="J126" si="175">J124-H126</f>
        <v>2740.5792965591518</v>
      </c>
      <c r="K126" s="122"/>
    </row>
    <row r="127" spans="2:11" ht="15" thickBot="1" x14ac:dyDescent="0.35">
      <c r="B127" s="41"/>
      <c r="C127" s="35"/>
      <c r="D127" s="121"/>
      <c r="E127" s="121"/>
      <c r="F127" s="121"/>
      <c r="G127" s="121"/>
      <c r="H127" s="121"/>
      <c r="I127" s="121"/>
      <c r="J127" s="121"/>
      <c r="K127" s="123"/>
    </row>
    <row r="128" spans="2:11" ht="15" thickBot="1" x14ac:dyDescent="0.35">
      <c r="B128" s="117">
        <v>46</v>
      </c>
      <c r="C128" s="118"/>
      <c r="D128" s="120">
        <f t="shared" ref="D128" si="176">$D$30</f>
        <v>13.596946499530036</v>
      </c>
      <c r="E128" s="120"/>
      <c r="F128" s="120">
        <f t="shared" ref="F128" si="177">($G$22/12)*J126</f>
        <v>5.2527769850717076</v>
      </c>
      <c r="G128" s="120"/>
      <c r="H128" s="120">
        <f t="shared" ref="H128" si="178">D128-F128</f>
        <v>8.3441695144583292</v>
      </c>
      <c r="I128" s="120"/>
      <c r="J128" s="120">
        <f t="shared" ref="J128" si="179">J126-H128</f>
        <v>2732.2351270446934</v>
      </c>
      <c r="K128" s="122"/>
    </row>
    <row r="129" spans="2:11" ht="15" thickBot="1" x14ac:dyDescent="0.35">
      <c r="B129" s="41"/>
      <c r="C129" s="35"/>
      <c r="D129" s="121"/>
      <c r="E129" s="121"/>
      <c r="F129" s="121"/>
      <c r="G129" s="121"/>
      <c r="H129" s="121"/>
      <c r="I129" s="121"/>
      <c r="J129" s="121"/>
      <c r="K129" s="123"/>
    </row>
    <row r="130" spans="2:11" ht="15" thickBot="1" x14ac:dyDescent="0.35">
      <c r="B130" s="117">
        <v>47</v>
      </c>
      <c r="C130" s="118"/>
      <c r="D130" s="120">
        <f t="shared" ref="D130" si="180">$D$30</f>
        <v>13.596946499530036</v>
      </c>
      <c r="E130" s="120"/>
      <c r="F130" s="120">
        <f t="shared" ref="F130" si="181">($G$22/12)*J128</f>
        <v>5.2367839935023284</v>
      </c>
      <c r="G130" s="120"/>
      <c r="H130" s="120">
        <f t="shared" ref="H130" si="182">D130-F130</f>
        <v>8.3601625060277076</v>
      </c>
      <c r="I130" s="120"/>
      <c r="J130" s="120">
        <f t="shared" ref="J130" si="183">J128-H130</f>
        <v>2723.8749645386656</v>
      </c>
      <c r="K130" s="122"/>
    </row>
    <row r="131" spans="2:11" ht="15" thickBot="1" x14ac:dyDescent="0.35">
      <c r="B131" s="41"/>
      <c r="C131" s="35"/>
      <c r="D131" s="121"/>
      <c r="E131" s="121"/>
      <c r="F131" s="121"/>
      <c r="G131" s="121"/>
      <c r="H131" s="121"/>
      <c r="I131" s="121"/>
      <c r="J131" s="121"/>
      <c r="K131" s="123"/>
    </row>
    <row r="132" spans="2:11" ht="15" thickBot="1" x14ac:dyDescent="0.35">
      <c r="B132" s="117">
        <v>48</v>
      </c>
      <c r="C132" s="118"/>
      <c r="D132" s="120">
        <f t="shared" ref="D132" si="184">$D$30</f>
        <v>13.596946499530036</v>
      </c>
      <c r="E132" s="120"/>
      <c r="F132" s="120">
        <f t="shared" ref="F132" si="185">($G$22/12)*J130</f>
        <v>5.220760348699109</v>
      </c>
      <c r="G132" s="120"/>
      <c r="H132" s="120">
        <f t="shared" ref="H132" si="186">D132-F132</f>
        <v>8.376186150830927</v>
      </c>
      <c r="I132" s="120"/>
      <c r="J132" s="120">
        <f t="shared" ref="J132" si="187">J130-H132</f>
        <v>2715.4987783878346</v>
      </c>
      <c r="K132" s="122"/>
    </row>
    <row r="133" spans="2:11" ht="15" thickBot="1" x14ac:dyDescent="0.35">
      <c r="B133" s="41"/>
      <c r="C133" s="35"/>
      <c r="D133" s="121"/>
      <c r="E133" s="121"/>
      <c r="F133" s="121"/>
      <c r="G133" s="121"/>
      <c r="H133" s="121"/>
      <c r="I133" s="121"/>
      <c r="J133" s="121"/>
      <c r="K133" s="123"/>
    </row>
    <row r="134" spans="2:11" ht="15" thickBot="1" x14ac:dyDescent="0.35">
      <c r="B134" s="117">
        <v>49</v>
      </c>
      <c r="C134" s="118"/>
      <c r="D134" s="120">
        <f t="shared" ref="D134" si="188">$D$30</f>
        <v>13.596946499530036</v>
      </c>
      <c r="E134" s="120"/>
      <c r="F134" s="120">
        <f t="shared" ref="F134" si="189">($G$22/12)*J132</f>
        <v>5.204705991910016</v>
      </c>
      <c r="G134" s="120"/>
      <c r="H134" s="120">
        <f t="shared" ref="H134" si="190">D134-F134</f>
        <v>8.3922405076200199</v>
      </c>
      <c r="I134" s="120"/>
      <c r="J134" s="120">
        <f t="shared" ref="J134" si="191">J132-H134</f>
        <v>2707.1065378802145</v>
      </c>
      <c r="K134" s="122"/>
    </row>
    <row r="135" spans="2:11" ht="15" thickBot="1" x14ac:dyDescent="0.35">
      <c r="B135" s="41"/>
      <c r="C135" s="35"/>
      <c r="D135" s="121"/>
      <c r="E135" s="121"/>
      <c r="F135" s="121"/>
      <c r="G135" s="121"/>
      <c r="H135" s="121"/>
      <c r="I135" s="121"/>
      <c r="J135" s="121"/>
      <c r="K135" s="123"/>
    </row>
    <row r="136" spans="2:11" ht="15" thickBot="1" x14ac:dyDescent="0.35">
      <c r="B136" s="117">
        <v>50</v>
      </c>
      <c r="C136" s="118"/>
      <c r="D136" s="120">
        <f t="shared" ref="D136" si="192">$D$30</f>
        <v>13.596946499530036</v>
      </c>
      <c r="E136" s="120"/>
      <c r="F136" s="120">
        <f t="shared" ref="F136" si="193">($G$22/12)*J134</f>
        <v>5.188620864270411</v>
      </c>
      <c r="G136" s="120"/>
      <c r="H136" s="120">
        <f t="shared" ref="H136" si="194">D136-F136</f>
        <v>8.4083256352596258</v>
      </c>
      <c r="I136" s="120"/>
      <c r="J136" s="120">
        <f t="shared" ref="J136" si="195">J134-H136</f>
        <v>2698.6982122449549</v>
      </c>
      <c r="K136" s="122"/>
    </row>
    <row r="137" spans="2:11" ht="15" thickBot="1" x14ac:dyDescent="0.35">
      <c r="B137" s="41"/>
      <c r="C137" s="35"/>
      <c r="D137" s="121"/>
      <c r="E137" s="121"/>
      <c r="F137" s="121"/>
      <c r="G137" s="121"/>
      <c r="H137" s="121"/>
      <c r="I137" s="121"/>
      <c r="J137" s="121"/>
      <c r="K137" s="123"/>
    </row>
    <row r="138" spans="2:11" ht="15" thickBot="1" x14ac:dyDescent="0.35">
      <c r="B138" s="117">
        <v>51</v>
      </c>
      <c r="C138" s="118"/>
      <c r="D138" s="120">
        <f t="shared" ref="D138" si="196">$D$30</f>
        <v>13.596946499530036</v>
      </c>
      <c r="E138" s="120"/>
      <c r="F138" s="120">
        <f t="shared" ref="F138" si="197">($G$22/12)*J136</f>
        <v>5.1725049068028301</v>
      </c>
      <c r="G138" s="120"/>
      <c r="H138" s="120">
        <f t="shared" ref="H138" si="198">D138-F138</f>
        <v>8.4244415927272058</v>
      </c>
      <c r="I138" s="120"/>
      <c r="J138" s="120">
        <f t="shared" ref="J138" si="199">J136-H138</f>
        <v>2690.2737706522275</v>
      </c>
      <c r="K138" s="122"/>
    </row>
    <row r="139" spans="2:11" ht="15" thickBot="1" x14ac:dyDescent="0.35">
      <c r="B139" s="41"/>
      <c r="C139" s="35"/>
      <c r="D139" s="121"/>
      <c r="E139" s="121"/>
      <c r="F139" s="121"/>
      <c r="G139" s="121"/>
      <c r="H139" s="121"/>
      <c r="I139" s="121"/>
      <c r="J139" s="121"/>
      <c r="K139" s="123"/>
    </row>
    <row r="140" spans="2:11" ht="15" thickBot="1" x14ac:dyDescent="0.35">
      <c r="B140" s="117">
        <v>52</v>
      </c>
      <c r="C140" s="118"/>
      <c r="D140" s="120">
        <f t="shared" ref="D140" si="200">$D$30</f>
        <v>13.596946499530036</v>
      </c>
      <c r="E140" s="120"/>
      <c r="F140" s="120">
        <f t="shared" ref="F140" si="201">($G$22/12)*J138</f>
        <v>5.1563580604167694</v>
      </c>
      <c r="G140" s="120"/>
      <c r="H140" s="120">
        <f t="shared" ref="H140" si="202">D140-F140</f>
        <v>8.4405884391132666</v>
      </c>
      <c r="I140" s="120"/>
      <c r="J140" s="120">
        <f t="shared" ref="J140" si="203">J138-H140</f>
        <v>2681.8331822131145</v>
      </c>
      <c r="K140" s="122"/>
    </row>
    <row r="141" spans="2:11" ht="15" thickBot="1" x14ac:dyDescent="0.35">
      <c r="B141" s="41"/>
      <c r="C141" s="35"/>
      <c r="D141" s="121"/>
      <c r="E141" s="121"/>
      <c r="F141" s="121"/>
      <c r="G141" s="121"/>
      <c r="H141" s="121"/>
      <c r="I141" s="121"/>
      <c r="J141" s="121"/>
      <c r="K141" s="123"/>
    </row>
    <row r="142" spans="2:11" ht="15" thickBot="1" x14ac:dyDescent="0.35">
      <c r="B142" s="117">
        <v>53</v>
      </c>
      <c r="C142" s="118"/>
      <c r="D142" s="120">
        <f t="shared" ref="D142" si="204">$D$30</f>
        <v>13.596946499530036</v>
      </c>
      <c r="E142" s="120"/>
      <c r="F142" s="120">
        <f t="shared" ref="F142" si="205">($G$22/12)*J140</f>
        <v>5.1401802659084694</v>
      </c>
      <c r="G142" s="120"/>
      <c r="H142" s="120">
        <f t="shared" ref="H142" si="206">D142-F142</f>
        <v>8.4567662336215665</v>
      </c>
      <c r="I142" s="120"/>
      <c r="J142" s="120">
        <f t="shared" ref="J142" si="207">J140-H142</f>
        <v>2673.3764159794928</v>
      </c>
      <c r="K142" s="122"/>
    </row>
    <row r="143" spans="2:11" ht="15" thickBot="1" x14ac:dyDescent="0.35">
      <c r="B143" s="41"/>
      <c r="C143" s="35"/>
      <c r="D143" s="121"/>
      <c r="E143" s="121"/>
      <c r="F143" s="121"/>
      <c r="G143" s="121"/>
      <c r="H143" s="121"/>
      <c r="I143" s="121"/>
      <c r="J143" s="121"/>
      <c r="K143" s="123"/>
    </row>
    <row r="144" spans="2:11" ht="15" thickBot="1" x14ac:dyDescent="0.35">
      <c r="B144" s="117">
        <v>54</v>
      </c>
      <c r="C144" s="118"/>
      <c r="D144" s="120">
        <f t="shared" ref="D144" si="208">$D$30</f>
        <v>13.596946499530036</v>
      </c>
      <c r="E144" s="120"/>
      <c r="F144" s="120">
        <f t="shared" ref="F144" si="209">($G$22/12)*J142</f>
        <v>5.1239714639606939</v>
      </c>
      <c r="G144" s="120"/>
      <c r="H144" s="120">
        <f t="shared" ref="H144" si="210">D144-F144</f>
        <v>8.4729750355693412</v>
      </c>
      <c r="I144" s="120"/>
      <c r="J144" s="120">
        <f t="shared" ref="J144" si="211">J142-H144</f>
        <v>2664.9034409439232</v>
      </c>
      <c r="K144" s="122"/>
    </row>
    <row r="145" spans="2:11" ht="15" thickBot="1" x14ac:dyDescent="0.35">
      <c r="B145" s="41"/>
      <c r="C145" s="35"/>
      <c r="D145" s="121"/>
      <c r="E145" s="121"/>
      <c r="F145" s="121"/>
      <c r="G145" s="121"/>
      <c r="H145" s="121"/>
      <c r="I145" s="121"/>
      <c r="J145" s="121"/>
      <c r="K145" s="123"/>
    </row>
    <row r="146" spans="2:11" ht="15" thickBot="1" x14ac:dyDescent="0.35">
      <c r="B146" s="117">
        <v>55</v>
      </c>
      <c r="C146" s="118"/>
      <c r="D146" s="120">
        <f t="shared" ref="D146" si="212">$D$30</f>
        <v>13.596946499530036</v>
      </c>
      <c r="E146" s="120"/>
      <c r="F146" s="120">
        <f t="shared" ref="F146" si="213">($G$22/12)*J144</f>
        <v>5.1077315951425195</v>
      </c>
      <c r="G146" s="120"/>
      <c r="H146" s="120">
        <f t="shared" ref="H146" si="214">D146-F146</f>
        <v>8.4892149043875165</v>
      </c>
      <c r="I146" s="120"/>
      <c r="J146" s="120">
        <f t="shared" ref="J146" si="215">J144-H146</f>
        <v>2656.4142260395356</v>
      </c>
      <c r="K146" s="122"/>
    </row>
    <row r="147" spans="2:11" ht="15" thickBot="1" x14ac:dyDescent="0.35">
      <c r="B147" s="41"/>
      <c r="C147" s="35"/>
      <c r="D147" s="121"/>
      <c r="E147" s="121"/>
      <c r="F147" s="121"/>
      <c r="G147" s="121"/>
      <c r="H147" s="121"/>
      <c r="I147" s="121"/>
      <c r="J147" s="121"/>
      <c r="K147" s="123"/>
    </row>
    <row r="148" spans="2:11" ht="15" thickBot="1" x14ac:dyDescent="0.35">
      <c r="B148" s="117">
        <v>56</v>
      </c>
      <c r="C148" s="118"/>
      <c r="D148" s="120">
        <f t="shared" ref="D148" si="216">$D$30</f>
        <v>13.596946499530036</v>
      </c>
      <c r="E148" s="120"/>
      <c r="F148" s="120">
        <f t="shared" ref="F148" si="217">($G$22/12)*J146</f>
        <v>5.0914605999091096</v>
      </c>
      <c r="G148" s="120"/>
      <c r="H148" s="120">
        <f t="shared" ref="H148" si="218">D148-F148</f>
        <v>8.5054858996209255</v>
      </c>
      <c r="I148" s="120"/>
      <c r="J148" s="120">
        <f t="shared" ref="J148" si="219">J146-H148</f>
        <v>2647.9087401399147</v>
      </c>
      <c r="K148" s="122"/>
    </row>
    <row r="149" spans="2:11" ht="15" thickBot="1" x14ac:dyDescent="0.35">
      <c r="B149" s="41"/>
      <c r="C149" s="35"/>
      <c r="D149" s="121"/>
      <c r="E149" s="121"/>
      <c r="F149" s="121"/>
      <c r="G149" s="121"/>
      <c r="H149" s="121"/>
      <c r="I149" s="121"/>
      <c r="J149" s="121"/>
      <c r="K149" s="123"/>
    </row>
    <row r="150" spans="2:11" ht="15" thickBot="1" x14ac:dyDescent="0.35">
      <c r="B150" s="117">
        <v>57</v>
      </c>
      <c r="C150" s="118"/>
      <c r="D150" s="120">
        <f t="shared" ref="D150" si="220">$D$30</f>
        <v>13.596946499530036</v>
      </c>
      <c r="E150" s="120"/>
      <c r="F150" s="120">
        <f t="shared" ref="F150" si="221">($G$22/12)*J148</f>
        <v>5.0751584186015029</v>
      </c>
      <c r="G150" s="120"/>
      <c r="H150" s="120">
        <f t="shared" ref="H150" si="222">D150-F150</f>
        <v>8.521788080928534</v>
      </c>
      <c r="I150" s="120"/>
      <c r="J150" s="120">
        <f t="shared" ref="J150" si="223">J148-H150</f>
        <v>2639.386952058986</v>
      </c>
      <c r="K150" s="122"/>
    </row>
    <row r="151" spans="2:11" ht="15" thickBot="1" x14ac:dyDescent="0.35">
      <c r="B151" s="41"/>
      <c r="C151" s="35"/>
      <c r="D151" s="121"/>
      <c r="E151" s="121"/>
      <c r="F151" s="121"/>
      <c r="G151" s="121"/>
      <c r="H151" s="121"/>
      <c r="I151" s="121"/>
      <c r="J151" s="121"/>
      <c r="K151" s="123"/>
    </row>
    <row r="152" spans="2:11" ht="15" thickBot="1" x14ac:dyDescent="0.35">
      <c r="B152" s="117">
        <v>58</v>
      </c>
      <c r="C152" s="118"/>
      <c r="D152" s="120">
        <f t="shared" ref="D152" si="224">$D$30</f>
        <v>13.596946499530036</v>
      </c>
      <c r="E152" s="120"/>
      <c r="F152" s="120">
        <f t="shared" ref="F152" si="225">($G$22/12)*J150</f>
        <v>5.0588249914463894</v>
      </c>
      <c r="G152" s="120"/>
      <c r="H152" s="120">
        <f t="shared" ref="H152" si="226">D152-F152</f>
        <v>8.5381215080836466</v>
      </c>
      <c r="I152" s="120"/>
      <c r="J152" s="120">
        <f t="shared" ref="J152" si="227">J150-H152</f>
        <v>2630.8488305509022</v>
      </c>
      <c r="K152" s="122"/>
    </row>
    <row r="153" spans="2:11" ht="15" thickBot="1" x14ac:dyDescent="0.35">
      <c r="B153" s="41"/>
      <c r="C153" s="35"/>
      <c r="D153" s="121"/>
      <c r="E153" s="121"/>
      <c r="F153" s="121"/>
      <c r="G153" s="121"/>
      <c r="H153" s="121"/>
      <c r="I153" s="121"/>
      <c r="J153" s="121"/>
      <c r="K153" s="123"/>
    </row>
    <row r="154" spans="2:11" ht="15" thickBot="1" x14ac:dyDescent="0.35">
      <c r="B154" s="117">
        <v>59</v>
      </c>
      <c r="C154" s="118"/>
      <c r="D154" s="120">
        <f t="shared" ref="D154" si="228">$D$30</f>
        <v>13.596946499530036</v>
      </c>
      <c r="E154" s="120"/>
      <c r="F154" s="120">
        <f t="shared" ref="F154" si="229">($G$22/12)*J152</f>
        <v>5.042460258555896</v>
      </c>
      <c r="G154" s="120"/>
      <c r="H154" s="120">
        <f t="shared" ref="H154" si="230">D154-F154</f>
        <v>8.5544862409741391</v>
      </c>
      <c r="I154" s="120"/>
      <c r="J154" s="120">
        <f t="shared" ref="J154" si="231">J152-H154</f>
        <v>2622.294344309928</v>
      </c>
      <c r="K154" s="122"/>
    </row>
    <row r="155" spans="2:11" ht="15" thickBot="1" x14ac:dyDescent="0.35">
      <c r="B155" s="41"/>
      <c r="C155" s="35"/>
      <c r="D155" s="121"/>
      <c r="E155" s="121"/>
      <c r="F155" s="121"/>
      <c r="G155" s="121"/>
      <c r="H155" s="121"/>
      <c r="I155" s="121"/>
      <c r="J155" s="121"/>
      <c r="K155" s="123"/>
    </row>
    <row r="156" spans="2:11" ht="15" thickBot="1" x14ac:dyDescent="0.35">
      <c r="B156" s="117">
        <v>60</v>
      </c>
      <c r="C156" s="118"/>
      <c r="D156" s="120">
        <f t="shared" ref="D156" si="232">$D$30</f>
        <v>13.596946499530036</v>
      </c>
      <c r="E156" s="120"/>
      <c r="F156" s="120">
        <f t="shared" ref="F156" si="233">($G$22/12)*J154</f>
        <v>5.0260641599273619</v>
      </c>
      <c r="G156" s="120"/>
      <c r="H156" s="120">
        <f t="shared" ref="H156" si="234">D156-F156</f>
        <v>8.5708823396026741</v>
      </c>
      <c r="I156" s="120"/>
      <c r="J156" s="120">
        <f t="shared" ref="J156" si="235">J154-H156</f>
        <v>2613.7234619703254</v>
      </c>
      <c r="K156" s="122"/>
    </row>
    <row r="157" spans="2:11" ht="15" thickBot="1" x14ac:dyDescent="0.35">
      <c r="B157" s="41"/>
      <c r="C157" s="35"/>
      <c r="D157" s="121"/>
      <c r="E157" s="121"/>
      <c r="F157" s="121"/>
      <c r="G157" s="121"/>
      <c r="H157" s="121"/>
      <c r="I157" s="121"/>
      <c r="J157" s="121"/>
      <c r="K157" s="123"/>
    </row>
    <row r="158" spans="2:11" ht="15" thickBot="1" x14ac:dyDescent="0.35">
      <c r="B158" s="117">
        <v>61</v>
      </c>
      <c r="C158" s="118"/>
      <c r="D158" s="120">
        <f t="shared" ref="D158" si="236">$D$30</f>
        <v>13.596946499530036</v>
      </c>
      <c r="E158" s="120"/>
      <c r="F158" s="120">
        <f t="shared" ref="F158" si="237">($G$22/12)*J156</f>
        <v>5.0096366354431234</v>
      </c>
      <c r="G158" s="120"/>
      <c r="H158" s="120">
        <f t="shared" ref="H158" si="238">D158-F158</f>
        <v>8.5873098640869117</v>
      </c>
      <c r="I158" s="120"/>
      <c r="J158" s="120">
        <f t="shared" ref="J158" si="239">J156-H158</f>
        <v>2605.1361521062386</v>
      </c>
      <c r="K158" s="122"/>
    </row>
    <row r="159" spans="2:11" ht="15" thickBot="1" x14ac:dyDescent="0.35">
      <c r="B159" s="41"/>
      <c r="C159" s="35"/>
      <c r="D159" s="121"/>
      <c r="E159" s="121"/>
      <c r="F159" s="121"/>
      <c r="G159" s="121"/>
      <c r="H159" s="121"/>
      <c r="I159" s="121"/>
      <c r="J159" s="121"/>
      <c r="K159" s="123"/>
    </row>
    <row r="160" spans="2:11" ht="15" thickBot="1" x14ac:dyDescent="0.35">
      <c r="B160" s="117">
        <v>62</v>
      </c>
      <c r="C160" s="118"/>
      <c r="D160" s="120">
        <f t="shared" ref="D160" si="240">$D$30</f>
        <v>13.596946499530036</v>
      </c>
      <c r="E160" s="120"/>
      <c r="F160" s="120">
        <f t="shared" ref="F160" si="241">($G$22/12)*J158</f>
        <v>4.9931776248702899</v>
      </c>
      <c r="G160" s="120"/>
      <c r="H160" s="120">
        <f t="shared" ref="H160" si="242">D160-F160</f>
        <v>8.603768874659746</v>
      </c>
      <c r="I160" s="120"/>
      <c r="J160" s="120">
        <f t="shared" ref="J160" si="243">J158-H160</f>
        <v>2596.5323832315789</v>
      </c>
      <c r="K160" s="122"/>
    </row>
    <row r="161" spans="2:11" ht="15" thickBot="1" x14ac:dyDescent="0.35">
      <c r="B161" s="41"/>
      <c r="C161" s="35"/>
      <c r="D161" s="121"/>
      <c r="E161" s="121"/>
      <c r="F161" s="121"/>
      <c r="G161" s="121"/>
      <c r="H161" s="121"/>
      <c r="I161" s="121"/>
      <c r="J161" s="121"/>
      <c r="K161" s="123"/>
    </row>
    <row r="162" spans="2:11" ht="15" thickBot="1" x14ac:dyDescent="0.35">
      <c r="B162" s="117">
        <v>63</v>
      </c>
      <c r="C162" s="118"/>
      <c r="D162" s="120">
        <f t="shared" ref="D162" si="244">$D$30</f>
        <v>13.596946499530036</v>
      </c>
      <c r="E162" s="120"/>
      <c r="F162" s="120">
        <f t="shared" ref="F162" si="245">($G$22/12)*J160</f>
        <v>4.9766870678605262</v>
      </c>
      <c r="G162" s="120"/>
      <c r="H162" s="120">
        <f t="shared" ref="H162" si="246">D162-F162</f>
        <v>8.6202594316695098</v>
      </c>
      <c r="I162" s="120"/>
      <c r="J162" s="120">
        <f t="shared" ref="J162" si="247">J160-H162</f>
        <v>2587.9121237999093</v>
      </c>
      <c r="K162" s="122"/>
    </row>
    <row r="163" spans="2:11" ht="15" thickBot="1" x14ac:dyDescent="0.35">
      <c r="B163" s="41"/>
      <c r="C163" s="35"/>
      <c r="D163" s="121"/>
      <c r="E163" s="121"/>
      <c r="F163" s="121"/>
      <c r="G163" s="121"/>
      <c r="H163" s="121"/>
      <c r="I163" s="121"/>
      <c r="J163" s="121"/>
      <c r="K163" s="123"/>
    </row>
    <row r="164" spans="2:11" ht="15" thickBot="1" x14ac:dyDescent="0.35">
      <c r="B164" s="117">
        <v>64</v>
      </c>
      <c r="C164" s="118"/>
      <c r="D164" s="120">
        <f t="shared" ref="D164" si="248">$D$30</f>
        <v>13.596946499530036</v>
      </c>
      <c r="E164" s="120"/>
      <c r="F164" s="120">
        <f t="shared" ref="F164" si="249">($G$22/12)*J162</f>
        <v>4.9601649039498259</v>
      </c>
      <c r="G164" s="120"/>
      <c r="H164" s="120">
        <f t="shared" ref="H164" si="250">D164-F164</f>
        <v>8.6367815955802101</v>
      </c>
      <c r="I164" s="120"/>
      <c r="J164" s="120">
        <f t="shared" ref="J164" si="251">J162-H164</f>
        <v>2579.2753422043293</v>
      </c>
      <c r="K164" s="122"/>
    </row>
    <row r="165" spans="2:11" ht="15" thickBot="1" x14ac:dyDescent="0.35">
      <c r="B165" s="41"/>
      <c r="C165" s="35"/>
      <c r="D165" s="121"/>
      <c r="E165" s="121"/>
      <c r="F165" s="121"/>
      <c r="G165" s="121"/>
      <c r="H165" s="121"/>
      <c r="I165" s="121"/>
      <c r="J165" s="121"/>
      <c r="K165" s="123"/>
    </row>
    <row r="166" spans="2:11" ht="15" thickBot="1" x14ac:dyDescent="0.35">
      <c r="B166" s="117">
        <v>65</v>
      </c>
      <c r="C166" s="118"/>
      <c r="D166" s="120">
        <f t="shared" ref="D166" si="252">$D$30</f>
        <v>13.596946499530036</v>
      </c>
      <c r="E166" s="120"/>
      <c r="F166" s="120">
        <f t="shared" ref="F166" si="253">($G$22/12)*J164</f>
        <v>4.9436110725582978</v>
      </c>
      <c r="G166" s="120"/>
      <c r="H166" s="120">
        <f t="shared" ref="H166" si="254">D166-F166</f>
        <v>8.6533354269717382</v>
      </c>
      <c r="I166" s="120"/>
      <c r="J166" s="120">
        <f t="shared" ref="J166" si="255">J164-H166</f>
        <v>2570.6220067773575</v>
      </c>
      <c r="K166" s="122"/>
    </row>
    <row r="167" spans="2:11" ht="15" thickBot="1" x14ac:dyDescent="0.35">
      <c r="B167" s="41"/>
      <c r="C167" s="35"/>
      <c r="D167" s="121"/>
      <c r="E167" s="121"/>
      <c r="F167" s="121"/>
      <c r="G167" s="121"/>
      <c r="H167" s="121"/>
      <c r="I167" s="121"/>
      <c r="J167" s="121"/>
      <c r="K167" s="123"/>
    </row>
    <row r="168" spans="2:11" ht="15" thickBot="1" x14ac:dyDescent="0.35">
      <c r="B168" s="117">
        <v>66</v>
      </c>
      <c r="C168" s="118"/>
      <c r="D168" s="120">
        <f t="shared" ref="D168" si="256">$D$30</f>
        <v>13.596946499530036</v>
      </c>
      <c r="E168" s="120"/>
      <c r="F168" s="120">
        <f t="shared" ref="F168" si="257">($G$22/12)*J166</f>
        <v>4.9270255129899345</v>
      </c>
      <c r="G168" s="120"/>
      <c r="H168" s="120">
        <f t="shared" ref="H168" si="258">D168-F168</f>
        <v>8.6699209865401023</v>
      </c>
      <c r="I168" s="120"/>
      <c r="J168" s="120">
        <f t="shared" ref="J168" si="259">J166-H168</f>
        <v>2561.9520857908174</v>
      </c>
      <c r="K168" s="122"/>
    </row>
    <row r="169" spans="2:11" ht="15" thickBot="1" x14ac:dyDescent="0.35">
      <c r="B169" s="41"/>
      <c r="C169" s="35"/>
      <c r="D169" s="121"/>
      <c r="E169" s="121"/>
      <c r="F169" s="121"/>
      <c r="G169" s="121"/>
      <c r="H169" s="121"/>
      <c r="I169" s="121"/>
      <c r="J169" s="121"/>
      <c r="K169" s="123"/>
    </row>
    <row r="170" spans="2:11" ht="15" thickBot="1" x14ac:dyDescent="0.35">
      <c r="B170" s="117">
        <v>67</v>
      </c>
      <c r="C170" s="118"/>
      <c r="D170" s="120">
        <f t="shared" ref="D170" si="260">$D$30</f>
        <v>13.596946499530036</v>
      </c>
      <c r="E170" s="120"/>
      <c r="F170" s="120">
        <f t="shared" ref="F170" si="261">($G$22/12)*J168</f>
        <v>4.9104081644323996</v>
      </c>
      <c r="G170" s="120"/>
      <c r="H170" s="120">
        <f t="shared" ref="H170" si="262">D170-F170</f>
        <v>8.6865383350976373</v>
      </c>
      <c r="I170" s="120"/>
      <c r="J170" s="120">
        <f t="shared" ref="J170" si="263">J168-H170</f>
        <v>2553.2655474557196</v>
      </c>
      <c r="K170" s="122"/>
    </row>
    <row r="171" spans="2:11" ht="15" thickBot="1" x14ac:dyDescent="0.35">
      <c r="B171" s="41"/>
      <c r="C171" s="35"/>
      <c r="D171" s="121"/>
      <c r="E171" s="121"/>
      <c r="F171" s="121"/>
      <c r="G171" s="121"/>
      <c r="H171" s="121"/>
      <c r="I171" s="121"/>
      <c r="J171" s="121"/>
      <c r="K171" s="123"/>
    </row>
    <row r="172" spans="2:11" ht="15" thickBot="1" x14ac:dyDescent="0.35">
      <c r="B172" s="117">
        <v>68</v>
      </c>
      <c r="C172" s="118"/>
      <c r="D172" s="120">
        <f t="shared" ref="D172" si="264">$D$30</f>
        <v>13.596946499530036</v>
      </c>
      <c r="E172" s="120"/>
      <c r="F172" s="120">
        <f t="shared" ref="F172" si="265">($G$22/12)*J170</f>
        <v>4.8937589659567955</v>
      </c>
      <c r="G172" s="120"/>
      <c r="H172" s="120">
        <f t="shared" ref="H172" si="266">D172-F172</f>
        <v>8.7031875335732405</v>
      </c>
      <c r="I172" s="120"/>
      <c r="J172" s="120">
        <f t="shared" ref="J172" si="267">J170-H172</f>
        <v>2544.5623599221462</v>
      </c>
      <c r="K172" s="122"/>
    </row>
    <row r="173" spans="2:11" ht="15" thickBot="1" x14ac:dyDescent="0.35">
      <c r="B173" s="41"/>
      <c r="C173" s="35"/>
      <c r="D173" s="121"/>
      <c r="E173" s="121"/>
      <c r="F173" s="121"/>
      <c r="G173" s="121"/>
      <c r="H173" s="121"/>
      <c r="I173" s="121"/>
      <c r="J173" s="121"/>
      <c r="K173" s="123"/>
    </row>
    <row r="174" spans="2:11" ht="15" thickBot="1" x14ac:dyDescent="0.35">
      <c r="B174" s="117">
        <v>69</v>
      </c>
      <c r="C174" s="118"/>
      <c r="D174" s="120">
        <f t="shared" ref="D174" si="268">$D$30</f>
        <v>13.596946499530036</v>
      </c>
      <c r="E174" s="120"/>
      <c r="F174" s="120">
        <f t="shared" ref="F174" si="269">($G$22/12)*J172</f>
        <v>4.8770778565174471</v>
      </c>
      <c r="G174" s="120"/>
      <c r="H174" s="120">
        <f t="shared" ref="H174" si="270">D174-F174</f>
        <v>8.7198686430125889</v>
      </c>
      <c r="I174" s="120"/>
      <c r="J174" s="120">
        <f t="shared" ref="J174" si="271">J172-H174</f>
        <v>2535.8424912791338</v>
      </c>
      <c r="K174" s="122"/>
    </row>
    <row r="175" spans="2:11" ht="15" thickBot="1" x14ac:dyDescent="0.35">
      <c r="B175" s="41"/>
      <c r="C175" s="35"/>
      <c r="D175" s="121"/>
      <c r="E175" s="121"/>
      <c r="F175" s="121"/>
      <c r="G175" s="121"/>
      <c r="H175" s="121"/>
      <c r="I175" s="121"/>
      <c r="J175" s="121"/>
      <c r="K175" s="123"/>
    </row>
    <row r="176" spans="2:11" ht="15" thickBot="1" x14ac:dyDescent="0.35">
      <c r="B176" s="117">
        <v>70</v>
      </c>
      <c r="C176" s="118"/>
      <c r="D176" s="120">
        <f t="shared" ref="D176" si="272">$D$30</f>
        <v>13.596946499530036</v>
      </c>
      <c r="E176" s="120"/>
      <c r="F176" s="120">
        <f t="shared" ref="F176" si="273">($G$22/12)*J174</f>
        <v>4.8603647749516732</v>
      </c>
      <c r="G176" s="120"/>
      <c r="H176" s="120">
        <f t="shared" ref="H176" si="274">D176-F176</f>
        <v>8.7365817245783628</v>
      </c>
      <c r="I176" s="120"/>
      <c r="J176" s="120">
        <f t="shared" ref="J176" si="275">J174-H176</f>
        <v>2527.1059095545556</v>
      </c>
      <c r="K176" s="122"/>
    </row>
    <row r="177" spans="2:11" ht="15" thickBot="1" x14ac:dyDescent="0.35">
      <c r="B177" s="41"/>
      <c r="C177" s="35"/>
      <c r="D177" s="121"/>
      <c r="E177" s="121"/>
      <c r="F177" s="121"/>
      <c r="G177" s="121"/>
      <c r="H177" s="121"/>
      <c r="I177" s="121"/>
      <c r="J177" s="121"/>
      <c r="K177" s="123"/>
    </row>
    <row r="178" spans="2:11" ht="15" thickBot="1" x14ac:dyDescent="0.35">
      <c r="B178" s="117">
        <v>71</v>
      </c>
      <c r="C178" s="118"/>
      <c r="D178" s="120">
        <f t="shared" ref="D178" si="276">$D$30</f>
        <v>13.596946499530036</v>
      </c>
      <c r="E178" s="120"/>
      <c r="F178" s="120">
        <f t="shared" ref="F178" si="277">($G$22/12)*J176</f>
        <v>4.8436196599795647</v>
      </c>
      <c r="G178" s="120"/>
      <c r="H178" s="120">
        <f t="shared" ref="H178" si="278">D178-F178</f>
        <v>8.7533268395504713</v>
      </c>
      <c r="I178" s="120"/>
      <c r="J178" s="120">
        <f t="shared" ref="J178" si="279">J176-H178</f>
        <v>2518.3525827150052</v>
      </c>
      <c r="K178" s="122"/>
    </row>
    <row r="179" spans="2:11" ht="15" thickBot="1" x14ac:dyDescent="0.35">
      <c r="B179" s="41"/>
      <c r="C179" s="35"/>
      <c r="D179" s="121"/>
      <c r="E179" s="121"/>
      <c r="F179" s="121"/>
      <c r="G179" s="121"/>
      <c r="H179" s="121"/>
      <c r="I179" s="121"/>
      <c r="J179" s="121"/>
      <c r="K179" s="123"/>
    </row>
    <row r="180" spans="2:11" ht="15" thickBot="1" x14ac:dyDescent="0.35">
      <c r="B180" s="117">
        <v>72</v>
      </c>
      <c r="C180" s="118"/>
      <c r="D180" s="120">
        <f t="shared" ref="D180" si="280">$D$30</f>
        <v>13.596946499530036</v>
      </c>
      <c r="E180" s="120"/>
      <c r="F180" s="120">
        <f t="shared" ref="F180" si="281">($G$22/12)*J178</f>
        <v>4.8268424502037597</v>
      </c>
      <c r="G180" s="120"/>
      <c r="H180" s="120">
        <f t="shared" ref="H180" si="282">D180-F180</f>
        <v>8.7701040493262763</v>
      </c>
      <c r="I180" s="120"/>
      <c r="J180" s="120">
        <f t="shared" ref="J180" si="283">J178-H180</f>
        <v>2509.582478665679</v>
      </c>
      <c r="K180" s="122"/>
    </row>
    <row r="181" spans="2:11" ht="15" thickBot="1" x14ac:dyDescent="0.35">
      <c r="B181" s="41"/>
      <c r="C181" s="35"/>
      <c r="D181" s="121"/>
      <c r="E181" s="121"/>
      <c r="F181" s="121"/>
      <c r="G181" s="121"/>
      <c r="H181" s="121"/>
      <c r="I181" s="121"/>
      <c r="J181" s="121"/>
      <c r="K181" s="123"/>
    </row>
    <row r="182" spans="2:11" ht="15" thickBot="1" x14ac:dyDescent="0.35">
      <c r="B182" s="117">
        <v>73</v>
      </c>
      <c r="C182" s="118"/>
      <c r="D182" s="120">
        <f t="shared" ref="D182" si="284">$D$30</f>
        <v>13.596946499530036</v>
      </c>
      <c r="E182" s="120"/>
      <c r="F182" s="120">
        <f t="shared" ref="F182" si="285">($G$22/12)*J180</f>
        <v>4.810033084109218</v>
      </c>
      <c r="G182" s="120"/>
      <c r="H182" s="120">
        <f t="shared" ref="H182" si="286">D182-F182</f>
        <v>8.7869134154208179</v>
      </c>
      <c r="I182" s="120"/>
      <c r="J182" s="120">
        <f t="shared" ref="J182" si="287">J180-H182</f>
        <v>2500.7955652502583</v>
      </c>
      <c r="K182" s="122"/>
    </row>
    <row r="183" spans="2:11" ht="15" thickBot="1" x14ac:dyDescent="0.35">
      <c r="B183" s="41"/>
      <c r="C183" s="35"/>
      <c r="D183" s="121"/>
      <c r="E183" s="121"/>
      <c r="F183" s="121"/>
      <c r="G183" s="121"/>
      <c r="H183" s="121"/>
      <c r="I183" s="121"/>
      <c r="J183" s="121"/>
      <c r="K183" s="123"/>
    </row>
    <row r="184" spans="2:11" ht="15" thickBot="1" x14ac:dyDescent="0.35">
      <c r="B184" s="117">
        <v>74</v>
      </c>
      <c r="C184" s="118"/>
      <c r="D184" s="120">
        <f t="shared" ref="D184" si="288">$D$30</f>
        <v>13.596946499530036</v>
      </c>
      <c r="E184" s="120"/>
      <c r="F184" s="120">
        <f t="shared" ref="F184" si="289">($G$22/12)*J182</f>
        <v>4.7931915000629948</v>
      </c>
      <c r="G184" s="120"/>
      <c r="H184" s="120">
        <f t="shared" ref="H184" si="290">D184-F184</f>
        <v>8.8037549994670421</v>
      </c>
      <c r="I184" s="120"/>
      <c r="J184" s="120">
        <f t="shared" ref="J184" si="291">J182-H184</f>
        <v>2491.9918102507913</v>
      </c>
      <c r="K184" s="122"/>
    </row>
    <row r="185" spans="2:11" ht="15" thickBot="1" x14ac:dyDescent="0.35">
      <c r="B185" s="41"/>
      <c r="C185" s="35"/>
      <c r="D185" s="121"/>
      <c r="E185" s="121"/>
      <c r="F185" s="121"/>
      <c r="G185" s="121"/>
      <c r="H185" s="121"/>
      <c r="I185" s="121"/>
      <c r="J185" s="121"/>
      <c r="K185" s="123"/>
    </row>
    <row r="186" spans="2:11" ht="15" thickBot="1" x14ac:dyDescent="0.35">
      <c r="B186" s="117">
        <v>75</v>
      </c>
      <c r="C186" s="118"/>
      <c r="D186" s="120">
        <f t="shared" ref="D186" si="292">$D$30</f>
        <v>13.596946499530036</v>
      </c>
      <c r="E186" s="120"/>
      <c r="F186" s="120">
        <f t="shared" ref="F186" si="293">($G$22/12)*J184</f>
        <v>4.7763176363140163</v>
      </c>
      <c r="G186" s="120"/>
      <c r="H186" s="120">
        <f t="shared" ref="H186" si="294">D186-F186</f>
        <v>8.8206288632160188</v>
      </c>
      <c r="I186" s="120"/>
      <c r="J186" s="120">
        <f t="shared" ref="J186" si="295">J184-H186</f>
        <v>2483.1711813875754</v>
      </c>
      <c r="K186" s="122"/>
    </row>
    <row r="187" spans="2:11" ht="15" thickBot="1" x14ac:dyDescent="0.35">
      <c r="B187" s="41"/>
      <c r="C187" s="35"/>
      <c r="D187" s="121"/>
      <c r="E187" s="121"/>
      <c r="F187" s="121"/>
      <c r="G187" s="121"/>
      <c r="H187" s="121"/>
      <c r="I187" s="121"/>
      <c r="J187" s="121"/>
      <c r="K187" s="123"/>
    </row>
    <row r="188" spans="2:11" ht="15" thickBot="1" x14ac:dyDescent="0.35">
      <c r="B188" s="117">
        <v>76</v>
      </c>
      <c r="C188" s="118"/>
      <c r="D188" s="120">
        <f t="shared" ref="D188" si="296">$D$30</f>
        <v>13.596946499530036</v>
      </c>
      <c r="E188" s="120"/>
      <c r="F188" s="120">
        <f t="shared" ref="F188" si="297">($G$22/12)*J186</f>
        <v>4.759411430992853</v>
      </c>
      <c r="G188" s="120"/>
      <c r="H188" s="120">
        <f t="shared" ref="H188" si="298">D188-F188</f>
        <v>8.8375350685371821</v>
      </c>
      <c r="I188" s="120"/>
      <c r="J188" s="120">
        <f t="shared" ref="J188" si="299">J186-H188</f>
        <v>2474.3336463190381</v>
      </c>
      <c r="K188" s="122"/>
    </row>
    <row r="189" spans="2:11" ht="15" thickBot="1" x14ac:dyDescent="0.35">
      <c r="B189" s="41"/>
      <c r="C189" s="35"/>
      <c r="D189" s="121"/>
      <c r="E189" s="121"/>
      <c r="F189" s="121"/>
      <c r="G189" s="121"/>
      <c r="H189" s="121"/>
      <c r="I189" s="121"/>
      <c r="J189" s="121"/>
      <c r="K189" s="123"/>
    </row>
    <row r="190" spans="2:11" ht="15" thickBot="1" x14ac:dyDescent="0.35">
      <c r="B190" s="117">
        <v>77</v>
      </c>
      <c r="C190" s="118"/>
      <c r="D190" s="120">
        <f t="shared" ref="D190" si="300">$D$30</f>
        <v>13.596946499530036</v>
      </c>
      <c r="E190" s="120"/>
      <c r="F190" s="120">
        <f t="shared" ref="F190" si="301">($G$22/12)*J188</f>
        <v>4.7424728221114894</v>
      </c>
      <c r="G190" s="120"/>
      <c r="H190" s="120">
        <f t="shared" ref="H190" si="302">D190-F190</f>
        <v>8.8544736774185466</v>
      </c>
      <c r="I190" s="120"/>
      <c r="J190" s="120">
        <f t="shared" ref="J190" si="303">J188-H190</f>
        <v>2465.4791726416197</v>
      </c>
      <c r="K190" s="122"/>
    </row>
    <row r="191" spans="2:11" ht="15" thickBot="1" x14ac:dyDescent="0.35">
      <c r="B191" s="41"/>
      <c r="C191" s="35"/>
      <c r="D191" s="121"/>
      <c r="E191" s="121"/>
      <c r="F191" s="121"/>
      <c r="G191" s="121"/>
      <c r="H191" s="121"/>
      <c r="I191" s="121"/>
      <c r="J191" s="121"/>
      <c r="K191" s="123"/>
    </row>
    <row r="192" spans="2:11" ht="15" thickBot="1" x14ac:dyDescent="0.35">
      <c r="B192" s="117">
        <v>78</v>
      </c>
      <c r="C192" s="118"/>
      <c r="D192" s="120">
        <f t="shared" ref="D192" si="304">$D$30</f>
        <v>13.596946499530036</v>
      </c>
      <c r="E192" s="120"/>
      <c r="F192" s="120">
        <f t="shared" ref="F192" si="305">($G$22/12)*J190</f>
        <v>4.7255017475631043</v>
      </c>
      <c r="G192" s="120"/>
      <c r="H192" s="120">
        <f t="shared" ref="H192" si="306">D192-F192</f>
        <v>8.8714447519669317</v>
      </c>
      <c r="I192" s="120"/>
      <c r="J192" s="120">
        <f t="shared" ref="J192" si="307">J190-H192</f>
        <v>2456.6077278896528</v>
      </c>
      <c r="K192" s="122"/>
    </row>
    <row r="193" spans="2:11" ht="15" thickBot="1" x14ac:dyDescent="0.35">
      <c r="B193" s="41"/>
      <c r="C193" s="35"/>
      <c r="D193" s="121"/>
      <c r="E193" s="121"/>
      <c r="F193" s="121"/>
      <c r="G193" s="121"/>
      <c r="H193" s="121"/>
      <c r="I193" s="121"/>
      <c r="J193" s="121"/>
      <c r="K193" s="123"/>
    </row>
    <row r="194" spans="2:11" ht="15" thickBot="1" x14ac:dyDescent="0.35">
      <c r="B194" s="117">
        <v>79</v>
      </c>
      <c r="C194" s="118"/>
      <c r="D194" s="120">
        <f t="shared" ref="D194" si="308">$D$30</f>
        <v>13.596946499530036</v>
      </c>
      <c r="E194" s="120"/>
      <c r="F194" s="120">
        <f t="shared" ref="F194" si="309">($G$22/12)*J192</f>
        <v>4.7084981451218342</v>
      </c>
      <c r="G194" s="120"/>
      <c r="H194" s="120">
        <f t="shared" ref="H194" si="310">D194-F194</f>
        <v>8.8884483544082009</v>
      </c>
      <c r="I194" s="120"/>
      <c r="J194" s="120">
        <f t="shared" ref="J194" si="311">J192-H194</f>
        <v>2447.7192795352444</v>
      </c>
      <c r="K194" s="122"/>
    </row>
    <row r="195" spans="2:11" ht="15" thickBot="1" x14ac:dyDescent="0.35">
      <c r="B195" s="41"/>
      <c r="C195" s="35"/>
      <c r="D195" s="121"/>
      <c r="E195" s="121"/>
      <c r="F195" s="121"/>
      <c r="G195" s="121"/>
      <c r="H195" s="121"/>
      <c r="I195" s="121"/>
      <c r="J195" s="121"/>
      <c r="K195" s="123"/>
    </row>
    <row r="196" spans="2:11" ht="15" thickBot="1" x14ac:dyDescent="0.35">
      <c r="B196" s="117">
        <v>80</v>
      </c>
      <c r="C196" s="118"/>
      <c r="D196" s="120">
        <f t="shared" ref="D196" si="312">$D$30</f>
        <v>13.596946499530036</v>
      </c>
      <c r="E196" s="120"/>
      <c r="F196" s="120">
        <f t="shared" ref="F196" si="313">($G$22/12)*J194</f>
        <v>4.6914619524425518</v>
      </c>
      <c r="G196" s="120"/>
      <c r="H196" s="120">
        <f t="shared" ref="H196" si="314">D196-F196</f>
        <v>8.9054845470874842</v>
      </c>
      <c r="I196" s="120"/>
      <c r="J196" s="120">
        <f t="shared" ref="J196" si="315">J194-H196</f>
        <v>2438.813794988157</v>
      </c>
      <c r="K196" s="122"/>
    </row>
    <row r="197" spans="2:11" ht="15" thickBot="1" x14ac:dyDescent="0.35">
      <c r="B197" s="41"/>
      <c r="C197" s="35"/>
      <c r="D197" s="121"/>
      <c r="E197" s="121"/>
      <c r="F197" s="121"/>
      <c r="G197" s="121"/>
      <c r="H197" s="121"/>
      <c r="I197" s="121"/>
      <c r="J197" s="121"/>
      <c r="K197" s="123"/>
    </row>
    <row r="198" spans="2:11" ht="15" thickBot="1" x14ac:dyDescent="0.35">
      <c r="B198" s="117">
        <v>81</v>
      </c>
      <c r="C198" s="118"/>
      <c r="D198" s="120">
        <f t="shared" ref="D198" si="316">$D$30</f>
        <v>13.596946499530036</v>
      </c>
      <c r="E198" s="120"/>
      <c r="F198" s="120">
        <f t="shared" ref="F198" si="317">($G$22/12)*J196</f>
        <v>4.6743931070606344</v>
      </c>
      <c r="G198" s="120"/>
      <c r="H198" s="120">
        <f t="shared" ref="H198" si="318">D198-F198</f>
        <v>8.9225533924694016</v>
      </c>
      <c r="I198" s="120"/>
      <c r="J198" s="120">
        <f t="shared" ref="J198" si="319">J196-H198</f>
        <v>2429.8912415956875</v>
      </c>
      <c r="K198" s="122"/>
    </row>
    <row r="199" spans="2:11" ht="15" thickBot="1" x14ac:dyDescent="0.35">
      <c r="B199" s="41"/>
      <c r="C199" s="35"/>
      <c r="D199" s="121"/>
      <c r="E199" s="121"/>
      <c r="F199" s="121"/>
      <c r="G199" s="121"/>
      <c r="H199" s="121"/>
      <c r="I199" s="121"/>
      <c r="J199" s="121"/>
      <c r="K199" s="123"/>
    </row>
    <row r="200" spans="2:11" ht="15" thickBot="1" x14ac:dyDescent="0.35">
      <c r="B200" s="117">
        <v>82</v>
      </c>
      <c r="C200" s="118"/>
      <c r="D200" s="120">
        <f t="shared" ref="D200" si="320">$D$30</f>
        <v>13.596946499530036</v>
      </c>
      <c r="E200" s="120"/>
      <c r="F200" s="120">
        <f t="shared" ref="F200" si="321">($G$22/12)*J198</f>
        <v>4.6572915463917344</v>
      </c>
      <c r="G200" s="120"/>
      <c r="H200" s="120">
        <f t="shared" ref="H200" si="322">D200-F200</f>
        <v>8.9396549531383016</v>
      </c>
      <c r="I200" s="120"/>
      <c r="J200" s="120">
        <f t="shared" ref="J200" si="323">J198-H200</f>
        <v>2420.951586642549</v>
      </c>
      <c r="K200" s="122"/>
    </row>
    <row r="201" spans="2:11" ht="15" thickBot="1" x14ac:dyDescent="0.35">
      <c r="B201" s="41"/>
      <c r="C201" s="35"/>
      <c r="D201" s="121"/>
      <c r="E201" s="121"/>
      <c r="F201" s="121"/>
      <c r="G201" s="121"/>
      <c r="H201" s="121"/>
      <c r="I201" s="121"/>
      <c r="J201" s="121"/>
      <c r="K201" s="123"/>
    </row>
    <row r="202" spans="2:11" ht="15" thickBot="1" x14ac:dyDescent="0.35">
      <c r="B202" s="117">
        <v>83</v>
      </c>
      <c r="C202" s="118"/>
      <c r="D202" s="120">
        <f t="shared" ref="D202" si="324">$D$30</f>
        <v>13.596946499530036</v>
      </c>
      <c r="E202" s="120"/>
      <c r="F202" s="120">
        <f t="shared" ref="F202" si="325">($G$22/12)*J200</f>
        <v>4.6401572077315523</v>
      </c>
      <c r="G202" s="120"/>
      <c r="H202" s="120">
        <f t="shared" ref="H202" si="326">D202-F202</f>
        <v>8.9567892917984828</v>
      </c>
      <c r="I202" s="120"/>
      <c r="J202" s="120">
        <f t="shared" ref="J202" si="327">J200-H202</f>
        <v>2411.9947973507506</v>
      </c>
      <c r="K202" s="122"/>
    </row>
    <row r="203" spans="2:11" ht="15" thickBot="1" x14ac:dyDescent="0.35">
      <c r="B203" s="41"/>
      <c r="C203" s="35"/>
      <c r="D203" s="121"/>
      <c r="E203" s="121"/>
      <c r="F203" s="121"/>
      <c r="G203" s="121"/>
      <c r="H203" s="121"/>
      <c r="I203" s="121"/>
      <c r="J203" s="121"/>
      <c r="K203" s="123"/>
    </row>
    <row r="204" spans="2:11" ht="15" thickBot="1" x14ac:dyDescent="0.35">
      <c r="B204" s="117">
        <v>84</v>
      </c>
      <c r="C204" s="118"/>
      <c r="D204" s="120">
        <f t="shared" ref="D204" si="328">$D$30</f>
        <v>13.596946499530036</v>
      </c>
      <c r="E204" s="120"/>
      <c r="F204" s="120">
        <f t="shared" ref="F204" si="329">($G$22/12)*J202</f>
        <v>4.6229900282556047</v>
      </c>
      <c r="G204" s="120"/>
      <c r="H204" s="120">
        <f t="shared" ref="H204" si="330">D204-F204</f>
        <v>8.9739564712744304</v>
      </c>
      <c r="I204" s="120"/>
      <c r="J204" s="120">
        <f t="shared" ref="J204" si="331">J202-H204</f>
        <v>2403.0208408794761</v>
      </c>
      <c r="K204" s="122"/>
    </row>
    <row r="205" spans="2:11" ht="15" thickBot="1" x14ac:dyDescent="0.35">
      <c r="B205" s="41"/>
      <c r="C205" s="35"/>
      <c r="D205" s="121"/>
      <c r="E205" s="121"/>
      <c r="F205" s="121"/>
      <c r="G205" s="121"/>
      <c r="H205" s="121"/>
      <c r="I205" s="121"/>
      <c r="J205" s="121"/>
      <c r="K205" s="123"/>
    </row>
    <row r="206" spans="2:11" ht="15" thickBot="1" x14ac:dyDescent="0.35">
      <c r="B206" s="117">
        <v>85</v>
      </c>
      <c r="C206" s="118"/>
      <c r="D206" s="120">
        <f t="shared" ref="D206" si="332">$D$30</f>
        <v>13.596946499530036</v>
      </c>
      <c r="E206" s="120"/>
      <c r="F206" s="120">
        <f t="shared" ref="F206" si="333">($G$22/12)*J204</f>
        <v>4.6057899450189952</v>
      </c>
      <c r="G206" s="120"/>
      <c r="H206" s="120">
        <f t="shared" ref="H206" si="334">D206-F206</f>
        <v>8.9911565545110399</v>
      </c>
      <c r="I206" s="120"/>
      <c r="J206" s="120">
        <f t="shared" ref="J206" si="335">J204-H206</f>
        <v>2394.0296843249648</v>
      </c>
      <c r="K206" s="122"/>
    </row>
    <row r="207" spans="2:11" ht="15" thickBot="1" x14ac:dyDescent="0.35">
      <c r="B207" s="41"/>
      <c r="C207" s="35"/>
      <c r="D207" s="121"/>
      <c r="E207" s="121"/>
      <c r="F207" s="121"/>
      <c r="G207" s="121"/>
      <c r="H207" s="121"/>
      <c r="I207" s="121"/>
      <c r="J207" s="121"/>
      <c r="K207" s="123"/>
    </row>
    <row r="208" spans="2:11" ht="15" thickBot="1" x14ac:dyDescent="0.35">
      <c r="B208" s="117">
        <v>86</v>
      </c>
      <c r="C208" s="118"/>
      <c r="D208" s="120">
        <f t="shared" ref="D208" si="336">$D$30</f>
        <v>13.596946499530036</v>
      </c>
      <c r="E208" s="120"/>
      <c r="F208" s="120">
        <f t="shared" ref="F208" si="337">($G$22/12)*J206</f>
        <v>4.5885568949561826</v>
      </c>
      <c r="G208" s="120"/>
      <c r="H208" s="120">
        <f t="shared" ref="H208" si="338">D208-F208</f>
        <v>9.0083896045738534</v>
      </c>
      <c r="I208" s="120"/>
      <c r="J208" s="120">
        <f t="shared" ref="J208" si="339">J206-H208</f>
        <v>2385.0212947203909</v>
      </c>
      <c r="K208" s="122"/>
    </row>
    <row r="209" spans="2:11" ht="15" thickBot="1" x14ac:dyDescent="0.35">
      <c r="B209" s="41"/>
      <c r="C209" s="35"/>
      <c r="D209" s="121"/>
      <c r="E209" s="121"/>
      <c r="F209" s="121"/>
      <c r="G209" s="121"/>
      <c r="H209" s="121"/>
      <c r="I209" s="121"/>
      <c r="J209" s="121"/>
      <c r="K209" s="123"/>
    </row>
    <row r="210" spans="2:11" ht="15" thickBot="1" x14ac:dyDescent="0.35">
      <c r="B210" s="117">
        <v>87</v>
      </c>
      <c r="C210" s="118"/>
      <c r="D210" s="120">
        <f t="shared" ref="D210" si="340">$D$30</f>
        <v>13.596946499530036</v>
      </c>
      <c r="E210" s="120"/>
      <c r="F210" s="120">
        <f t="shared" ref="F210" si="341">($G$22/12)*J208</f>
        <v>4.571290814880749</v>
      </c>
      <c r="G210" s="120"/>
      <c r="H210" s="120">
        <f t="shared" ref="H210" si="342">D210-F210</f>
        <v>9.025655684649287</v>
      </c>
      <c r="I210" s="120"/>
      <c r="J210" s="120">
        <f t="shared" ref="J210" si="343">J208-H210</f>
        <v>2375.9956390357415</v>
      </c>
      <c r="K210" s="122"/>
    </row>
    <row r="211" spans="2:11" ht="15" thickBot="1" x14ac:dyDescent="0.35">
      <c r="B211" s="41"/>
      <c r="C211" s="35"/>
      <c r="D211" s="121"/>
      <c r="E211" s="121"/>
      <c r="F211" s="121"/>
      <c r="G211" s="121"/>
      <c r="H211" s="121"/>
      <c r="I211" s="121"/>
      <c r="J211" s="121"/>
      <c r="K211" s="123"/>
    </row>
    <row r="212" spans="2:11" ht="15" thickBot="1" x14ac:dyDescent="0.35">
      <c r="B212" s="117">
        <v>88</v>
      </c>
      <c r="C212" s="118"/>
      <c r="D212" s="120">
        <f t="shared" ref="D212" si="344">$D$30</f>
        <v>13.596946499530036</v>
      </c>
      <c r="E212" s="120"/>
      <c r="F212" s="120">
        <f t="shared" ref="F212" si="345">($G$22/12)*J210</f>
        <v>4.5539916414851707</v>
      </c>
      <c r="G212" s="120"/>
      <c r="H212" s="120">
        <f t="shared" ref="H212" si="346">D212-F212</f>
        <v>9.0429548580448653</v>
      </c>
      <c r="I212" s="120"/>
      <c r="J212" s="120">
        <f t="shared" ref="J212" si="347">J210-H212</f>
        <v>2366.9526841776965</v>
      </c>
      <c r="K212" s="122"/>
    </row>
    <row r="213" spans="2:11" ht="15" thickBot="1" x14ac:dyDescent="0.35">
      <c r="B213" s="41"/>
      <c r="C213" s="35"/>
      <c r="D213" s="121"/>
      <c r="E213" s="121"/>
      <c r="F213" s="121"/>
      <c r="G213" s="121"/>
      <c r="H213" s="121"/>
      <c r="I213" s="121"/>
      <c r="J213" s="121"/>
      <c r="K213" s="123"/>
    </row>
    <row r="214" spans="2:11" ht="15" thickBot="1" x14ac:dyDescent="0.35">
      <c r="B214" s="117">
        <v>89</v>
      </c>
      <c r="C214" s="118"/>
      <c r="D214" s="120">
        <f t="shared" ref="D214" si="348">$D$30</f>
        <v>13.596946499530036</v>
      </c>
      <c r="E214" s="120"/>
      <c r="F214" s="120">
        <f t="shared" ref="F214" si="349">($G$22/12)*J212</f>
        <v>4.5366593113405846</v>
      </c>
      <c r="G214" s="120"/>
      <c r="H214" s="120">
        <f t="shared" ref="H214" si="350">D214-F214</f>
        <v>9.0602871881894522</v>
      </c>
      <c r="I214" s="120"/>
      <c r="J214" s="120">
        <f t="shared" ref="J214" si="351">J212-H214</f>
        <v>2357.8923969895072</v>
      </c>
      <c r="K214" s="122"/>
    </row>
    <row r="215" spans="2:11" ht="15" thickBot="1" x14ac:dyDescent="0.35">
      <c r="B215" s="41"/>
      <c r="C215" s="35"/>
      <c r="D215" s="121"/>
      <c r="E215" s="121"/>
      <c r="F215" s="121"/>
      <c r="G215" s="121"/>
      <c r="H215" s="121"/>
      <c r="I215" s="121"/>
      <c r="J215" s="121"/>
      <c r="K215" s="123"/>
    </row>
    <row r="216" spans="2:11" ht="15" thickBot="1" x14ac:dyDescent="0.35">
      <c r="B216" s="117">
        <v>90</v>
      </c>
      <c r="C216" s="118"/>
      <c r="D216" s="120">
        <f t="shared" ref="D216" si="352">$D$30</f>
        <v>13.596946499530036</v>
      </c>
      <c r="E216" s="120"/>
      <c r="F216" s="120">
        <f t="shared" ref="F216" si="353">($G$22/12)*J214</f>
        <v>4.5192937608965549</v>
      </c>
      <c r="G216" s="120"/>
      <c r="H216" s="120">
        <f t="shared" ref="H216" si="354">D216-F216</f>
        <v>9.077652738633482</v>
      </c>
      <c r="I216" s="120"/>
      <c r="J216" s="120">
        <f t="shared" ref="J216" si="355">J214-H216</f>
        <v>2348.8147442508739</v>
      </c>
      <c r="K216" s="122"/>
    </row>
    <row r="217" spans="2:11" ht="15" thickBot="1" x14ac:dyDescent="0.35">
      <c r="B217" s="41"/>
      <c r="C217" s="35"/>
      <c r="D217" s="121"/>
      <c r="E217" s="121"/>
      <c r="F217" s="121"/>
      <c r="G217" s="121"/>
      <c r="H217" s="121"/>
      <c r="I217" s="121"/>
      <c r="J217" s="121"/>
      <c r="K217" s="123"/>
    </row>
    <row r="218" spans="2:11" ht="15" thickBot="1" x14ac:dyDescent="0.35">
      <c r="B218" s="117">
        <v>91</v>
      </c>
      <c r="C218" s="118"/>
      <c r="D218" s="120">
        <f t="shared" ref="D218" si="356">$D$30</f>
        <v>13.596946499530036</v>
      </c>
      <c r="E218" s="120"/>
      <c r="F218" s="120">
        <f t="shared" ref="F218" si="357">($G$22/12)*J216</f>
        <v>4.5018949264808414</v>
      </c>
      <c r="G218" s="120"/>
      <c r="H218" s="120">
        <f t="shared" ref="H218" si="358">D218-F218</f>
        <v>9.0950515730491936</v>
      </c>
      <c r="I218" s="120"/>
      <c r="J218" s="120">
        <f t="shared" ref="J218" si="359">J216-H218</f>
        <v>2339.7196926778247</v>
      </c>
      <c r="K218" s="122"/>
    </row>
    <row r="219" spans="2:11" ht="15" thickBot="1" x14ac:dyDescent="0.35">
      <c r="B219" s="41"/>
      <c r="C219" s="35"/>
      <c r="D219" s="121"/>
      <c r="E219" s="121"/>
      <c r="F219" s="121"/>
      <c r="G219" s="121"/>
      <c r="H219" s="121"/>
      <c r="I219" s="121"/>
      <c r="J219" s="121"/>
      <c r="K219" s="123"/>
    </row>
    <row r="220" spans="2:11" ht="15" thickBot="1" x14ac:dyDescent="0.35">
      <c r="B220" s="117">
        <v>92</v>
      </c>
      <c r="C220" s="118"/>
      <c r="D220" s="120">
        <f t="shared" ref="D220" si="360">$D$30</f>
        <v>13.596946499530036</v>
      </c>
      <c r="E220" s="120"/>
      <c r="F220" s="120">
        <f t="shared" ref="F220" si="361">($G$22/12)*J218</f>
        <v>4.4844627442991634</v>
      </c>
      <c r="G220" s="120"/>
      <c r="H220" s="120">
        <f t="shared" ref="H220" si="362">D220-F220</f>
        <v>9.1124837552308726</v>
      </c>
      <c r="I220" s="120"/>
      <c r="J220" s="120">
        <f t="shared" ref="J220" si="363">J218-H220</f>
        <v>2330.6072089225936</v>
      </c>
      <c r="K220" s="122"/>
    </row>
    <row r="221" spans="2:11" ht="15" thickBot="1" x14ac:dyDescent="0.35">
      <c r="B221" s="41"/>
      <c r="C221" s="35"/>
      <c r="D221" s="121"/>
      <c r="E221" s="121"/>
      <c r="F221" s="121"/>
      <c r="G221" s="121"/>
      <c r="H221" s="121"/>
      <c r="I221" s="121"/>
      <c r="J221" s="121"/>
      <c r="K221" s="123"/>
    </row>
    <row r="222" spans="2:11" ht="15" thickBot="1" x14ac:dyDescent="0.35">
      <c r="B222" s="117">
        <v>93</v>
      </c>
      <c r="C222" s="118"/>
      <c r="D222" s="120">
        <f t="shared" ref="D222" si="364">$D$30</f>
        <v>13.596946499530036</v>
      </c>
      <c r="E222" s="120"/>
      <c r="F222" s="120">
        <f t="shared" ref="F222" si="365">($G$22/12)*J220</f>
        <v>4.4669971504349713</v>
      </c>
      <c r="G222" s="120"/>
      <c r="H222" s="120">
        <f t="shared" ref="H222" si="366">D222-F222</f>
        <v>9.1299493490950638</v>
      </c>
      <c r="I222" s="120"/>
      <c r="J222" s="120">
        <f t="shared" ref="J222" si="367">J220-H222</f>
        <v>2321.4772595734985</v>
      </c>
      <c r="K222" s="122"/>
    </row>
    <row r="223" spans="2:11" ht="15" thickBot="1" x14ac:dyDescent="0.35">
      <c r="B223" s="41"/>
      <c r="C223" s="35"/>
      <c r="D223" s="121"/>
      <c r="E223" s="121"/>
      <c r="F223" s="121"/>
      <c r="G223" s="121"/>
      <c r="H223" s="121"/>
      <c r="I223" s="121"/>
      <c r="J223" s="121"/>
      <c r="K223" s="123"/>
    </row>
    <row r="224" spans="2:11" ht="15" thickBot="1" x14ac:dyDescent="0.35">
      <c r="B224" s="117">
        <v>94</v>
      </c>
      <c r="C224" s="118"/>
      <c r="D224" s="120">
        <f t="shared" ref="D224" si="368">$D$30</f>
        <v>13.596946499530036</v>
      </c>
      <c r="E224" s="120"/>
      <c r="F224" s="120">
        <f t="shared" ref="F224" si="369">($G$22/12)*J222</f>
        <v>4.4494980808492048</v>
      </c>
      <c r="G224" s="120"/>
      <c r="H224" s="120">
        <f t="shared" ref="H224" si="370">D224-F224</f>
        <v>9.1474484186808311</v>
      </c>
      <c r="I224" s="120"/>
      <c r="J224" s="120">
        <f t="shared" ref="J224" si="371">J222-H224</f>
        <v>2312.3298111548174</v>
      </c>
      <c r="K224" s="122"/>
    </row>
    <row r="225" spans="2:11" ht="15" thickBot="1" x14ac:dyDescent="0.35">
      <c r="B225" s="41"/>
      <c r="C225" s="35"/>
      <c r="D225" s="121"/>
      <c r="E225" s="121"/>
      <c r="F225" s="121"/>
      <c r="G225" s="121"/>
      <c r="H225" s="121"/>
      <c r="I225" s="121"/>
      <c r="J225" s="121"/>
      <c r="K225" s="123"/>
    </row>
    <row r="226" spans="2:11" ht="15" thickBot="1" x14ac:dyDescent="0.35">
      <c r="B226" s="117">
        <v>95</v>
      </c>
      <c r="C226" s="118"/>
      <c r="D226" s="120">
        <f t="shared" ref="D226" si="372">$D$30</f>
        <v>13.596946499530036</v>
      </c>
      <c r="E226" s="120"/>
      <c r="F226" s="120">
        <f t="shared" ref="F226" si="373">($G$22/12)*J224</f>
        <v>4.4319654713800665</v>
      </c>
      <c r="G226" s="120"/>
      <c r="H226" s="120">
        <f t="shared" ref="H226" si="374">D226-F226</f>
        <v>9.1649810281499704</v>
      </c>
      <c r="I226" s="120"/>
      <c r="J226" s="120">
        <f t="shared" ref="J226" si="375">J224-H226</f>
        <v>2303.1648301266673</v>
      </c>
      <c r="K226" s="122"/>
    </row>
    <row r="227" spans="2:11" ht="15" thickBot="1" x14ac:dyDescent="0.35">
      <c r="B227" s="41"/>
      <c r="C227" s="35"/>
      <c r="D227" s="121"/>
      <c r="E227" s="121"/>
      <c r="F227" s="121"/>
      <c r="G227" s="121"/>
      <c r="H227" s="121"/>
      <c r="I227" s="121"/>
      <c r="J227" s="121"/>
      <c r="K227" s="123"/>
    </row>
    <row r="228" spans="2:11" ht="15" thickBot="1" x14ac:dyDescent="0.35">
      <c r="B228" s="117">
        <v>96</v>
      </c>
      <c r="C228" s="118"/>
      <c r="D228" s="120">
        <f t="shared" ref="D228" si="376">$D$30</f>
        <v>13.596946499530036</v>
      </c>
      <c r="E228" s="120"/>
      <c r="F228" s="120">
        <f t="shared" ref="F228" si="377">($G$22/12)*J226</f>
        <v>4.4143992577427786</v>
      </c>
      <c r="G228" s="120"/>
      <c r="H228" s="120">
        <f t="shared" ref="H228" si="378">D228-F228</f>
        <v>9.1825472417872582</v>
      </c>
      <c r="I228" s="120"/>
      <c r="J228" s="120">
        <f t="shared" ref="J228" si="379">J226-H228</f>
        <v>2293.9822828848801</v>
      </c>
      <c r="K228" s="122"/>
    </row>
    <row r="229" spans="2:11" ht="15" thickBot="1" x14ac:dyDescent="0.35">
      <c r="B229" s="41"/>
      <c r="C229" s="35"/>
      <c r="D229" s="121"/>
      <c r="E229" s="121"/>
      <c r="F229" s="121"/>
      <c r="G229" s="121"/>
      <c r="H229" s="121"/>
      <c r="I229" s="121"/>
      <c r="J229" s="121"/>
      <c r="K229" s="123"/>
    </row>
    <row r="230" spans="2:11" ht="15" thickBot="1" x14ac:dyDescent="0.35">
      <c r="B230" s="117">
        <v>97</v>
      </c>
      <c r="C230" s="118"/>
      <c r="D230" s="120">
        <f t="shared" ref="D230" si="380">$D$30</f>
        <v>13.596946499530036</v>
      </c>
      <c r="E230" s="120"/>
      <c r="F230" s="120">
        <f t="shared" ref="F230" si="381">($G$22/12)*J228</f>
        <v>4.3967993755293531</v>
      </c>
      <c r="G230" s="120"/>
      <c r="H230" s="120">
        <f t="shared" ref="H230" si="382">D230-F230</f>
        <v>9.2001471240006829</v>
      </c>
      <c r="I230" s="120"/>
      <c r="J230" s="120">
        <f t="shared" ref="J230" si="383">J228-H230</f>
        <v>2284.7821357608796</v>
      </c>
      <c r="K230" s="122"/>
    </row>
    <row r="231" spans="2:11" ht="15" thickBot="1" x14ac:dyDescent="0.35">
      <c r="B231" s="41"/>
      <c r="C231" s="35"/>
      <c r="D231" s="121"/>
      <c r="E231" s="121"/>
      <c r="F231" s="121"/>
      <c r="G231" s="121"/>
      <c r="H231" s="121"/>
      <c r="I231" s="121"/>
      <c r="J231" s="121"/>
      <c r="K231" s="123"/>
    </row>
    <row r="232" spans="2:11" ht="15" thickBot="1" x14ac:dyDescent="0.35">
      <c r="B232" s="117">
        <v>98</v>
      </c>
      <c r="C232" s="118"/>
      <c r="D232" s="120">
        <f t="shared" ref="D232" si="384">$D$30</f>
        <v>13.596946499530036</v>
      </c>
      <c r="E232" s="120"/>
      <c r="F232" s="120">
        <f t="shared" ref="F232" si="385">($G$22/12)*J230</f>
        <v>4.3791657602083518</v>
      </c>
      <c r="G232" s="120"/>
      <c r="H232" s="120">
        <f t="shared" ref="H232" si="386">D232-F232</f>
        <v>9.2177807393216842</v>
      </c>
      <c r="I232" s="120"/>
      <c r="J232" s="120">
        <f t="shared" ref="J232" si="387">J230-H232</f>
        <v>2275.5643550215577</v>
      </c>
      <c r="K232" s="122"/>
    </row>
    <row r="233" spans="2:11" ht="15" thickBot="1" x14ac:dyDescent="0.35">
      <c r="B233" s="41"/>
      <c r="C233" s="35"/>
      <c r="D233" s="121"/>
      <c r="E233" s="121"/>
      <c r="F233" s="121"/>
      <c r="G233" s="121"/>
      <c r="H233" s="121"/>
      <c r="I233" s="121"/>
      <c r="J233" s="121"/>
      <c r="K233" s="123"/>
    </row>
    <row r="234" spans="2:11" ht="15" thickBot="1" x14ac:dyDescent="0.35">
      <c r="B234" s="117">
        <v>99</v>
      </c>
      <c r="C234" s="118"/>
      <c r="D234" s="120">
        <f t="shared" ref="D234" si="388">$D$30</f>
        <v>13.596946499530036</v>
      </c>
      <c r="E234" s="120"/>
      <c r="F234" s="120">
        <f t="shared" ref="F234" si="389">($G$22/12)*J232</f>
        <v>4.3614983471246518</v>
      </c>
      <c r="G234" s="120"/>
      <c r="H234" s="120">
        <f t="shared" ref="H234" si="390">D234-F234</f>
        <v>9.2354481524053842</v>
      </c>
      <c r="I234" s="120"/>
      <c r="J234" s="120">
        <f t="shared" ref="J234" si="391">J232-H234</f>
        <v>2266.3289068691524</v>
      </c>
      <c r="K234" s="122"/>
    </row>
    <row r="235" spans="2:11" ht="15" thickBot="1" x14ac:dyDescent="0.35">
      <c r="B235" s="41"/>
      <c r="C235" s="35"/>
      <c r="D235" s="121"/>
      <c r="E235" s="121"/>
      <c r="F235" s="121"/>
      <c r="G235" s="121"/>
      <c r="H235" s="121"/>
      <c r="I235" s="121"/>
      <c r="J235" s="121"/>
      <c r="K235" s="123"/>
    </row>
    <row r="236" spans="2:11" ht="15" thickBot="1" x14ac:dyDescent="0.35">
      <c r="B236" s="117">
        <v>100</v>
      </c>
      <c r="C236" s="118"/>
      <c r="D236" s="120">
        <f t="shared" ref="D236" si="392">$D$30</f>
        <v>13.596946499530036</v>
      </c>
      <c r="E236" s="120"/>
      <c r="F236" s="120">
        <f t="shared" ref="F236" si="393">($G$22/12)*J234</f>
        <v>4.3437970714992087</v>
      </c>
      <c r="G236" s="120"/>
      <c r="H236" s="120">
        <f t="shared" ref="H236" si="394">D236-F236</f>
        <v>9.2531494280308273</v>
      </c>
      <c r="I236" s="120"/>
      <c r="J236" s="120">
        <f t="shared" ref="J236" si="395">J234-H236</f>
        <v>2257.0757574411218</v>
      </c>
      <c r="K236" s="122"/>
    </row>
    <row r="237" spans="2:11" ht="15" thickBot="1" x14ac:dyDescent="0.35">
      <c r="B237" s="41"/>
      <c r="C237" s="35"/>
      <c r="D237" s="121"/>
      <c r="E237" s="121"/>
      <c r="F237" s="121"/>
      <c r="G237" s="121"/>
      <c r="H237" s="121"/>
      <c r="I237" s="121"/>
      <c r="J237" s="121"/>
      <c r="K237" s="123"/>
    </row>
    <row r="238" spans="2:11" ht="15" thickBot="1" x14ac:dyDescent="0.35">
      <c r="B238" s="117">
        <v>101</v>
      </c>
      <c r="C238" s="118"/>
      <c r="D238" s="120">
        <f t="shared" ref="D238" si="396">$D$30</f>
        <v>13.596946499530036</v>
      </c>
      <c r="E238" s="120"/>
      <c r="F238" s="120">
        <f t="shared" ref="F238" si="397">($G$22/12)*J236</f>
        <v>4.326061868428817</v>
      </c>
      <c r="G238" s="120"/>
      <c r="H238" s="120">
        <f t="shared" ref="H238" si="398">D238-F238</f>
        <v>9.2708846311012181</v>
      </c>
      <c r="I238" s="120"/>
      <c r="J238" s="120">
        <f t="shared" ref="J238" si="399">J236-H238</f>
        <v>2247.8048728100207</v>
      </c>
      <c r="K238" s="122"/>
    </row>
    <row r="239" spans="2:11" ht="15" thickBot="1" x14ac:dyDescent="0.35">
      <c r="B239" s="41"/>
      <c r="C239" s="35"/>
      <c r="D239" s="121"/>
      <c r="E239" s="121"/>
      <c r="F239" s="121"/>
      <c r="G239" s="121"/>
      <c r="H239" s="121"/>
      <c r="I239" s="121"/>
      <c r="J239" s="121"/>
      <c r="K239" s="123"/>
    </row>
    <row r="240" spans="2:11" ht="15" thickBot="1" x14ac:dyDescent="0.35">
      <c r="B240" s="117">
        <v>102</v>
      </c>
      <c r="C240" s="118"/>
      <c r="D240" s="120">
        <f t="shared" ref="D240" si="400">$D$30</f>
        <v>13.596946499530036</v>
      </c>
      <c r="E240" s="120"/>
      <c r="F240" s="120">
        <f t="shared" ref="F240" si="401">($G$22/12)*J238</f>
        <v>4.308292672885873</v>
      </c>
      <c r="G240" s="120"/>
      <c r="H240" s="120">
        <f t="shared" ref="H240" si="402">D240-F240</f>
        <v>9.2886538266441629</v>
      </c>
      <c r="I240" s="120"/>
      <c r="J240" s="120">
        <f t="shared" ref="J240" si="403">J238-H240</f>
        <v>2238.5162189833763</v>
      </c>
      <c r="K240" s="122"/>
    </row>
    <row r="241" spans="2:11" ht="15" thickBot="1" x14ac:dyDescent="0.35">
      <c r="B241" s="41"/>
      <c r="C241" s="35"/>
      <c r="D241" s="121"/>
      <c r="E241" s="121"/>
      <c r="F241" s="121"/>
      <c r="G241" s="121"/>
      <c r="H241" s="121"/>
      <c r="I241" s="121"/>
      <c r="J241" s="121"/>
      <c r="K241" s="123"/>
    </row>
    <row r="242" spans="2:11" ht="15" thickBot="1" x14ac:dyDescent="0.35">
      <c r="B242" s="117">
        <v>103</v>
      </c>
      <c r="C242" s="118"/>
      <c r="D242" s="120">
        <f t="shared" ref="D242" si="404">$D$30</f>
        <v>13.596946499530036</v>
      </c>
      <c r="E242" s="120"/>
      <c r="F242" s="120">
        <f t="shared" ref="F242" si="405">($G$22/12)*J240</f>
        <v>4.2904894197181376</v>
      </c>
      <c r="G242" s="120"/>
      <c r="H242" s="120">
        <f t="shared" ref="H242" si="406">D242-F242</f>
        <v>9.3064570798118993</v>
      </c>
      <c r="I242" s="120"/>
      <c r="J242" s="120">
        <f t="shared" ref="J242" si="407">J240-H242</f>
        <v>2229.2097619035644</v>
      </c>
      <c r="K242" s="122"/>
    </row>
    <row r="243" spans="2:11" ht="15" thickBot="1" x14ac:dyDescent="0.35">
      <c r="B243" s="41"/>
      <c r="C243" s="35"/>
      <c r="D243" s="121"/>
      <c r="E243" s="121"/>
      <c r="F243" s="121"/>
      <c r="G243" s="121"/>
      <c r="H243" s="121"/>
      <c r="I243" s="121"/>
      <c r="J243" s="121"/>
      <c r="K243" s="123"/>
    </row>
    <row r="244" spans="2:11" ht="15" thickBot="1" x14ac:dyDescent="0.35">
      <c r="B244" s="117">
        <v>104</v>
      </c>
      <c r="C244" s="118"/>
      <c r="D244" s="120">
        <f t="shared" ref="D244" si="408">$D$30</f>
        <v>13.596946499530036</v>
      </c>
      <c r="E244" s="120"/>
      <c r="F244" s="120">
        <f t="shared" ref="F244" si="409">($G$22/12)*J242</f>
        <v>4.272652043648498</v>
      </c>
      <c r="G244" s="120"/>
      <c r="H244" s="120">
        <f t="shared" ref="H244" si="410">D244-F244</f>
        <v>9.3242944558815388</v>
      </c>
      <c r="I244" s="120"/>
      <c r="J244" s="120">
        <f t="shared" ref="J244" si="411">J242-H244</f>
        <v>2219.8854674476829</v>
      </c>
      <c r="K244" s="122"/>
    </row>
    <row r="245" spans="2:11" ht="15" thickBot="1" x14ac:dyDescent="0.35">
      <c r="B245" s="41"/>
      <c r="C245" s="35"/>
      <c r="D245" s="121"/>
      <c r="E245" s="121"/>
      <c r="F245" s="121"/>
      <c r="G245" s="121"/>
      <c r="H245" s="121"/>
      <c r="I245" s="121"/>
      <c r="J245" s="121"/>
      <c r="K245" s="123"/>
    </row>
    <row r="246" spans="2:11" ht="15" thickBot="1" x14ac:dyDescent="0.35">
      <c r="B246" s="117">
        <v>105</v>
      </c>
      <c r="C246" s="118"/>
      <c r="D246" s="120">
        <f t="shared" ref="D246" si="412">$D$30</f>
        <v>13.596946499530036</v>
      </c>
      <c r="E246" s="120"/>
      <c r="F246" s="120">
        <f t="shared" ref="F246" si="413">($G$22/12)*J244</f>
        <v>4.254780479274725</v>
      </c>
      <c r="G246" s="120"/>
      <c r="H246" s="120">
        <f t="shared" ref="H246" si="414">D246-F246</f>
        <v>9.342166020255311</v>
      </c>
      <c r="I246" s="120"/>
      <c r="J246" s="120">
        <f t="shared" ref="J246" si="415">J244-H246</f>
        <v>2210.5433014274277</v>
      </c>
      <c r="K246" s="122"/>
    </row>
    <row r="247" spans="2:11" ht="15" thickBot="1" x14ac:dyDescent="0.35">
      <c r="B247" s="41"/>
      <c r="C247" s="35"/>
      <c r="D247" s="121"/>
      <c r="E247" s="121"/>
      <c r="F247" s="121"/>
      <c r="G247" s="121"/>
      <c r="H247" s="121"/>
      <c r="I247" s="121"/>
      <c r="J247" s="121"/>
      <c r="K247" s="123"/>
    </row>
    <row r="248" spans="2:11" ht="15" thickBot="1" x14ac:dyDescent="0.35">
      <c r="B248" s="117">
        <v>106</v>
      </c>
      <c r="C248" s="118"/>
      <c r="D248" s="120">
        <f t="shared" ref="D248" si="416">$D$30</f>
        <v>13.596946499530036</v>
      </c>
      <c r="E248" s="120"/>
      <c r="F248" s="120">
        <f t="shared" ref="F248" si="417">($G$22/12)*J246</f>
        <v>4.236874661069236</v>
      </c>
      <c r="G248" s="120"/>
      <c r="H248" s="120">
        <f t="shared" ref="H248" si="418">D248-F248</f>
        <v>9.3600718384608008</v>
      </c>
      <c r="I248" s="120"/>
      <c r="J248" s="120">
        <f t="shared" ref="J248" si="419">J246-H248</f>
        <v>2201.1832295889667</v>
      </c>
      <c r="K248" s="122"/>
    </row>
    <row r="249" spans="2:11" ht="15" thickBot="1" x14ac:dyDescent="0.35">
      <c r="B249" s="41"/>
      <c r="C249" s="35"/>
      <c r="D249" s="121"/>
      <c r="E249" s="121"/>
      <c r="F249" s="121"/>
      <c r="G249" s="121"/>
      <c r="H249" s="121"/>
      <c r="I249" s="121"/>
      <c r="J249" s="121"/>
      <c r="K249" s="123"/>
    </row>
    <row r="250" spans="2:11" ht="15" thickBot="1" x14ac:dyDescent="0.35">
      <c r="B250" s="117">
        <v>107</v>
      </c>
      <c r="C250" s="118"/>
      <c r="D250" s="120">
        <f t="shared" ref="D250" si="420">$D$30</f>
        <v>13.596946499530036</v>
      </c>
      <c r="E250" s="120"/>
      <c r="F250" s="120">
        <f t="shared" ref="F250" si="421">($G$22/12)*J248</f>
        <v>4.2189345233788522</v>
      </c>
      <c r="G250" s="120"/>
      <c r="H250" s="120">
        <f t="shared" ref="H250" si="422">D250-F250</f>
        <v>9.3780119761511838</v>
      </c>
      <c r="I250" s="120"/>
      <c r="J250" s="120">
        <f t="shared" ref="J250" si="423">J248-H250</f>
        <v>2191.8052176128153</v>
      </c>
      <c r="K250" s="122"/>
    </row>
    <row r="251" spans="2:11" ht="15" thickBot="1" x14ac:dyDescent="0.35">
      <c r="B251" s="41"/>
      <c r="C251" s="35"/>
      <c r="D251" s="121"/>
      <c r="E251" s="121"/>
      <c r="F251" s="121"/>
      <c r="G251" s="121"/>
      <c r="H251" s="121"/>
      <c r="I251" s="121"/>
      <c r="J251" s="121"/>
      <c r="K251" s="123"/>
    </row>
    <row r="252" spans="2:11" ht="15" thickBot="1" x14ac:dyDescent="0.35">
      <c r="B252" s="117">
        <v>108</v>
      </c>
      <c r="C252" s="118"/>
      <c r="D252" s="120">
        <f t="shared" ref="D252" si="424">$D$30</f>
        <v>13.596946499530036</v>
      </c>
      <c r="E252" s="120"/>
      <c r="F252" s="120">
        <f t="shared" ref="F252" si="425">($G$22/12)*J250</f>
        <v>4.2009600004245629</v>
      </c>
      <c r="G252" s="120"/>
      <c r="H252" s="120">
        <f t="shared" ref="H252" si="426">D252-F252</f>
        <v>9.3959864991054722</v>
      </c>
      <c r="I252" s="120"/>
      <c r="J252" s="120">
        <f t="shared" ref="J252" si="427">J250-H252</f>
        <v>2182.4092311137097</v>
      </c>
      <c r="K252" s="122"/>
    </row>
    <row r="253" spans="2:11" ht="15" thickBot="1" x14ac:dyDescent="0.35">
      <c r="B253" s="41"/>
      <c r="C253" s="35"/>
      <c r="D253" s="121"/>
      <c r="E253" s="121"/>
      <c r="F253" s="121"/>
      <c r="G253" s="121"/>
      <c r="H253" s="121"/>
      <c r="I253" s="121"/>
      <c r="J253" s="121"/>
      <c r="K253" s="123"/>
    </row>
    <row r="254" spans="2:11" ht="15" thickBot="1" x14ac:dyDescent="0.35">
      <c r="B254" s="117">
        <v>109</v>
      </c>
      <c r="C254" s="118"/>
      <c r="D254" s="120">
        <f t="shared" ref="D254" si="428">$D$30</f>
        <v>13.596946499530036</v>
      </c>
      <c r="E254" s="120"/>
      <c r="F254" s="120">
        <f t="shared" ref="F254" si="429">($G$22/12)*J252</f>
        <v>4.1829510263012768</v>
      </c>
      <c r="G254" s="120"/>
      <c r="H254" s="120">
        <f t="shared" ref="H254" si="430">D254-F254</f>
        <v>9.4139954732287592</v>
      </c>
      <c r="I254" s="120"/>
      <c r="J254" s="120">
        <f t="shared" ref="J254" si="431">J252-H254</f>
        <v>2172.995235640481</v>
      </c>
      <c r="K254" s="122"/>
    </row>
    <row r="255" spans="2:11" ht="15" thickBot="1" x14ac:dyDescent="0.35">
      <c r="B255" s="41"/>
      <c r="C255" s="35"/>
      <c r="D255" s="121"/>
      <c r="E255" s="121"/>
      <c r="F255" s="121"/>
      <c r="G255" s="121"/>
      <c r="H255" s="121"/>
      <c r="I255" s="121"/>
      <c r="J255" s="121"/>
      <c r="K255" s="123"/>
    </row>
    <row r="256" spans="2:11" ht="15" thickBot="1" x14ac:dyDescent="0.35">
      <c r="B256" s="117">
        <v>110</v>
      </c>
      <c r="C256" s="118"/>
      <c r="D256" s="120">
        <f t="shared" ref="D256" si="432">$D$30</f>
        <v>13.596946499530036</v>
      </c>
      <c r="E256" s="120"/>
      <c r="F256" s="120">
        <f t="shared" ref="F256" si="433">($G$22/12)*J254</f>
        <v>4.1649075349775888</v>
      </c>
      <c r="G256" s="120"/>
      <c r="H256" s="120">
        <f t="shared" ref="H256" si="434">D256-F256</f>
        <v>9.4320389645524472</v>
      </c>
      <c r="I256" s="120"/>
      <c r="J256" s="120">
        <f t="shared" ref="J256" si="435">J254-H256</f>
        <v>2163.5631966759288</v>
      </c>
      <c r="K256" s="122"/>
    </row>
    <row r="257" spans="2:11" ht="15" thickBot="1" x14ac:dyDescent="0.35">
      <c r="B257" s="41"/>
      <c r="C257" s="35"/>
      <c r="D257" s="121"/>
      <c r="E257" s="121"/>
      <c r="F257" s="121"/>
      <c r="G257" s="121"/>
      <c r="H257" s="121"/>
      <c r="I257" s="121"/>
      <c r="J257" s="121"/>
      <c r="K257" s="123"/>
    </row>
    <row r="258" spans="2:11" ht="15" thickBot="1" x14ac:dyDescent="0.35">
      <c r="B258" s="117">
        <v>111</v>
      </c>
      <c r="C258" s="118"/>
      <c r="D258" s="120">
        <f t="shared" ref="D258" si="436">$D$30</f>
        <v>13.596946499530036</v>
      </c>
      <c r="E258" s="120"/>
      <c r="F258" s="120">
        <f t="shared" ref="F258" si="437">($G$22/12)*J256</f>
        <v>4.14682946029553</v>
      </c>
      <c r="G258" s="120"/>
      <c r="H258" s="120">
        <f t="shared" ref="H258" si="438">D258-F258</f>
        <v>9.450117039234506</v>
      </c>
      <c r="I258" s="120"/>
      <c r="J258" s="120">
        <f t="shared" ref="J258" si="439">J256-H258</f>
        <v>2154.1130796366942</v>
      </c>
      <c r="K258" s="122"/>
    </row>
    <row r="259" spans="2:11" ht="15" thickBot="1" x14ac:dyDescent="0.35">
      <c r="B259" s="41"/>
      <c r="C259" s="35"/>
      <c r="D259" s="121"/>
      <c r="E259" s="121"/>
      <c r="F259" s="121"/>
      <c r="G259" s="121"/>
      <c r="H259" s="121"/>
      <c r="I259" s="121"/>
      <c r="J259" s="121"/>
      <c r="K259" s="123"/>
    </row>
    <row r="260" spans="2:11" ht="15" thickBot="1" x14ac:dyDescent="0.35">
      <c r="B260" s="117">
        <v>112</v>
      </c>
      <c r="C260" s="118"/>
      <c r="D260" s="120">
        <f t="shared" ref="D260" si="440">$D$30</f>
        <v>13.596946499530036</v>
      </c>
      <c r="E260" s="120"/>
      <c r="F260" s="120">
        <f t="shared" ref="F260" si="441">($G$22/12)*J258</f>
        <v>4.1287167359703307</v>
      </c>
      <c r="G260" s="120"/>
      <c r="H260" s="120">
        <f t="shared" ref="H260" si="442">D260-F260</f>
        <v>9.4682297635597052</v>
      </c>
      <c r="I260" s="120"/>
      <c r="J260" s="120">
        <f t="shared" ref="J260" si="443">J258-H260</f>
        <v>2144.6448498731347</v>
      </c>
      <c r="K260" s="122"/>
    </row>
    <row r="261" spans="2:11" ht="15" thickBot="1" x14ac:dyDescent="0.35">
      <c r="B261" s="41"/>
      <c r="C261" s="35"/>
      <c r="D261" s="121"/>
      <c r="E261" s="121"/>
      <c r="F261" s="121"/>
      <c r="G261" s="121"/>
      <c r="H261" s="121"/>
      <c r="I261" s="121"/>
      <c r="J261" s="121"/>
      <c r="K261" s="123"/>
    </row>
    <row r="262" spans="2:11" ht="15" thickBot="1" x14ac:dyDescent="0.35">
      <c r="B262" s="117">
        <v>113</v>
      </c>
      <c r="C262" s="118"/>
      <c r="D262" s="120">
        <f t="shared" ref="D262" si="444">$D$30</f>
        <v>13.596946499530036</v>
      </c>
      <c r="E262" s="120"/>
      <c r="F262" s="120">
        <f t="shared" ref="F262" si="445">($G$22/12)*J260</f>
        <v>4.1105692955901745</v>
      </c>
      <c r="G262" s="120"/>
      <c r="H262" s="120">
        <f t="shared" ref="H262" si="446">D262-F262</f>
        <v>9.4863772039398615</v>
      </c>
      <c r="I262" s="120"/>
      <c r="J262" s="120">
        <f t="shared" ref="J262" si="447">J260-H262</f>
        <v>2135.1584726691949</v>
      </c>
      <c r="K262" s="122"/>
    </row>
    <row r="263" spans="2:11" ht="15" thickBot="1" x14ac:dyDescent="0.35">
      <c r="B263" s="41"/>
      <c r="C263" s="35"/>
      <c r="D263" s="121"/>
      <c r="E263" s="121"/>
      <c r="F263" s="121"/>
      <c r="G263" s="121"/>
      <c r="H263" s="121"/>
      <c r="I263" s="121"/>
      <c r="J263" s="121"/>
      <c r="K263" s="123"/>
    </row>
    <row r="264" spans="2:11" ht="15" thickBot="1" x14ac:dyDescent="0.35">
      <c r="B264" s="117">
        <v>114</v>
      </c>
      <c r="C264" s="118"/>
      <c r="D264" s="120">
        <f t="shared" ref="D264" si="448">$D$30</f>
        <v>13.596946499530036</v>
      </c>
      <c r="E264" s="120"/>
      <c r="F264" s="120">
        <f t="shared" ref="F264" si="449">($G$22/12)*J262</f>
        <v>4.0923870726159564</v>
      </c>
      <c r="G264" s="120"/>
      <c r="H264" s="120">
        <f t="shared" ref="H264" si="450">D264-F264</f>
        <v>9.5045594269140796</v>
      </c>
      <c r="I264" s="120"/>
      <c r="J264" s="120">
        <f t="shared" ref="J264" si="451">J262-H264</f>
        <v>2125.6539132422809</v>
      </c>
      <c r="K264" s="122"/>
    </row>
    <row r="265" spans="2:11" ht="15" thickBot="1" x14ac:dyDescent="0.35">
      <c r="B265" s="41"/>
      <c r="C265" s="35"/>
      <c r="D265" s="121"/>
      <c r="E265" s="121"/>
      <c r="F265" s="121"/>
      <c r="G265" s="121"/>
      <c r="H265" s="121"/>
      <c r="I265" s="121"/>
      <c r="J265" s="121"/>
      <c r="K265" s="123"/>
    </row>
    <row r="266" spans="2:11" ht="15" thickBot="1" x14ac:dyDescent="0.35">
      <c r="B266" s="117">
        <v>115</v>
      </c>
      <c r="C266" s="118"/>
      <c r="D266" s="120">
        <f t="shared" ref="D266" si="452">$D$30</f>
        <v>13.596946499530036</v>
      </c>
      <c r="E266" s="120"/>
      <c r="F266" s="120">
        <f t="shared" ref="F266" si="453">($G$22/12)*J264</f>
        <v>4.0741700003810379</v>
      </c>
      <c r="G266" s="120"/>
      <c r="H266" s="120">
        <f t="shared" ref="H266" si="454">D266-F266</f>
        <v>9.522776499148998</v>
      </c>
      <c r="I266" s="120"/>
      <c r="J266" s="120">
        <f t="shared" ref="J266" si="455">J264-H266</f>
        <v>2116.1311367431317</v>
      </c>
      <c r="K266" s="122"/>
    </row>
    <row r="267" spans="2:11" ht="15" thickBot="1" x14ac:dyDescent="0.35">
      <c r="B267" s="41"/>
      <c r="C267" s="35"/>
      <c r="D267" s="121"/>
      <c r="E267" s="121"/>
      <c r="F267" s="121"/>
      <c r="G267" s="121"/>
      <c r="H267" s="121"/>
      <c r="I267" s="121"/>
      <c r="J267" s="121"/>
      <c r="K267" s="123"/>
    </row>
    <row r="268" spans="2:11" ht="15" thickBot="1" x14ac:dyDescent="0.35">
      <c r="B268" s="117">
        <v>116</v>
      </c>
      <c r="C268" s="118"/>
      <c r="D268" s="120">
        <f t="shared" ref="D268" si="456">$D$30</f>
        <v>13.596946499530036</v>
      </c>
      <c r="E268" s="120"/>
      <c r="F268" s="120">
        <f t="shared" ref="F268" si="457">($G$22/12)*J266</f>
        <v>4.0559180120910021</v>
      </c>
      <c r="G268" s="120"/>
      <c r="H268" s="120">
        <f t="shared" ref="H268" si="458">D268-F268</f>
        <v>9.5410284874390339</v>
      </c>
      <c r="I268" s="120"/>
      <c r="J268" s="120">
        <f t="shared" ref="J268" si="459">J266-H268</f>
        <v>2106.5901082556925</v>
      </c>
      <c r="K268" s="122"/>
    </row>
    <row r="269" spans="2:11" ht="15" thickBot="1" x14ac:dyDescent="0.35">
      <c r="B269" s="41"/>
      <c r="C269" s="35"/>
      <c r="D269" s="121"/>
      <c r="E269" s="121"/>
      <c r="F269" s="121"/>
      <c r="G269" s="121"/>
      <c r="H269" s="121"/>
      <c r="I269" s="121"/>
      <c r="J269" s="121"/>
      <c r="K269" s="123"/>
    </row>
    <row r="270" spans="2:11" ht="15" thickBot="1" x14ac:dyDescent="0.35">
      <c r="B270" s="117">
        <v>117</v>
      </c>
      <c r="C270" s="118"/>
      <c r="D270" s="120">
        <f t="shared" ref="D270" si="460">$D$30</f>
        <v>13.596946499530036</v>
      </c>
      <c r="E270" s="120"/>
      <c r="F270" s="120">
        <f t="shared" ref="F270" si="461">($G$22/12)*J268</f>
        <v>4.0376310408234106</v>
      </c>
      <c r="G270" s="120"/>
      <c r="H270" s="120">
        <f t="shared" ref="H270" si="462">D270-F270</f>
        <v>9.5593154587066245</v>
      </c>
      <c r="I270" s="120"/>
      <c r="J270" s="120">
        <f t="shared" ref="J270" si="463">J268-H270</f>
        <v>2097.0307927969857</v>
      </c>
      <c r="K270" s="122"/>
    </row>
    <row r="271" spans="2:11" ht="15" thickBot="1" x14ac:dyDescent="0.35">
      <c r="B271" s="41"/>
      <c r="C271" s="35"/>
      <c r="D271" s="121"/>
      <c r="E271" s="121"/>
      <c r="F271" s="121"/>
      <c r="G271" s="121"/>
      <c r="H271" s="121"/>
      <c r="I271" s="121"/>
      <c r="J271" s="121"/>
      <c r="K271" s="123"/>
    </row>
    <row r="272" spans="2:11" ht="15" thickBot="1" x14ac:dyDescent="0.35">
      <c r="B272" s="117">
        <v>118</v>
      </c>
      <c r="C272" s="118"/>
      <c r="D272" s="120">
        <f t="shared" ref="D272" si="464">$D$30</f>
        <v>13.596946499530036</v>
      </c>
      <c r="E272" s="120"/>
      <c r="F272" s="120">
        <f t="shared" ref="F272" si="465">($G$22/12)*J270</f>
        <v>4.0193090195275554</v>
      </c>
      <c r="G272" s="120"/>
      <c r="H272" s="120">
        <f t="shared" ref="H272" si="466">D272-F272</f>
        <v>9.5776374800024797</v>
      </c>
      <c r="I272" s="120"/>
      <c r="J272" s="120">
        <f t="shared" ref="J272" si="467">J270-H272</f>
        <v>2087.4531553169832</v>
      </c>
      <c r="K272" s="122"/>
    </row>
    <row r="273" spans="2:11" ht="15" thickBot="1" x14ac:dyDescent="0.35">
      <c r="B273" s="41"/>
      <c r="C273" s="35"/>
      <c r="D273" s="121"/>
      <c r="E273" s="121"/>
      <c r="F273" s="121"/>
      <c r="G273" s="121"/>
      <c r="H273" s="121"/>
      <c r="I273" s="121"/>
      <c r="J273" s="121"/>
      <c r="K273" s="123"/>
    </row>
    <row r="274" spans="2:11" ht="15" thickBot="1" x14ac:dyDescent="0.35">
      <c r="B274" s="117">
        <v>119</v>
      </c>
      <c r="C274" s="118"/>
      <c r="D274" s="120">
        <f t="shared" ref="D274" si="468">$D$30</f>
        <v>13.596946499530036</v>
      </c>
      <c r="E274" s="120"/>
      <c r="F274" s="120">
        <f t="shared" ref="F274" si="469">($G$22/12)*J272</f>
        <v>4.0009518810242177</v>
      </c>
      <c r="G274" s="120"/>
      <c r="H274" s="120">
        <f t="shared" ref="H274" si="470">D274-F274</f>
        <v>9.5959946185058183</v>
      </c>
      <c r="I274" s="120"/>
      <c r="J274" s="120">
        <f t="shared" ref="J274" si="471">J272-H274</f>
        <v>2077.8571606984774</v>
      </c>
      <c r="K274" s="122"/>
    </row>
    <row r="275" spans="2:11" ht="15" thickBot="1" x14ac:dyDescent="0.35">
      <c r="B275" s="41"/>
      <c r="C275" s="35"/>
      <c r="D275" s="121"/>
      <c r="E275" s="121"/>
      <c r="F275" s="121"/>
      <c r="G275" s="121"/>
      <c r="H275" s="121"/>
      <c r="I275" s="121"/>
      <c r="J275" s="121"/>
      <c r="K275" s="123"/>
    </row>
    <row r="276" spans="2:11" ht="15" thickBot="1" x14ac:dyDescent="0.35">
      <c r="B276" s="117">
        <v>120</v>
      </c>
      <c r="C276" s="118"/>
      <c r="D276" s="120">
        <f t="shared" ref="D276" si="472">$D$30</f>
        <v>13.596946499530036</v>
      </c>
      <c r="E276" s="120"/>
      <c r="F276" s="120">
        <f t="shared" ref="F276" si="473">($G$22/12)*J274</f>
        <v>3.9825595580054149</v>
      </c>
      <c r="G276" s="120"/>
      <c r="H276" s="120">
        <f t="shared" ref="H276" si="474">D276-F276</f>
        <v>9.6143869415246215</v>
      </c>
      <c r="I276" s="120"/>
      <c r="J276" s="120">
        <f t="shared" ref="J276" si="475">J274-H276</f>
        <v>2068.2427737569528</v>
      </c>
      <c r="K276" s="122"/>
    </row>
    <row r="277" spans="2:11" ht="15" thickBot="1" x14ac:dyDescent="0.35">
      <c r="B277" s="41"/>
      <c r="C277" s="35"/>
      <c r="D277" s="121"/>
      <c r="E277" s="121"/>
      <c r="F277" s="121"/>
      <c r="G277" s="121"/>
      <c r="H277" s="121"/>
      <c r="I277" s="121"/>
      <c r="J277" s="121"/>
      <c r="K277" s="123"/>
    </row>
    <row r="278" spans="2:11" ht="15" thickBot="1" x14ac:dyDescent="0.35">
      <c r="B278" s="117">
        <v>121</v>
      </c>
      <c r="C278" s="118"/>
      <c r="D278" s="120">
        <f t="shared" ref="D278" si="476">$D$30</f>
        <v>13.596946499530036</v>
      </c>
      <c r="E278" s="120"/>
      <c r="F278" s="120">
        <f t="shared" ref="F278" si="477">($G$22/12)*J276</f>
        <v>3.9641319830341595</v>
      </c>
      <c r="G278" s="120"/>
      <c r="H278" s="120">
        <f t="shared" ref="H278" si="478">D278-F278</f>
        <v>9.6328145164958769</v>
      </c>
      <c r="I278" s="120"/>
      <c r="J278" s="120">
        <f t="shared" ref="J278" si="479">J276-H278</f>
        <v>2058.6099592404571</v>
      </c>
      <c r="K278" s="122"/>
    </row>
    <row r="279" spans="2:11" ht="15" thickBot="1" x14ac:dyDescent="0.35">
      <c r="B279" s="41"/>
      <c r="C279" s="35"/>
      <c r="D279" s="121"/>
      <c r="E279" s="121"/>
      <c r="F279" s="121"/>
      <c r="G279" s="121"/>
      <c r="H279" s="121"/>
      <c r="I279" s="121"/>
      <c r="J279" s="121"/>
      <c r="K279" s="123"/>
    </row>
    <row r="280" spans="2:11" ht="15" thickBot="1" x14ac:dyDescent="0.35">
      <c r="B280" s="117">
        <v>122</v>
      </c>
      <c r="C280" s="118"/>
      <c r="D280" s="120">
        <f t="shared" ref="D280" si="480">$D$30</f>
        <v>13.596946499530036</v>
      </c>
      <c r="E280" s="120"/>
      <c r="F280" s="120">
        <f t="shared" ref="F280" si="481">($G$22/12)*J278</f>
        <v>3.9456690885442094</v>
      </c>
      <c r="G280" s="120"/>
      <c r="H280" s="120">
        <f t="shared" ref="H280" si="482">D280-F280</f>
        <v>9.651277410985827</v>
      </c>
      <c r="I280" s="120"/>
      <c r="J280" s="120">
        <f t="shared" ref="J280" si="483">J278-H280</f>
        <v>2048.9586818294711</v>
      </c>
      <c r="K280" s="122"/>
    </row>
    <row r="281" spans="2:11" ht="15" thickBot="1" x14ac:dyDescent="0.35">
      <c r="B281" s="41"/>
      <c r="C281" s="35"/>
      <c r="D281" s="121"/>
      <c r="E281" s="121"/>
      <c r="F281" s="121"/>
      <c r="G281" s="121"/>
      <c r="H281" s="121"/>
      <c r="I281" s="121"/>
      <c r="J281" s="121"/>
      <c r="K281" s="123"/>
    </row>
    <row r="282" spans="2:11" ht="15" thickBot="1" x14ac:dyDescent="0.35">
      <c r="B282" s="117">
        <v>123</v>
      </c>
      <c r="C282" s="118"/>
      <c r="D282" s="120">
        <f t="shared" ref="D282" si="484">$D$30</f>
        <v>13.596946499530036</v>
      </c>
      <c r="E282" s="120"/>
      <c r="F282" s="120">
        <f t="shared" ref="F282" si="485">($G$22/12)*J280</f>
        <v>3.9271708068398192</v>
      </c>
      <c r="G282" s="120"/>
      <c r="H282" s="120">
        <f t="shared" ref="H282" si="486">D282-F282</f>
        <v>9.6697756926902159</v>
      </c>
      <c r="I282" s="120"/>
      <c r="J282" s="120">
        <f t="shared" ref="J282" si="487">J280-H282</f>
        <v>2039.288906136781</v>
      </c>
      <c r="K282" s="122"/>
    </row>
    <row r="283" spans="2:11" ht="15" thickBot="1" x14ac:dyDescent="0.35">
      <c r="B283" s="41"/>
      <c r="C283" s="35"/>
      <c r="D283" s="121"/>
      <c r="E283" s="121"/>
      <c r="F283" s="121"/>
      <c r="G283" s="121"/>
      <c r="H283" s="121"/>
      <c r="I283" s="121"/>
      <c r="J283" s="121"/>
      <c r="K283" s="123"/>
    </row>
    <row r="284" spans="2:11" ht="15" thickBot="1" x14ac:dyDescent="0.35">
      <c r="B284" s="117">
        <v>124</v>
      </c>
      <c r="C284" s="118"/>
      <c r="D284" s="120">
        <f t="shared" ref="D284" si="488">$D$30</f>
        <v>13.596946499530036</v>
      </c>
      <c r="E284" s="120"/>
      <c r="F284" s="120">
        <f t="shared" ref="F284" si="489">($G$22/12)*J282</f>
        <v>3.9086370700954967</v>
      </c>
      <c r="G284" s="120"/>
      <c r="H284" s="120">
        <f t="shared" ref="H284" si="490">D284-F284</f>
        <v>9.6883094294345398</v>
      </c>
      <c r="I284" s="120"/>
      <c r="J284" s="120">
        <f t="shared" ref="J284" si="491">J282-H284</f>
        <v>2029.6005967073463</v>
      </c>
      <c r="K284" s="122"/>
    </row>
    <row r="285" spans="2:11" ht="15" thickBot="1" x14ac:dyDescent="0.35">
      <c r="B285" s="41"/>
      <c r="C285" s="35"/>
      <c r="D285" s="121"/>
      <c r="E285" s="121"/>
      <c r="F285" s="121"/>
      <c r="G285" s="121"/>
      <c r="H285" s="121"/>
      <c r="I285" s="121"/>
      <c r="J285" s="121"/>
      <c r="K285" s="123"/>
    </row>
    <row r="286" spans="2:11" ht="15" thickBot="1" x14ac:dyDescent="0.35">
      <c r="B286" s="117">
        <v>125</v>
      </c>
      <c r="C286" s="118"/>
      <c r="D286" s="120">
        <f t="shared" ref="D286" si="492">$D$30</f>
        <v>13.596946499530036</v>
      </c>
      <c r="E286" s="120"/>
      <c r="F286" s="120">
        <f t="shared" ref="F286" si="493">($G$22/12)*J284</f>
        <v>3.8900678103557467</v>
      </c>
      <c r="G286" s="120"/>
      <c r="H286" s="120">
        <f t="shared" ref="H286" si="494">D286-F286</f>
        <v>9.7068786891742889</v>
      </c>
      <c r="I286" s="120"/>
      <c r="J286" s="120">
        <f t="shared" ref="J286" si="495">J284-H286</f>
        <v>2019.893718018172</v>
      </c>
      <c r="K286" s="122"/>
    </row>
    <row r="287" spans="2:11" ht="15" thickBot="1" x14ac:dyDescent="0.35">
      <c r="B287" s="41"/>
      <c r="C287" s="35"/>
      <c r="D287" s="121"/>
      <c r="E287" s="121"/>
      <c r="F287" s="121"/>
      <c r="G287" s="121"/>
      <c r="H287" s="121"/>
      <c r="I287" s="121"/>
      <c r="J287" s="121"/>
      <c r="K287" s="123"/>
    </row>
    <row r="288" spans="2:11" ht="15" thickBot="1" x14ac:dyDescent="0.35">
      <c r="B288" s="117">
        <v>126</v>
      </c>
      <c r="C288" s="118"/>
      <c r="D288" s="120">
        <f t="shared" ref="D288" si="496">$D$30</f>
        <v>13.596946499530036</v>
      </c>
      <c r="E288" s="120"/>
      <c r="F288" s="120">
        <f t="shared" ref="F288" si="497">($G$22/12)*J286</f>
        <v>3.8714629595348296</v>
      </c>
      <c r="G288" s="120"/>
      <c r="H288" s="120">
        <f t="shared" ref="H288" si="498">D288-F288</f>
        <v>9.7254835399952064</v>
      </c>
      <c r="I288" s="120"/>
      <c r="J288" s="120">
        <f t="shared" ref="J288" si="499">J286-H288</f>
        <v>2010.1682344781768</v>
      </c>
      <c r="K288" s="122"/>
    </row>
    <row r="289" spans="2:11" ht="15" thickBot="1" x14ac:dyDescent="0.35">
      <c r="B289" s="41"/>
      <c r="C289" s="35"/>
      <c r="D289" s="121"/>
      <c r="E289" s="121"/>
      <c r="F289" s="121"/>
      <c r="G289" s="121"/>
      <c r="H289" s="121"/>
      <c r="I289" s="121"/>
      <c r="J289" s="121"/>
      <c r="K289" s="123"/>
    </row>
    <row r="290" spans="2:11" ht="15" thickBot="1" x14ac:dyDescent="0.35">
      <c r="B290" s="117">
        <v>127</v>
      </c>
      <c r="C290" s="118"/>
      <c r="D290" s="120">
        <f t="shared" ref="D290" si="500">$D$30</f>
        <v>13.596946499530036</v>
      </c>
      <c r="E290" s="120"/>
      <c r="F290" s="120">
        <f t="shared" ref="F290" si="501">($G$22/12)*J288</f>
        <v>3.8528224494165055</v>
      </c>
      <c r="G290" s="120"/>
      <c r="H290" s="120">
        <f t="shared" ref="H290" si="502">D290-F290</f>
        <v>9.7441240501135304</v>
      </c>
      <c r="I290" s="120"/>
      <c r="J290" s="120">
        <f t="shared" ref="J290" si="503">J288-H290</f>
        <v>2000.4241104280634</v>
      </c>
      <c r="K290" s="122"/>
    </row>
    <row r="291" spans="2:11" ht="15" thickBot="1" x14ac:dyDescent="0.35">
      <c r="B291" s="41"/>
      <c r="C291" s="35"/>
      <c r="D291" s="121"/>
      <c r="E291" s="121"/>
      <c r="F291" s="121"/>
      <c r="G291" s="121"/>
      <c r="H291" s="121"/>
      <c r="I291" s="121"/>
      <c r="J291" s="121"/>
      <c r="K291" s="123"/>
    </row>
    <row r="292" spans="2:11" ht="15" thickBot="1" x14ac:dyDescent="0.35">
      <c r="B292" s="117">
        <v>128</v>
      </c>
      <c r="C292" s="118"/>
      <c r="D292" s="120">
        <f t="shared" ref="D292" si="504">$D$30</f>
        <v>13.596946499530036</v>
      </c>
      <c r="E292" s="120"/>
      <c r="F292" s="120">
        <f t="shared" ref="F292" si="505">($G$22/12)*J290</f>
        <v>3.8341462116537879</v>
      </c>
      <c r="G292" s="120"/>
      <c r="H292" s="120">
        <f t="shared" ref="H292" si="506">D292-F292</f>
        <v>9.7628002878762477</v>
      </c>
      <c r="I292" s="120"/>
      <c r="J292" s="120">
        <f t="shared" ref="J292" si="507">J290-H292</f>
        <v>1990.6613101401872</v>
      </c>
      <c r="K292" s="122"/>
    </row>
    <row r="293" spans="2:11" ht="15" thickBot="1" x14ac:dyDescent="0.35">
      <c r="B293" s="41"/>
      <c r="C293" s="35"/>
      <c r="D293" s="121"/>
      <c r="E293" s="121"/>
      <c r="F293" s="121"/>
      <c r="G293" s="121"/>
      <c r="H293" s="121"/>
      <c r="I293" s="121"/>
      <c r="J293" s="121"/>
      <c r="K293" s="123"/>
    </row>
    <row r="294" spans="2:11" ht="15" thickBot="1" x14ac:dyDescent="0.35">
      <c r="B294" s="117">
        <v>129</v>
      </c>
      <c r="C294" s="118"/>
      <c r="D294" s="120">
        <f t="shared" ref="D294" si="508">$D$30</f>
        <v>13.596946499530036</v>
      </c>
      <c r="E294" s="120"/>
      <c r="F294" s="120">
        <f t="shared" ref="F294" si="509">($G$22/12)*J292</f>
        <v>3.815434177768692</v>
      </c>
      <c r="G294" s="120"/>
      <c r="H294" s="120">
        <f t="shared" ref="H294" si="510">D294-F294</f>
        <v>9.781512321761344</v>
      </c>
      <c r="I294" s="120"/>
      <c r="J294" s="120">
        <f t="shared" ref="J294" si="511">J292-H294</f>
        <v>1980.8797978184259</v>
      </c>
      <c r="K294" s="122"/>
    </row>
    <row r="295" spans="2:11" ht="15" thickBot="1" x14ac:dyDescent="0.35">
      <c r="B295" s="41"/>
      <c r="C295" s="35"/>
      <c r="D295" s="121"/>
      <c r="E295" s="121"/>
      <c r="F295" s="121"/>
      <c r="G295" s="121"/>
      <c r="H295" s="121"/>
      <c r="I295" s="121"/>
      <c r="J295" s="121"/>
      <c r="K295" s="123"/>
    </row>
    <row r="296" spans="2:11" ht="15" thickBot="1" x14ac:dyDescent="0.35">
      <c r="B296" s="117">
        <v>130</v>
      </c>
      <c r="C296" s="118"/>
      <c r="D296" s="120">
        <f t="shared" ref="D296" si="512">$D$30</f>
        <v>13.596946499530036</v>
      </c>
      <c r="E296" s="120"/>
      <c r="F296" s="120">
        <f t="shared" ref="F296" si="513">($G$22/12)*J294</f>
        <v>3.7966862791519826</v>
      </c>
      <c r="G296" s="120"/>
      <c r="H296" s="120">
        <f t="shared" ref="H296" si="514">D296-F296</f>
        <v>9.8002602203780533</v>
      </c>
      <c r="I296" s="120"/>
      <c r="J296" s="120">
        <f t="shared" ref="J296" si="515">J294-H296</f>
        <v>1971.0795375980479</v>
      </c>
      <c r="K296" s="122"/>
    </row>
    <row r="297" spans="2:11" ht="15" thickBot="1" x14ac:dyDescent="0.35">
      <c r="B297" s="41"/>
      <c r="C297" s="35"/>
      <c r="D297" s="121"/>
      <c r="E297" s="121"/>
      <c r="F297" s="121"/>
      <c r="G297" s="121"/>
      <c r="H297" s="121"/>
      <c r="I297" s="121"/>
      <c r="J297" s="121"/>
      <c r="K297" s="123"/>
    </row>
    <row r="298" spans="2:11" ht="15" thickBot="1" x14ac:dyDescent="0.35">
      <c r="B298" s="117">
        <v>131</v>
      </c>
      <c r="C298" s="118"/>
      <c r="D298" s="120">
        <f t="shared" ref="D298" si="516">$D$30</f>
        <v>13.596946499530036</v>
      </c>
      <c r="E298" s="120"/>
      <c r="F298" s="120">
        <f t="shared" ref="F298" si="517">($G$22/12)*J296</f>
        <v>3.777902447062925</v>
      </c>
      <c r="G298" s="120"/>
      <c r="H298" s="120">
        <f t="shared" ref="H298" si="518">D298-F298</f>
        <v>9.8190440524671114</v>
      </c>
      <c r="I298" s="120"/>
      <c r="J298" s="120">
        <f t="shared" ref="J298" si="519">J296-H298</f>
        <v>1961.2604935455809</v>
      </c>
      <c r="K298" s="122"/>
    </row>
    <row r="299" spans="2:11" ht="15" thickBot="1" x14ac:dyDescent="0.35">
      <c r="B299" s="41"/>
      <c r="C299" s="35"/>
      <c r="D299" s="121"/>
      <c r="E299" s="121"/>
      <c r="F299" s="121"/>
      <c r="G299" s="121"/>
      <c r="H299" s="121"/>
      <c r="I299" s="121"/>
      <c r="J299" s="121"/>
      <c r="K299" s="123"/>
    </row>
    <row r="300" spans="2:11" ht="15" thickBot="1" x14ac:dyDescent="0.35">
      <c r="B300" s="117">
        <v>132</v>
      </c>
      <c r="C300" s="118"/>
      <c r="D300" s="120">
        <f t="shared" ref="D300" si="520">$D$30</f>
        <v>13.596946499530036</v>
      </c>
      <c r="E300" s="120"/>
      <c r="F300" s="120">
        <f t="shared" ref="F300" si="521">($G$22/12)*J298</f>
        <v>3.75908261262903</v>
      </c>
      <c r="G300" s="120"/>
      <c r="H300" s="120">
        <f t="shared" ref="H300" si="522">D300-F300</f>
        <v>9.8378638869010064</v>
      </c>
      <c r="I300" s="120"/>
      <c r="J300" s="120">
        <f t="shared" ref="J300" si="523">J298-H300</f>
        <v>1951.4226296586799</v>
      </c>
      <c r="K300" s="122"/>
    </row>
    <row r="301" spans="2:11" ht="15" thickBot="1" x14ac:dyDescent="0.35">
      <c r="B301" s="41"/>
      <c r="C301" s="35"/>
      <c r="D301" s="121"/>
      <c r="E301" s="121"/>
      <c r="F301" s="121"/>
      <c r="G301" s="121"/>
      <c r="H301" s="121"/>
      <c r="I301" s="121"/>
      <c r="J301" s="121"/>
      <c r="K301" s="123"/>
    </row>
    <row r="302" spans="2:11" ht="15" thickBot="1" x14ac:dyDescent="0.35">
      <c r="B302" s="117">
        <v>133</v>
      </c>
      <c r="C302" s="118"/>
      <c r="D302" s="120">
        <f t="shared" ref="D302" si="524">$D$30</f>
        <v>13.596946499530036</v>
      </c>
      <c r="E302" s="120"/>
      <c r="F302" s="120">
        <f t="shared" ref="F302" si="525">($G$22/12)*J300</f>
        <v>3.7402267068458031</v>
      </c>
      <c r="G302" s="120"/>
      <c r="H302" s="120">
        <f t="shared" ref="H302" si="526">D302-F302</f>
        <v>9.8567197926842329</v>
      </c>
      <c r="I302" s="120"/>
      <c r="J302" s="120">
        <f t="shared" ref="J302" si="527">J300-H302</f>
        <v>1941.5659098659955</v>
      </c>
      <c r="K302" s="122"/>
    </row>
    <row r="303" spans="2:11" ht="15" thickBot="1" x14ac:dyDescent="0.35">
      <c r="B303" s="41"/>
      <c r="C303" s="35"/>
      <c r="D303" s="121"/>
      <c r="E303" s="121"/>
      <c r="F303" s="121"/>
      <c r="G303" s="121"/>
      <c r="H303" s="121"/>
      <c r="I303" s="121"/>
      <c r="J303" s="121"/>
      <c r="K303" s="123"/>
    </row>
    <row r="304" spans="2:11" ht="15" thickBot="1" x14ac:dyDescent="0.35">
      <c r="B304" s="117">
        <v>134</v>
      </c>
      <c r="C304" s="118"/>
      <c r="D304" s="120">
        <f t="shared" ref="D304" si="528">$D$30</f>
        <v>13.596946499530036</v>
      </c>
      <c r="E304" s="120"/>
      <c r="F304" s="120">
        <f t="shared" ref="F304" si="529">($G$22/12)*J302</f>
        <v>3.7213346605764914</v>
      </c>
      <c r="G304" s="120"/>
      <c r="H304" s="120">
        <f t="shared" ref="H304" si="530">D304-F304</f>
        <v>9.8756118389535441</v>
      </c>
      <c r="I304" s="120"/>
      <c r="J304" s="120">
        <f t="shared" ref="J304" si="531">J302-H304</f>
        <v>1931.690298027042</v>
      </c>
      <c r="K304" s="122"/>
    </row>
    <row r="305" spans="2:11" ht="15" thickBot="1" x14ac:dyDescent="0.35">
      <c r="B305" s="41"/>
      <c r="C305" s="35"/>
      <c r="D305" s="121"/>
      <c r="E305" s="121"/>
      <c r="F305" s="121"/>
      <c r="G305" s="121"/>
      <c r="H305" s="121"/>
      <c r="I305" s="121"/>
      <c r="J305" s="121"/>
      <c r="K305" s="123"/>
    </row>
    <row r="306" spans="2:11" ht="15" thickBot="1" x14ac:dyDescent="0.35">
      <c r="B306" s="117">
        <v>135</v>
      </c>
      <c r="C306" s="118"/>
      <c r="D306" s="120">
        <f t="shared" ref="D306" si="532">$D$30</f>
        <v>13.596946499530036</v>
      </c>
      <c r="E306" s="120"/>
      <c r="F306" s="120">
        <f t="shared" ref="F306" si="533">($G$22/12)*J304</f>
        <v>3.7024064045518301</v>
      </c>
      <c r="G306" s="120"/>
      <c r="H306" s="120">
        <f t="shared" ref="H306" si="534">D306-F306</f>
        <v>9.8945400949782059</v>
      </c>
      <c r="I306" s="120"/>
      <c r="J306" s="120">
        <f t="shared" ref="J306" si="535">J304-H306</f>
        <v>1921.7957579320637</v>
      </c>
      <c r="K306" s="122"/>
    </row>
    <row r="307" spans="2:11" ht="15" thickBot="1" x14ac:dyDescent="0.35">
      <c r="B307" s="41"/>
      <c r="C307" s="35"/>
      <c r="D307" s="121"/>
      <c r="E307" s="121"/>
      <c r="F307" s="121"/>
      <c r="G307" s="121"/>
      <c r="H307" s="121"/>
      <c r="I307" s="121"/>
      <c r="J307" s="121"/>
      <c r="K307" s="123"/>
    </row>
    <row r="308" spans="2:11" ht="15" thickBot="1" x14ac:dyDescent="0.35">
      <c r="B308" s="117">
        <v>136</v>
      </c>
      <c r="C308" s="118"/>
      <c r="D308" s="120">
        <f t="shared" ref="D308" si="536">$D$30</f>
        <v>13.596946499530036</v>
      </c>
      <c r="E308" s="120"/>
      <c r="F308" s="120">
        <f t="shared" ref="F308" si="537">($G$22/12)*J306</f>
        <v>3.6834418693697883</v>
      </c>
      <c r="G308" s="120"/>
      <c r="H308" s="120">
        <f t="shared" ref="H308" si="538">D308-F308</f>
        <v>9.9135046301602472</v>
      </c>
      <c r="I308" s="120"/>
      <c r="J308" s="120">
        <f t="shared" ref="J308" si="539">J306-H308</f>
        <v>1911.8822533019033</v>
      </c>
      <c r="K308" s="122"/>
    </row>
    <row r="309" spans="2:11" ht="15" thickBot="1" x14ac:dyDescent="0.35">
      <c r="B309" s="41"/>
      <c r="C309" s="35"/>
      <c r="D309" s="121"/>
      <c r="E309" s="121"/>
      <c r="F309" s="121"/>
      <c r="G309" s="121"/>
      <c r="H309" s="121"/>
      <c r="I309" s="121"/>
      <c r="J309" s="121"/>
      <c r="K309" s="123"/>
    </row>
    <row r="310" spans="2:11" ht="15" thickBot="1" x14ac:dyDescent="0.35">
      <c r="B310" s="117">
        <v>137</v>
      </c>
      <c r="C310" s="118"/>
      <c r="D310" s="120">
        <f t="shared" ref="D310" si="540">$D$30</f>
        <v>13.596946499530036</v>
      </c>
      <c r="E310" s="120"/>
      <c r="F310" s="120">
        <f t="shared" ref="F310" si="541">($G$22/12)*J308</f>
        <v>3.6644409854953146</v>
      </c>
      <c r="G310" s="120"/>
      <c r="H310" s="120">
        <f t="shared" ref="H310" si="542">D310-F310</f>
        <v>9.9325055140347214</v>
      </c>
      <c r="I310" s="120"/>
      <c r="J310" s="120">
        <f t="shared" ref="J310" si="543">J308-H310</f>
        <v>1901.9497477878685</v>
      </c>
      <c r="K310" s="122"/>
    </row>
    <row r="311" spans="2:11" ht="15" thickBot="1" x14ac:dyDescent="0.35">
      <c r="B311" s="41"/>
      <c r="C311" s="35"/>
      <c r="D311" s="121"/>
      <c r="E311" s="121"/>
      <c r="F311" s="121"/>
      <c r="G311" s="121"/>
      <c r="H311" s="121"/>
      <c r="I311" s="121"/>
      <c r="J311" s="121"/>
      <c r="K311" s="123"/>
    </row>
    <row r="312" spans="2:11" ht="15" thickBot="1" x14ac:dyDescent="0.35">
      <c r="B312" s="117">
        <v>138</v>
      </c>
      <c r="C312" s="118"/>
      <c r="D312" s="120">
        <f t="shared" ref="D312" si="544">$D$30</f>
        <v>13.596946499530036</v>
      </c>
      <c r="E312" s="120"/>
      <c r="F312" s="120">
        <f t="shared" ref="F312" si="545">($G$22/12)*J310</f>
        <v>3.6454036832600814</v>
      </c>
      <c r="G312" s="120"/>
      <c r="H312" s="120">
        <f t="shared" ref="H312" si="546">D312-F312</f>
        <v>9.9515428162699546</v>
      </c>
      <c r="I312" s="120"/>
      <c r="J312" s="120">
        <f t="shared" ref="J312" si="547">J310-H312</f>
        <v>1891.9982049715986</v>
      </c>
      <c r="K312" s="122"/>
    </row>
    <row r="313" spans="2:11" ht="15" thickBot="1" x14ac:dyDescent="0.35">
      <c r="B313" s="41"/>
      <c r="C313" s="35"/>
      <c r="D313" s="121"/>
      <c r="E313" s="121"/>
      <c r="F313" s="121"/>
      <c r="G313" s="121"/>
      <c r="H313" s="121"/>
      <c r="I313" s="121"/>
      <c r="J313" s="121"/>
      <c r="K313" s="123"/>
    </row>
    <row r="314" spans="2:11" ht="15" thickBot="1" x14ac:dyDescent="0.35">
      <c r="B314" s="117">
        <v>139</v>
      </c>
      <c r="C314" s="118"/>
      <c r="D314" s="120">
        <f t="shared" ref="D314" si="548">$D$30</f>
        <v>13.596946499530036</v>
      </c>
      <c r="E314" s="120"/>
      <c r="F314" s="120">
        <f t="shared" ref="F314" si="549">($G$22/12)*J312</f>
        <v>3.6263298928622305</v>
      </c>
      <c r="G314" s="120"/>
      <c r="H314" s="120">
        <f t="shared" ref="H314" si="550">D314-F314</f>
        <v>9.9706166066678055</v>
      </c>
      <c r="I314" s="120"/>
      <c r="J314" s="120">
        <f t="shared" ref="J314" si="551">J312-H314</f>
        <v>1882.0275883649308</v>
      </c>
      <c r="K314" s="122"/>
    </row>
    <row r="315" spans="2:11" ht="15" thickBot="1" x14ac:dyDescent="0.35">
      <c r="B315" s="41"/>
      <c r="C315" s="35"/>
      <c r="D315" s="121"/>
      <c r="E315" s="121"/>
      <c r="F315" s="121"/>
      <c r="G315" s="121"/>
      <c r="H315" s="121"/>
      <c r="I315" s="121"/>
      <c r="J315" s="121"/>
      <c r="K315" s="123"/>
    </row>
    <row r="316" spans="2:11" ht="15" thickBot="1" x14ac:dyDescent="0.35">
      <c r="B316" s="117">
        <v>140</v>
      </c>
      <c r="C316" s="118"/>
      <c r="D316" s="120">
        <f t="shared" ref="D316" si="552">$D$30</f>
        <v>13.596946499530036</v>
      </c>
      <c r="E316" s="120"/>
      <c r="F316" s="120">
        <f t="shared" ref="F316" si="553">($G$22/12)*J314</f>
        <v>3.6072195443661172</v>
      </c>
      <c r="G316" s="120"/>
      <c r="H316" s="120">
        <f t="shared" ref="H316" si="554">D316-F316</f>
        <v>9.9897269551639187</v>
      </c>
      <c r="I316" s="120"/>
      <c r="J316" s="120">
        <f t="shared" ref="J316" si="555">J314-H316</f>
        <v>1872.0378614097669</v>
      </c>
      <c r="K316" s="122"/>
    </row>
    <row r="317" spans="2:11" ht="15" thickBot="1" x14ac:dyDescent="0.35">
      <c r="B317" s="41"/>
      <c r="C317" s="35"/>
      <c r="D317" s="121"/>
      <c r="E317" s="121"/>
      <c r="F317" s="121"/>
      <c r="G317" s="121"/>
      <c r="H317" s="121"/>
      <c r="I317" s="121"/>
      <c r="J317" s="121"/>
      <c r="K317" s="123"/>
    </row>
    <row r="318" spans="2:11" ht="15" thickBot="1" x14ac:dyDescent="0.35">
      <c r="B318" s="117">
        <v>141</v>
      </c>
      <c r="C318" s="118"/>
      <c r="D318" s="120">
        <f t="shared" ref="D318" si="556">$D$30</f>
        <v>13.596946499530036</v>
      </c>
      <c r="E318" s="120"/>
      <c r="F318" s="120">
        <f t="shared" ref="F318" si="557">($G$22/12)*J316</f>
        <v>3.5880725677020533</v>
      </c>
      <c r="G318" s="120"/>
      <c r="H318" s="120">
        <f t="shared" ref="H318" si="558">D318-F318</f>
        <v>10.008873931827983</v>
      </c>
      <c r="I318" s="120"/>
      <c r="J318" s="120">
        <f t="shared" ref="J318" si="559">J316-H318</f>
        <v>1862.0289874779389</v>
      </c>
      <c r="K318" s="122"/>
    </row>
    <row r="319" spans="2:11" ht="15" thickBot="1" x14ac:dyDescent="0.35">
      <c r="B319" s="41"/>
      <c r="C319" s="35"/>
      <c r="D319" s="121"/>
      <c r="E319" s="121"/>
      <c r="F319" s="121"/>
      <c r="G319" s="121"/>
      <c r="H319" s="121"/>
      <c r="I319" s="121"/>
      <c r="J319" s="121"/>
      <c r="K319" s="123"/>
    </row>
    <row r="320" spans="2:11" ht="15" thickBot="1" x14ac:dyDescent="0.35">
      <c r="B320" s="117">
        <v>142</v>
      </c>
      <c r="C320" s="118"/>
      <c r="D320" s="120">
        <f t="shared" ref="D320" si="560">$D$30</f>
        <v>13.596946499530036</v>
      </c>
      <c r="E320" s="120"/>
      <c r="F320" s="120">
        <f t="shared" ref="F320" si="561">($G$22/12)*J318</f>
        <v>3.5688888926660494</v>
      </c>
      <c r="G320" s="120"/>
      <c r="H320" s="120">
        <f t="shared" ref="H320" si="562">D320-F320</f>
        <v>10.028057606863987</v>
      </c>
      <c r="I320" s="120"/>
      <c r="J320" s="120">
        <f t="shared" ref="J320" si="563">J318-H320</f>
        <v>1852.000929871075</v>
      </c>
      <c r="K320" s="122"/>
    </row>
    <row r="321" spans="2:11" ht="15" thickBot="1" x14ac:dyDescent="0.35">
      <c r="B321" s="41"/>
      <c r="C321" s="35"/>
      <c r="D321" s="121"/>
      <c r="E321" s="121"/>
      <c r="F321" s="121"/>
      <c r="G321" s="121"/>
      <c r="H321" s="121"/>
      <c r="I321" s="121"/>
      <c r="J321" s="121"/>
      <c r="K321" s="123"/>
    </row>
    <row r="322" spans="2:11" ht="15" thickBot="1" x14ac:dyDescent="0.35">
      <c r="B322" s="117">
        <v>143</v>
      </c>
      <c r="C322" s="118"/>
      <c r="D322" s="120">
        <f t="shared" ref="D322" si="564">$D$30</f>
        <v>13.596946499530036</v>
      </c>
      <c r="E322" s="120"/>
      <c r="F322" s="120">
        <f t="shared" ref="F322" si="565">($G$22/12)*J320</f>
        <v>3.5496684489195602</v>
      </c>
      <c r="G322" s="120"/>
      <c r="H322" s="120">
        <f t="shared" ref="H322" si="566">D322-F322</f>
        <v>10.047278050610476</v>
      </c>
      <c r="I322" s="120"/>
      <c r="J322" s="120">
        <f t="shared" ref="J322" si="567">J320-H322</f>
        <v>1841.9536518204645</v>
      </c>
      <c r="K322" s="122"/>
    </row>
    <row r="323" spans="2:11" ht="15" thickBot="1" x14ac:dyDescent="0.35">
      <c r="B323" s="41"/>
      <c r="C323" s="35"/>
      <c r="D323" s="121"/>
      <c r="E323" s="121"/>
      <c r="F323" s="121"/>
      <c r="G323" s="121"/>
      <c r="H323" s="121"/>
      <c r="I323" s="121"/>
      <c r="J323" s="121"/>
      <c r="K323" s="123"/>
    </row>
    <row r="324" spans="2:11" ht="15" thickBot="1" x14ac:dyDescent="0.35">
      <c r="B324" s="117">
        <v>144</v>
      </c>
      <c r="C324" s="118"/>
      <c r="D324" s="120">
        <f t="shared" ref="D324" si="568">$D$30</f>
        <v>13.596946499530036</v>
      </c>
      <c r="E324" s="120"/>
      <c r="F324" s="120">
        <f t="shared" ref="F324" si="569">($G$22/12)*J322</f>
        <v>3.5304111659892237</v>
      </c>
      <c r="G324" s="120"/>
      <c r="H324" s="120">
        <f t="shared" ref="H324" si="570">D324-F324</f>
        <v>10.066535333540813</v>
      </c>
      <c r="I324" s="120"/>
      <c r="J324" s="120">
        <f t="shared" ref="J324" si="571">J322-H324</f>
        <v>1831.8871164869238</v>
      </c>
      <c r="K324" s="122"/>
    </row>
    <row r="325" spans="2:11" ht="15" thickBot="1" x14ac:dyDescent="0.35">
      <c r="B325" s="41"/>
      <c r="C325" s="35"/>
      <c r="D325" s="121"/>
      <c r="E325" s="121"/>
      <c r="F325" s="121"/>
      <c r="G325" s="121"/>
      <c r="H325" s="121"/>
      <c r="I325" s="121"/>
      <c r="J325" s="121"/>
      <c r="K325" s="123"/>
    </row>
    <row r="326" spans="2:11" ht="15" thickBot="1" x14ac:dyDescent="0.35">
      <c r="B326" s="117">
        <v>145</v>
      </c>
      <c r="C326" s="118"/>
      <c r="D326" s="120">
        <f t="shared" ref="D326" si="572">$D$30</f>
        <v>13.596946499530036</v>
      </c>
      <c r="E326" s="120"/>
      <c r="F326" s="120">
        <f t="shared" ref="F326" si="573">($G$22/12)*J324</f>
        <v>3.5111169732666037</v>
      </c>
      <c r="G326" s="120"/>
      <c r="H326" s="120">
        <f t="shared" ref="H326" si="574">D326-F326</f>
        <v>10.085829526263431</v>
      </c>
      <c r="I326" s="120"/>
      <c r="J326" s="120">
        <f t="shared" ref="J326" si="575">J324-H326</f>
        <v>1821.8012869606603</v>
      </c>
      <c r="K326" s="122"/>
    </row>
    <row r="327" spans="2:11" ht="15" thickBot="1" x14ac:dyDescent="0.35">
      <c r="B327" s="41"/>
      <c r="C327" s="35"/>
      <c r="D327" s="121"/>
      <c r="E327" s="121"/>
      <c r="F327" s="121"/>
      <c r="G327" s="121"/>
      <c r="H327" s="121"/>
      <c r="I327" s="121"/>
      <c r="J327" s="121"/>
      <c r="K327" s="123"/>
    </row>
    <row r="328" spans="2:11" ht="15" thickBot="1" x14ac:dyDescent="0.35">
      <c r="B328" s="117">
        <v>146</v>
      </c>
      <c r="C328" s="118"/>
      <c r="D328" s="120">
        <f t="shared" ref="D328" si="576">$D$30</f>
        <v>13.596946499530036</v>
      </c>
      <c r="E328" s="120"/>
      <c r="F328" s="120">
        <f t="shared" ref="F328" si="577">($G$22/12)*J326</f>
        <v>3.491785800007932</v>
      </c>
      <c r="G328" s="120"/>
      <c r="H328" s="120">
        <f t="shared" ref="H328" si="578">D328-F328</f>
        <v>10.105160699522104</v>
      </c>
      <c r="I328" s="120"/>
      <c r="J328" s="120">
        <f t="shared" ref="J328" si="579">J326-H328</f>
        <v>1811.6961262611383</v>
      </c>
      <c r="K328" s="122"/>
    </row>
    <row r="329" spans="2:11" ht="15" thickBot="1" x14ac:dyDescent="0.35">
      <c r="B329" s="41"/>
      <c r="C329" s="35"/>
      <c r="D329" s="121"/>
      <c r="E329" s="121"/>
      <c r="F329" s="121"/>
      <c r="G329" s="121"/>
      <c r="H329" s="121"/>
      <c r="I329" s="121"/>
      <c r="J329" s="121"/>
      <c r="K329" s="123"/>
    </row>
    <row r="330" spans="2:11" ht="15" thickBot="1" x14ac:dyDescent="0.35">
      <c r="B330" s="117">
        <v>147</v>
      </c>
      <c r="C330" s="118"/>
      <c r="D330" s="120">
        <f t="shared" ref="D330" si="580">$D$30</f>
        <v>13.596946499530036</v>
      </c>
      <c r="E330" s="120"/>
      <c r="F330" s="120">
        <f t="shared" ref="F330" si="581">($G$22/12)*J328</f>
        <v>3.4724175753338482</v>
      </c>
      <c r="G330" s="120"/>
      <c r="H330" s="120">
        <f t="shared" ref="H330" si="582">D330-F330</f>
        <v>10.124528924196188</v>
      </c>
      <c r="I330" s="120"/>
      <c r="J330" s="120">
        <f t="shared" ref="J330" si="583">J328-H330</f>
        <v>1801.571597336942</v>
      </c>
      <c r="K330" s="122"/>
    </row>
    <row r="331" spans="2:11" ht="15" thickBot="1" x14ac:dyDescent="0.35">
      <c r="B331" s="41"/>
      <c r="C331" s="35"/>
      <c r="D331" s="121"/>
      <c r="E331" s="121"/>
      <c r="F331" s="121"/>
      <c r="G331" s="121"/>
      <c r="H331" s="121"/>
      <c r="I331" s="121"/>
      <c r="J331" s="121"/>
      <c r="K331" s="123"/>
    </row>
    <row r="332" spans="2:11" ht="15" thickBot="1" x14ac:dyDescent="0.35">
      <c r="B332" s="117">
        <v>148</v>
      </c>
      <c r="C332" s="118"/>
      <c r="D332" s="120">
        <f t="shared" ref="D332" si="584">$D$30</f>
        <v>13.596946499530036</v>
      </c>
      <c r="E332" s="120"/>
      <c r="F332" s="120">
        <f t="shared" ref="F332" si="585">($G$22/12)*J330</f>
        <v>3.4530122282291384</v>
      </c>
      <c r="G332" s="120"/>
      <c r="H332" s="120">
        <f t="shared" ref="H332" si="586">D332-F332</f>
        <v>10.143934271300898</v>
      </c>
      <c r="I332" s="120"/>
      <c r="J332" s="120">
        <f t="shared" ref="J332" si="587">J330-H332</f>
        <v>1791.4276630656411</v>
      </c>
      <c r="K332" s="122"/>
    </row>
    <row r="333" spans="2:11" ht="15" thickBot="1" x14ac:dyDescent="0.35">
      <c r="B333" s="41"/>
      <c r="C333" s="35"/>
      <c r="D333" s="121"/>
      <c r="E333" s="121"/>
      <c r="F333" s="121"/>
      <c r="G333" s="121"/>
      <c r="H333" s="121"/>
      <c r="I333" s="121"/>
      <c r="J333" s="121"/>
      <c r="K333" s="123"/>
    </row>
    <row r="334" spans="2:11" ht="15" thickBot="1" x14ac:dyDescent="0.35">
      <c r="B334" s="117">
        <v>149</v>
      </c>
      <c r="C334" s="118"/>
      <c r="D334" s="120">
        <f t="shared" ref="D334" si="588">$D$30</f>
        <v>13.596946499530036</v>
      </c>
      <c r="E334" s="120"/>
      <c r="F334" s="120">
        <f t="shared" ref="F334" si="589">($G$22/12)*J332</f>
        <v>3.4335696875424788</v>
      </c>
      <c r="G334" s="120"/>
      <c r="H334" s="120">
        <f t="shared" ref="H334" si="590">D334-F334</f>
        <v>10.163376811987558</v>
      </c>
      <c r="I334" s="120"/>
      <c r="J334" s="120">
        <f t="shared" ref="J334" si="591">J332-H334</f>
        <v>1781.2642862536536</v>
      </c>
      <c r="K334" s="122"/>
    </row>
    <row r="335" spans="2:11" ht="15" thickBot="1" x14ac:dyDescent="0.35">
      <c r="B335" s="41"/>
      <c r="C335" s="35"/>
      <c r="D335" s="121"/>
      <c r="E335" s="121"/>
      <c r="F335" s="121"/>
      <c r="G335" s="121"/>
      <c r="H335" s="121"/>
      <c r="I335" s="121"/>
      <c r="J335" s="121"/>
      <c r="K335" s="123"/>
    </row>
    <row r="336" spans="2:11" ht="15" thickBot="1" x14ac:dyDescent="0.35">
      <c r="B336" s="117">
        <v>150</v>
      </c>
      <c r="C336" s="118"/>
      <c r="D336" s="120">
        <f t="shared" ref="D336" si="592">$D$30</f>
        <v>13.596946499530036</v>
      </c>
      <c r="E336" s="120"/>
      <c r="F336" s="120">
        <f t="shared" ref="F336" si="593">($G$22/12)*J334</f>
        <v>3.4140898819861691</v>
      </c>
      <c r="G336" s="120"/>
      <c r="H336" s="120">
        <f t="shared" ref="H336" si="594">D336-F336</f>
        <v>10.182856617543866</v>
      </c>
      <c r="I336" s="120"/>
      <c r="J336" s="120">
        <f t="shared" ref="J336" si="595">J334-H336</f>
        <v>1771.0814296361098</v>
      </c>
      <c r="K336" s="122"/>
    </row>
    <row r="337" spans="2:11" ht="15" thickBot="1" x14ac:dyDescent="0.35">
      <c r="B337" s="41"/>
      <c r="C337" s="35"/>
      <c r="D337" s="121"/>
      <c r="E337" s="121"/>
      <c r="F337" s="121"/>
      <c r="G337" s="121"/>
      <c r="H337" s="121"/>
      <c r="I337" s="121"/>
      <c r="J337" s="121"/>
      <c r="K337" s="123"/>
    </row>
    <row r="338" spans="2:11" ht="15" thickBot="1" x14ac:dyDescent="0.35">
      <c r="B338" s="117">
        <v>151</v>
      </c>
      <c r="C338" s="118"/>
      <c r="D338" s="120">
        <f t="shared" ref="D338" si="596">$D$30</f>
        <v>13.596946499530036</v>
      </c>
      <c r="E338" s="120"/>
      <c r="F338" s="120">
        <f t="shared" ref="F338" si="597">($G$22/12)*J336</f>
        <v>3.3945727401358767</v>
      </c>
      <c r="G338" s="120"/>
      <c r="H338" s="120">
        <f t="shared" ref="H338" si="598">D338-F338</f>
        <v>10.20237375939416</v>
      </c>
      <c r="I338" s="120"/>
      <c r="J338" s="120">
        <f t="shared" ref="J338" si="599">J336-H338</f>
        <v>1760.8790558767157</v>
      </c>
      <c r="K338" s="122"/>
    </row>
    <row r="339" spans="2:11" ht="15" thickBot="1" x14ac:dyDescent="0.35">
      <c r="B339" s="41"/>
      <c r="C339" s="35"/>
      <c r="D339" s="121"/>
      <c r="E339" s="121"/>
      <c r="F339" s="121"/>
      <c r="G339" s="121"/>
      <c r="H339" s="121"/>
      <c r="I339" s="121"/>
      <c r="J339" s="121"/>
      <c r="K339" s="123"/>
    </row>
    <row r="340" spans="2:11" ht="15" thickBot="1" x14ac:dyDescent="0.35">
      <c r="B340" s="117">
        <v>152</v>
      </c>
      <c r="C340" s="118"/>
      <c r="D340" s="120">
        <f t="shared" ref="D340" si="600">$D$30</f>
        <v>13.596946499530036</v>
      </c>
      <c r="E340" s="120"/>
      <c r="F340" s="120">
        <f t="shared" ref="F340" si="601">($G$22/12)*J338</f>
        <v>3.3750181904303718</v>
      </c>
      <c r="G340" s="120"/>
      <c r="H340" s="120">
        <f t="shared" ref="H340" si="602">D340-F340</f>
        <v>10.221928309099663</v>
      </c>
      <c r="I340" s="120"/>
      <c r="J340" s="120">
        <f t="shared" ref="J340" si="603">J338-H340</f>
        <v>1750.657127567616</v>
      </c>
      <c r="K340" s="122"/>
    </row>
    <row r="341" spans="2:11" ht="15" thickBot="1" x14ac:dyDescent="0.35">
      <c r="B341" s="41"/>
      <c r="C341" s="35"/>
      <c r="D341" s="121"/>
      <c r="E341" s="121"/>
      <c r="F341" s="121"/>
      <c r="G341" s="121"/>
      <c r="H341" s="121"/>
      <c r="I341" s="121"/>
      <c r="J341" s="121"/>
      <c r="K341" s="123"/>
    </row>
    <row r="342" spans="2:11" ht="15" thickBot="1" x14ac:dyDescent="0.35">
      <c r="B342" s="117">
        <v>153</v>
      </c>
      <c r="C342" s="118"/>
      <c r="D342" s="120">
        <f t="shared" ref="D342" si="604">$D$30</f>
        <v>13.596946499530036</v>
      </c>
      <c r="E342" s="120"/>
      <c r="F342" s="120">
        <f t="shared" ref="F342" si="605">($G$22/12)*J340</f>
        <v>3.3554261611712639</v>
      </c>
      <c r="G342" s="120"/>
      <c r="H342" s="120">
        <f t="shared" ref="H342" si="606">D342-F342</f>
        <v>10.241520338358772</v>
      </c>
      <c r="I342" s="120"/>
      <c r="J342" s="120">
        <f t="shared" ref="J342" si="607">J340-H342</f>
        <v>1740.4156072292574</v>
      </c>
      <c r="K342" s="122"/>
    </row>
    <row r="343" spans="2:11" ht="15" thickBot="1" x14ac:dyDescent="0.35">
      <c r="B343" s="41"/>
      <c r="C343" s="35"/>
      <c r="D343" s="121"/>
      <c r="E343" s="121"/>
      <c r="F343" s="121"/>
      <c r="G343" s="121"/>
      <c r="H343" s="121"/>
      <c r="I343" s="121"/>
      <c r="J343" s="121"/>
      <c r="K343" s="123"/>
    </row>
    <row r="344" spans="2:11" ht="15" thickBot="1" x14ac:dyDescent="0.35">
      <c r="B344" s="117">
        <v>154</v>
      </c>
      <c r="C344" s="118"/>
      <c r="D344" s="120">
        <f t="shared" ref="D344" si="608">$D$30</f>
        <v>13.596946499530036</v>
      </c>
      <c r="E344" s="120"/>
      <c r="F344" s="120">
        <f t="shared" ref="F344" si="609">($G$22/12)*J342</f>
        <v>3.335796580522743</v>
      </c>
      <c r="G344" s="120"/>
      <c r="H344" s="120">
        <f t="shared" ref="H344" si="610">D344-F344</f>
        <v>10.261149919007293</v>
      </c>
      <c r="I344" s="120"/>
      <c r="J344" s="120">
        <f t="shared" ref="J344" si="611">J342-H344</f>
        <v>1730.1544573102501</v>
      </c>
      <c r="K344" s="122"/>
    </row>
    <row r="345" spans="2:11" ht="15" thickBot="1" x14ac:dyDescent="0.35">
      <c r="B345" s="41"/>
      <c r="C345" s="35"/>
      <c r="D345" s="121"/>
      <c r="E345" s="121"/>
      <c r="F345" s="121"/>
      <c r="G345" s="121"/>
      <c r="H345" s="121"/>
      <c r="I345" s="121"/>
      <c r="J345" s="121"/>
      <c r="K345" s="123"/>
    </row>
    <row r="346" spans="2:11" ht="15" thickBot="1" x14ac:dyDescent="0.35">
      <c r="B346" s="117">
        <v>155</v>
      </c>
      <c r="C346" s="118"/>
      <c r="D346" s="120">
        <f t="shared" ref="D346" si="612">$D$30</f>
        <v>13.596946499530036</v>
      </c>
      <c r="E346" s="120"/>
      <c r="F346" s="120">
        <f t="shared" ref="F346" si="613">($G$22/12)*J344</f>
        <v>3.3161293765113125</v>
      </c>
      <c r="G346" s="120"/>
      <c r="H346" s="120">
        <f t="shared" ref="H346" si="614">D346-F346</f>
        <v>10.280817123018723</v>
      </c>
      <c r="I346" s="120"/>
      <c r="J346" s="120">
        <f t="shared" ref="J346" si="615">J344-H346</f>
        <v>1719.8736401872313</v>
      </c>
      <c r="K346" s="122"/>
    </row>
    <row r="347" spans="2:11" ht="15" thickBot="1" x14ac:dyDescent="0.35">
      <c r="B347" s="41"/>
      <c r="C347" s="35"/>
      <c r="D347" s="121"/>
      <c r="E347" s="121"/>
      <c r="F347" s="121"/>
      <c r="G347" s="121"/>
      <c r="H347" s="121"/>
      <c r="I347" s="121"/>
      <c r="J347" s="121"/>
      <c r="K347" s="123"/>
    </row>
    <row r="348" spans="2:11" ht="15" thickBot="1" x14ac:dyDescent="0.35">
      <c r="B348" s="117">
        <v>156</v>
      </c>
      <c r="C348" s="118"/>
      <c r="D348" s="120">
        <f t="shared" ref="D348" si="616">$D$30</f>
        <v>13.596946499530036</v>
      </c>
      <c r="E348" s="120"/>
      <c r="F348" s="120">
        <f t="shared" ref="F348" si="617">($G$22/12)*J346</f>
        <v>3.2964244770255267</v>
      </c>
      <c r="G348" s="120"/>
      <c r="H348" s="120">
        <f t="shared" ref="H348" si="618">D348-F348</f>
        <v>10.300522022504509</v>
      </c>
      <c r="I348" s="120"/>
      <c r="J348" s="120">
        <f t="shared" ref="J348" si="619">J346-H348</f>
        <v>1709.5731181647268</v>
      </c>
      <c r="K348" s="122"/>
    </row>
    <row r="349" spans="2:11" ht="15" thickBot="1" x14ac:dyDescent="0.35">
      <c r="B349" s="41"/>
      <c r="C349" s="35"/>
      <c r="D349" s="121"/>
      <c r="E349" s="121"/>
      <c r="F349" s="121"/>
      <c r="G349" s="121"/>
      <c r="H349" s="121"/>
      <c r="I349" s="121"/>
      <c r="J349" s="121"/>
      <c r="K349" s="123"/>
    </row>
    <row r="350" spans="2:11" ht="15" thickBot="1" x14ac:dyDescent="0.35">
      <c r="B350" s="117">
        <v>157</v>
      </c>
      <c r="C350" s="118"/>
      <c r="D350" s="120">
        <f t="shared" ref="D350" si="620">$D$30</f>
        <v>13.596946499530036</v>
      </c>
      <c r="E350" s="120"/>
      <c r="F350" s="120">
        <f t="shared" ref="F350" si="621">($G$22/12)*J348</f>
        <v>3.276681809815726</v>
      </c>
      <c r="G350" s="120"/>
      <c r="H350" s="120">
        <f t="shared" ref="H350" si="622">D350-F350</f>
        <v>10.32026468971431</v>
      </c>
      <c r="I350" s="120"/>
      <c r="J350" s="120">
        <f t="shared" ref="J350" si="623">J348-H350</f>
        <v>1699.2528534750124</v>
      </c>
      <c r="K350" s="122"/>
    </row>
    <row r="351" spans="2:11" ht="15" thickBot="1" x14ac:dyDescent="0.35">
      <c r="B351" s="41"/>
      <c r="C351" s="35"/>
      <c r="D351" s="121"/>
      <c r="E351" s="121"/>
      <c r="F351" s="121"/>
      <c r="G351" s="121"/>
      <c r="H351" s="121"/>
      <c r="I351" s="121"/>
      <c r="J351" s="121"/>
      <c r="K351" s="123"/>
    </row>
    <row r="352" spans="2:11" ht="15" thickBot="1" x14ac:dyDescent="0.35">
      <c r="B352" s="117">
        <v>158</v>
      </c>
      <c r="C352" s="118"/>
      <c r="D352" s="120">
        <f t="shared" ref="D352" si="624">$D$30</f>
        <v>13.596946499530036</v>
      </c>
      <c r="E352" s="120"/>
      <c r="F352" s="120">
        <f t="shared" ref="F352" si="625">($G$22/12)*J350</f>
        <v>3.2569013024937736</v>
      </c>
      <c r="G352" s="120"/>
      <c r="H352" s="120">
        <f t="shared" ref="H352" si="626">D352-F352</f>
        <v>10.340045197036263</v>
      </c>
      <c r="I352" s="120"/>
      <c r="J352" s="120">
        <f t="shared" ref="J352" si="627">J350-H352</f>
        <v>1688.9128082779762</v>
      </c>
      <c r="K352" s="122"/>
    </row>
    <row r="353" spans="2:11" ht="15" thickBot="1" x14ac:dyDescent="0.35">
      <c r="B353" s="41"/>
      <c r="C353" s="35"/>
      <c r="D353" s="121"/>
      <c r="E353" s="121"/>
      <c r="F353" s="121"/>
      <c r="G353" s="121"/>
      <c r="H353" s="121"/>
      <c r="I353" s="121"/>
      <c r="J353" s="121"/>
      <c r="K353" s="123"/>
    </row>
    <row r="354" spans="2:11" ht="15" thickBot="1" x14ac:dyDescent="0.35">
      <c r="B354" s="117">
        <v>159</v>
      </c>
      <c r="C354" s="118"/>
      <c r="D354" s="120">
        <f t="shared" ref="D354" si="628">$D$30</f>
        <v>13.596946499530036</v>
      </c>
      <c r="E354" s="120"/>
      <c r="F354" s="120">
        <f t="shared" ref="F354" si="629">($G$22/12)*J352</f>
        <v>3.2370828825327873</v>
      </c>
      <c r="G354" s="120"/>
      <c r="H354" s="120">
        <f t="shared" ref="H354" si="630">D354-F354</f>
        <v>10.359863616997249</v>
      </c>
      <c r="I354" s="120"/>
      <c r="J354" s="120">
        <f t="shared" ref="J354" si="631">J352-H354</f>
        <v>1678.5529446609789</v>
      </c>
      <c r="K354" s="122"/>
    </row>
    <row r="355" spans="2:11" ht="15" thickBot="1" x14ac:dyDescent="0.35">
      <c r="B355" s="41"/>
      <c r="C355" s="35"/>
      <c r="D355" s="121"/>
      <c r="E355" s="121"/>
      <c r="F355" s="121"/>
      <c r="G355" s="121"/>
      <c r="H355" s="121"/>
      <c r="I355" s="121"/>
      <c r="J355" s="121"/>
      <c r="K355" s="123"/>
    </row>
    <row r="356" spans="2:11" ht="15" thickBot="1" x14ac:dyDescent="0.35">
      <c r="B356" s="117">
        <v>160</v>
      </c>
      <c r="C356" s="118"/>
      <c r="D356" s="120">
        <f t="shared" ref="D356" si="632">$D$30</f>
        <v>13.596946499530036</v>
      </c>
      <c r="E356" s="120"/>
      <c r="F356" s="120">
        <f t="shared" ref="F356" si="633">($G$22/12)*J354</f>
        <v>3.2172264772668759</v>
      </c>
      <c r="G356" s="120"/>
      <c r="H356" s="120">
        <f t="shared" ref="H356" si="634">D356-F356</f>
        <v>10.379720022263161</v>
      </c>
      <c r="I356" s="120"/>
      <c r="J356" s="120">
        <f t="shared" ref="J356" si="635">J354-H356</f>
        <v>1668.1732246387157</v>
      </c>
      <c r="K356" s="122"/>
    </row>
    <row r="357" spans="2:11" ht="15" thickBot="1" x14ac:dyDescent="0.35">
      <c r="B357" s="41"/>
      <c r="C357" s="35"/>
      <c r="D357" s="121"/>
      <c r="E357" s="121"/>
      <c r="F357" s="121"/>
      <c r="G357" s="121"/>
      <c r="H357" s="121"/>
      <c r="I357" s="121"/>
      <c r="J357" s="121"/>
      <c r="K357" s="123"/>
    </row>
    <row r="358" spans="2:11" ht="15" thickBot="1" x14ac:dyDescent="0.35">
      <c r="B358" s="117">
        <v>161</v>
      </c>
      <c r="C358" s="118"/>
      <c r="D358" s="120">
        <f t="shared" ref="D358" si="636">$D$30</f>
        <v>13.596946499530036</v>
      </c>
      <c r="E358" s="120"/>
      <c r="F358" s="120">
        <f t="shared" ref="F358" si="637">($G$22/12)*J356</f>
        <v>3.1973320138908718</v>
      </c>
      <c r="G358" s="120"/>
      <c r="H358" s="120">
        <f t="shared" ref="H358" si="638">D358-F358</f>
        <v>10.399614485639164</v>
      </c>
      <c r="I358" s="120"/>
      <c r="J358" s="120">
        <f t="shared" ref="J358" si="639">J356-H358</f>
        <v>1657.7736101530766</v>
      </c>
      <c r="K358" s="122"/>
    </row>
    <row r="359" spans="2:11" ht="15" thickBot="1" x14ac:dyDescent="0.35">
      <c r="B359" s="41"/>
      <c r="C359" s="35"/>
      <c r="D359" s="121"/>
      <c r="E359" s="121"/>
      <c r="F359" s="121"/>
      <c r="G359" s="121"/>
      <c r="H359" s="121"/>
      <c r="I359" s="121"/>
      <c r="J359" s="121"/>
      <c r="K359" s="123"/>
    </row>
    <row r="360" spans="2:11" ht="15" thickBot="1" x14ac:dyDescent="0.35">
      <c r="B360" s="117">
        <v>162</v>
      </c>
      <c r="C360" s="118"/>
      <c r="D360" s="120">
        <f t="shared" ref="D360" si="640">$D$30</f>
        <v>13.596946499530036</v>
      </c>
      <c r="E360" s="120"/>
      <c r="F360" s="120">
        <f t="shared" ref="F360" si="641">($G$22/12)*J358</f>
        <v>3.1773994194600634</v>
      </c>
      <c r="G360" s="120"/>
      <c r="H360" s="120">
        <f t="shared" ref="H360" si="642">D360-F360</f>
        <v>10.419547080069972</v>
      </c>
      <c r="I360" s="120"/>
      <c r="J360" s="120">
        <f t="shared" ref="J360" si="643">J358-H360</f>
        <v>1647.3540630730065</v>
      </c>
      <c r="K360" s="122"/>
    </row>
    <row r="361" spans="2:11" ht="15" thickBot="1" x14ac:dyDescent="0.35">
      <c r="B361" s="41"/>
      <c r="C361" s="35"/>
      <c r="D361" s="121"/>
      <c r="E361" s="121"/>
      <c r="F361" s="121"/>
      <c r="G361" s="121"/>
      <c r="H361" s="121"/>
      <c r="I361" s="121"/>
      <c r="J361" s="121"/>
      <c r="K361" s="123"/>
    </row>
    <row r="362" spans="2:11" ht="15" thickBot="1" x14ac:dyDescent="0.35">
      <c r="B362" s="117">
        <v>163</v>
      </c>
      <c r="C362" s="118"/>
      <c r="D362" s="120">
        <f t="shared" ref="D362" si="644">$D$30</f>
        <v>13.596946499530036</v>
      </c>
      <c r="E362" s="120"/>
      <c r="F362" s="120">
        <f t="shared" ref="F362" si="645">($G$22/12)*J360</f>
        <v>3.1574286208899291</v>
      </c>
      <c r="G362" s="120"/>
      <c r="H362" s="120">
        <f t="shared" ref="H362" si="646">D362-F362</f>
        <v>10.439517878640107</v>
      </c>
      <c r="I362" s="120"/>
      <c r="J362" s="120">
        <f t="shared" ref="J362" si="647">J360-H362</f>
        <v>1636.9145451943664</v>
      </c>
      <c r="K362" s="122"/>
    </row>
    <row r="363" spans="2:11" ht="15" thickBot="1" x14ac:dyDescent="0.35">
      <c r="B363" s="41"/>
      <c r="C363" s="35"/>
      <c r="D363" s="121"/>
      <c r="E363" s="121"/>
      <c r="F363" s="121"/>
      <c r="G363" s="121"/>
      <c r="H363" s="121"/>
      <c r="I363" s="121"/>
      <c r="J363" s="121"/>
      <c r="K363" s="123"/>
    </row>
    <row r="364" spans="2:11" ht="15" thickBot="1" x14ac:dyDescent="0.35">
      <c r="B364" s="117">
        <v>164</v>
      </c>
      <c r="C364" s="118"/>
      <c r="D364" s="120">
        <f t="shared" ref="D364" si="648">$D$30</f>
        <v>13.596946499530036</v>
      </c>
      <c r="E364" s="120"/>
      <c r="F364" s="120">
        <f t="shared" ref="F364" si="649">($G$22/12)*J362</f>
        <v>3.1374195449558688</v>
      </c>
      <c r="G364" s="120"/>
      <c r="H364" s="120">
        <f t="shared" ref="H364" si="650">D364-F364</f>
        <v>10.459526954574168</v>
      </c>
      <c r="I364" s="120"/>
      <c r="J364" s="120">
        <f t="shared" ref="J364" si="651">J362-H364</f>
        <v>1626.4550182397923</v>
      </c>
      <c r="K364" s="122"/>
    </row>
    <row r="365" spans="2:11" ht="15" thickBot="1" x14ac:dyDescent="0.35">
      <c r="B365" s="41"/>
      <c r="C365" s="35"/>
      <c r="D365" s="121"/>
      <c r="E365" s="121"/>
      <c r="F365" s="121"/>
      <c r="G365" s="121"/>
      <c r="H365" s="121"/>
      <c r="I365" s="121"/>
      <c r="J365" s="121"/>
      <c r="K365" s="123"/>
    </row>
    <row r="366" spans="2:11" ht="15" thickBot="1" x14ac:dyDescent="0.35">
      <c r="B366" s="117">
        <v>165</v>
      </c>
      <c r="C366" s="118"/>
      <c r="D366" s="120">
        <f t="shared" ref="D366" si="652">$D$30</f>
        <v>13.596946499530036</v>
      </c>
      <c r="E366" s="120"/>
      <c r="F366" s="120">
        <f t="shared" ref="F366" si="653">($G$22/12)*J364</f>
        <v>3.117372118292935</v>
      </c>
      <c r="G366" s="120"/>
      <c r="H366" s="120">
        <f t="shared" ref="H366" si="654">D366-F366</f>
        <v>10.4795743812371</v>
      </c>
      <c r="I366" s="120"/>
      <c r="J366" s="120">
        <f t="shared" ref="J366" si="655">J364-H366</f>
        <v>1615.9754438585551</v>
      </c>
      <c r="K366" s="122"/>
    </row>
    <row r="367" spans="2:11" ht="15" thickBot="1" x14ac:dyDescent="0.35">
      <c r="B367" s="41"/>
      <c r="C367" s="35"/>
      <c r="D367" s="121"/>
      <c r="E367" s="121"/>
      <c r="F367" s="121"/>
      <c r="G367" s="121"/>
      <c r="H367" s="121"/>
      <c r="I367" s="121"/>
      <c r="J367" s="121"/>
      <c r="K367" s="123"/>
    </row>
    <row r="368" spans="2:11" ht="15" thickBot="1" x14ac:dyDescent="0.35">
      <c r="B368" s="117">
        <v>166</v>
      </c>
      <c r="C368" s="118"/>
      <c r="D368" s="120">
        <f t="shared" ref="D368" si="656">$D$30</f>
        <v>13.596946499530036</v>
      </c>
      <c r="E368" s="120"/>
      <c r="F368" s="120">
        <f t="shared" ref="F368" si="657">($G$22/12)*J366</f>
        <v>3.0972862673955639</v>
      </c>
      <c r="G368" s="120"/>
      <c r="H368" s="120">
        <f t="shared" ref="H368" si="658">D368-F368</f>
        <v>10.499660232134472</v>
      </c>
      <c r="I368" s="120"/>
      <c r="J368" s="120">
        <f t="shared" ref="J368" si="659">J366-H368</f>
        <v>1605.4757836264207</v>
      </c>
      <c r="K368" s="122"/>
    </row>
    <row r="369" spans="2:11" ht="15" thickBot="1" x14ac:dyDescent="0.35">
      <c r="B369" s="41"/>
      <c r="C369" s="35"/>
      <c r="D369" s="121"/>
      <c r="E369" s="121"/>
      <c r="F369" s="121"/>
      <c r="G369" s="121"/>
      <c r="H369" s="121"/>
      <c r="I369" s="121"/>
      <c r="J369" s="121"/>
      <c r="K369" s="123"/>
    </row>
    <row r="370" spans="2:11" ht="15" thickBot="1" x14ac:dyDescent="0.35">
      <c r="B370" s="117">
        <v>167</v>
      </c>
      <c r="C370" s="118"/>
      <c r="D370" s="120">
        <f t="shared" ref="D370" si="660">$D$30</f>
        <v>13.596946499530036</v>
      </c>
      <c r="E370" s="120"/>
      <c r="F370" s="120">
        <f t="shared" ref="F370" si="661">($G$22/12)*J368</f>
        <v>3.077161918617306</v>
      </c>
      <c r="G370" s="120"/>
      <c r="H370" s="120">
        <f t="shared" ref="H370" si="662">D370-F370</f>
        <v>10.519784580912731</v>
      </c>
      <c r="I370" s="120"/>
      <c r="J370" s="120">
        <f t="shared" ref="J370" si="663">J368-H370</f>
        <v>1594.955999045508</v>
      </c>
      <c r="K370" s="122"/>
    </row>
    <row r="371" spans="2:11" ht="15" thickBot="1" x14ac:dyDescent="0.35">
      <c r="B371" s="41"/>
      <c r="C371" s="35"/>
      <c r="D371" s="121"/>
      <c r="E371" s="121"/>
      <c r="F371" s="121"/>
      <c r="G371" s="121"/>
      <c r="H371" s="121"/>
      <c r="I371" s="121"/>
      <c r="J371" s="121"/>
      <c r="K371" s="123"/>
    </row>
    <row r="372" spans="2:11" ht="15" thickBot="1" x14ac:dyDescent="0.35">
      <c r="B372" s="117">
        <v>168</v>
      </c>
      <c r="C372" s="118"/>
      <c r="D372" s="120">
        <f t="shared" ref="D372" si="664">$D$30</f>
        <v>13.596946499530036</v>
      </c>
      <c r="E372" s="120"/>
      <c r="F372" s="120">
        <f t="shared" ref="F372" si="665">($G$22/12)*J370</f>
        <v>3.0569989981705565</v>
      </c>
      <c r="G372" s="120"/>
      <c r="H372" s="120">
        <f t="shared" ref="H372" si="666">D372-F372</f>
        <v>10.53994750135948</v>
      </c>
      <c r="I372" s="120"/>
      <c r="J372" s="120">
        <f t="shared" ref="J372" si="667">J370-H372</f>
        <v>1584.4160515441486</v>
      </c>
      <c r="K372" s="122"/>
    </row>
    <row r="373" spans="2:11" ht="15" thickBot="1" x14ac:dyDescent="0.35">
      <c r="B373" s="41"/>
      <c r="C373" s="35"/>
      <c r="D373" s="121"/>
      <c r="E373" s="121"/>
      <c r="F373" s="121"/>
      <c r="G373" s="121"/>
      <c r="H373" s="121"/>
      <c r="I373" s="121"/>
      <c r="J373" s="121"/>
      <c r="K373" s="123"/>
    </row>
    <row r="374" spans="2:11" ht="15" thickBot="1" x14ac:dyDescent="0.35">
      <c r="B374" s="117">
        <v>169</v>
      </c>
      <c r="C374" s="118"/>
      <c r="D374" s="120">
        <f t="shared" ref="D374" si="668">$D$30</f>
        <v>13.596946499530036</v>
      </c>
      <c r="E374" s="120"/>
      <c r="F374" s="120">
        <f t="shared" ref="F374" si="669">($G$22/12)*J372</f>
        <v>3.0367974321262845</v>
      </c>
      <c r="G374" s="120"/>
      <c r="H374" s="120">
        <f t="shared" ref="H374" si="670">D374-F374</f>
        <v>10.560149067403751</v>
      </c>
      <c r="I374" s="120"/>
      <c r="J374" s="120">
        <f t="shared" ref="J374" si="671">J372-H374</f>
        <v>1573.8559024767449</v>
      </c>
      <c r="K374" s="122"/>
    </row>
    <row r="375" spans="2:11" ht="15" thickBot="1" x14ac:dyDescent="0.35">
      <c r="B375" s="41"/>
      <c r="C375" s="35"/>
      <c r="D375" s="121"/>
      <c r="E375" s="121"/>
      <c r="F375" s="121"/>
      <c r="G375" s="121"/>
      <c r="H375" s="121"/>
      <c r="I375" s="121"/>
      <c r="J375" s="121"/>
      <c r="K375" s="123"/>
    </row>
    <row r="376" spans="2:11" ht="15" thickBot="1" x14ac:dyDescent="0.35">
      <c r="B376" s="117">
        <v>170</v>
      </c>
      <c r="C376" s="118"/>
      <c r="D376" s="120">
        <f t="shared" ref="D376" si="672">$D$30</f>
        <v>13.596946499530036</v>
      </c>
      <c r="E376" s="120"/>
      <c r="F376" s="120">
        <f t="shared" ref="F376" si="673">($G$22/12)*J374</f>
        <v>3.0165571464137608</v>
      </c>
      <c r="G376" s="120"/>
      <c r="H376" s="120">
        <f t="shared" ref="H376" si="674">D376-F376</f>
        <v>10.580389353116274</v>
      </c>
      <c r="I376" s="120"/>
      <c r="J376" s="120">
        <f t="shared" ref="J376" si="675">J374-H376</f>
        <v>1563.2755131236286</v>
      </c>
      <c r="K376" s="122"/>
    </row>
    <row r="377" spans="2:11" ht="15" thickBot="1" x14ac:dyDescent="0.35">
      <c r="B377" s="41"/>
      <c r="C377" s="35"/>
      <c r="D377" s="121"/>
      <c r="E377" s="121"/>
      <c r="F377" s="121"/>
      <c r="G377" s="121"/>
      <c r="H377" s="121"/>
      <c r="I377" s="121"/>
      <c r="J377" s="121"/>
      <c r="K377" s="123"/>
    </row>
    <row r="378" spans="2:11" ht="15" thickBot="1" x14ac:dyDescent="0.35">
      <c r="B378" s="117">
        <v>171</v>
      </c>
      <c r="C378" s="118"/>
      <c r="D378" s="120">
        <f t="shared" ref="D378" si="676">$D$30</f>
        <v>13.596946499530036</v>
      </c>
      <c r="E378" s="120"/>
      <c r="F378" s="120">
        <f t="shared" ref="F378" si="677">($G$22/12)*J376</f>
        <v>2.9962780668202877</v>
      </c>
      <c r="G378" s="120"/>
      <c r="H378" s="120">
        <f t="shared" ref="H378" si="678">D378-F378</f>
        <v>10.600668432709748</v>
      </c>
      <c r="I378" s="120"/>
      <c r="J378" s="120">
        <f t="shared" ref="J378" si="679">J376-H378</f>
        <v>1552.6748446909189</v>
      </c>
      <c r="K378" s="122"/>
    </row>
    <row r="379" spans="2:11" ht="15" thickBot="1" x14ac:dyDescent="0.35">
      <c r="B379" s="41"/>
      <c r="C379" s="35"/>
      <c r="D379" s="121"/>
      <c r="E379" s="121"/>
      <c r="F379" s="121"/>
      <c r="G379" s="121"/>
      <c r="H379" s="121"/>
      <c r="I379" s="121"/>
      <c r="J379" s="121"/>
      <c r="K379" s="123"/>
    </row>
    <row r="380" spans="2:11" ht="15" thickBot="1" x14ac:dyDescent="0.35">
      <c r="B380" s="117">
        <v>172</v>
      </c>
      <c r="C380" s="118"/>
      <c r="D380" s="120">
        <f t="shared" ref="D380" si="680">$D$30</f>
        <v>13.596946499530036</v>
      </c>
      <c r="E380" s="120"/>
      <c r="F380" s="120">
        <f t="shared" ref="F380" si="681">($G$22/12)*J378</f>
        <v>2.9759601189909279</v>
      </c>
      <c r="G380" s="120"/>
      <c r="H380" s="120">
        <f t="shared" ref="H380" si="682">D380-F380</f>
        <v>10.620986380539108</v>
      </c>
      <c r="I380" s="120"/>
      <c r="J380" s="120">
        <f t="shared" ref="J380" si="683">J378-H380</f>
        <v>1542.0538583103798</v>
      </c>
      <c r="K380" s="122"/>
    </row>
    <row r="381" spans="2:11" ht="15" thickBot="1" x14ac:dyDescent="0.35">
      <c r="B381" s="41"/>
      <c r="C381" s="35"/>
      <c r="D381" s="121"/>
      <c r="E381" s="121"/>
      <c r="F381" s="121"/>
      <c r="G381" s="121"/>
      <c r="H381" s="121"/>
      <c r="I381" s="121"/>
      <c r="J381" s="121"/>
      <c r="K381" s="123"/>
    </row>
    <row r="382" spans="2:11" ht="15" thickBot="1" x14ac:dyDescent="0.35">
      <c r="B382" s="117">
        <v>173</v>
      </c>
      <c r="C382" s="118"/>
      <c r="D382" s="120">
        <f t="shared" ref="D382" si="684">$D$30</f>
        <v>13.596946499530036</v>
      </c>
      <c r="E382" s="120"/>
      <c r="F382" s="120">
        <f t="shared" ref="F382" si="685">($G$22/12)*J380</f>
        <v>2.9556032284282279</v>
      </c>
      <c r="G382" s="120"/>
      <c r="H382" s="120">
        <f t="shared" ref="H382" si="686">D382-F382</f>
        <v>10.641343271101809</v>
      </c>
      <c r="I382" s="120"/>
      <c r="J382" s="120">
        <f t="shared" ref="J382" si="687">J380-H382</f>
        <v>1531.4125150392781</v>
      </c>
      <c r="K382" s="122"/>
    </row>
    <row r="383" spans="2:11" ht="15" thickBot="1" x14ac:dyDescent="0.35">
      <c r="B383" s="41"/>
      <c r="C383" s="35"/>
      <c r="D383" s="121"/>
      <c r="E383" s="121"/>
      <c r="F383" s="121"/>
      <c r="G383" s="121"/>
      <c r="H383" s="121"/>
      <c r="I383" s="121"/>
      <c r="J383" s="121"/>
      <c r="K383" s="123"/>
    </row>
    <row r="384" spans="2:11" ht="15" thickBot="1" x14ac:dyDescent="0.35">
      <c r="B384" s="117">
        <v>174</v>
      </c>
      <c r="C384" s="118"/>
      <c r="D384" s="120">
        <f t="shared" ref="D384" si="688">$D$30</f>
        <v>13.596946499530036</v>
      </c>
      <c r="E384" s="120"/>
      <c r="F384" s="120">
        <f t="shared" ref="F384" si="689">($G$22/12)*J382</f>
        <v>2.9352073204919495</v>
      </c>
      <c r="G384" s="120"/>
      <c r="H384" s="120">
        <f t="shared" ref="H384" si="690">D384-F384</f>
        <v>10.661739179038086</v>
      </c>
      <c r="I384" s="120"/>
      <c r="J384" s="120">
        <f t="shared" ref="J384" si="691">J382-H384</f>
        <v>1520.7507758602401</v>
      </c>
      <c r="K384" s="122"/>
    </row>
    <row r="385" spans="2:11" ht="15" thickBot="1" x14ac:dyDescent="0.35">
      <c r="B385" s="41"/>
      <c r="C385" s="35"/>
      <c r="D385" s="121"/>
      <c r="E385" s="121"/>
      <c r="F385" s="121"/>
      <c r="G385" s="121"/>
      <c r="H385" s="121"/>
      <c r="I385" s="121"/>
      <c r="J385" s="121"/>
      <c r="K385" s="123"/>
    </row>
    <row r="386" spans="2:11" ht="15" thickBot="1" x14ac:dyDescent="0.35">
      <c r="B386" s="117">
        <v>175</v>
      </c>
      <c r="C386" s="118"/>
      <c r="D386" s="120">
        <f t="shared" ref="D386" si="692">$D$30</f>
        <v>13.596946499530036</v>
      </c>
      <c r="E386" s="120"/>
      <c r="F386" s="120">
        <f t="shared" ref="F386" si="693">($G$22/12)*J384</f>
        <v>2.9147723203987934</v>
      </c>
      <c r="G386" s="120"/>
      <c r="H386" s="120">
        <f t="shared" ref="H386" si="694">D386-F386</f>
        <v>10.682174179131243</v>
      </c>
      <c r="I386" s="120"/>
      <c r="J386" s="120">
        <f t="shared" ref="J386" si="695">J384-H386</f>
        <v>1510.0686016811089</v>
      </c>
      <c r="K386" s="122"/>
    </row>
    <row r="387" spans="2:11" ht="15" thickBot="1" x14ac:dyDescent="0.35">
      <c r="B387" s="41"/>
      <c r="C387" s="35"/>
      <c r="D387" s="121"/>
      <c r="E387" s="121"/>
      <c r="F387" s="121"/>
      <c r="G387" s="121"/>
      <c r="H387" s="121"/>
      <c r="I387" s="121"/>
      <c r="J387" s="121"/>
      <c r="K387" s="123"/>
    </row>
    <row r="388" spans="2:11" ht="15" thickBot="1" x14ac:dyDescent="0.35">
      <c r="B388" s="117">
        <v>176</v>
      </c>
      <c r="C388" s="118"/>
      <c r="D388" s="120">
        <f t="shared" ref="D388" si="696">$D$30</f>
        <v>13.596946499530036</v>
      </c>
      <c r="E388" s="120"/>
      <c r="F388" s="120">
        <f t="shared" ref="F388" si="697">($G$22/12)*J386</f>
        <v>2.8942981532221252</v>
      </c>
      <c r="G388" s="120"/>
      <c r="H388" s="120">
        <f t="shared" ref="H388" si="698">D388-F388</f>
        <v>10.70264834630791</v>
      </c>
      <c r="I388" s="120"/>
      <c r="J388" s="120">
        <f t="shared" ref="J388" si="699">J386-H388</f>
        <v>1499.3659533348009</v>
      </c>
      <c r="K388" s="122"/>
    </row>
    <row r="389" spans="2:11" ht="15" thickBot="1" x14ac:dyDescent="0.35">
      <c r="B389" s="41"/>
      <c r="C389" s="35"/>
      <c r="D389" s="121"/>
      <c r="E389" s="121"/>
      <c r="F389" s="121"/>
      <c r="G389" s="121"/>
      <c r="H389" s="121"/>
      <c r="I389" s="121"/>
      <c r="J389" s="121"/>
      <c r="K389" s="123"/>
    </row>
    <row r="390" spans="2:11" ht="15" thickBot="1" x14ac:dyDescent="0.35">
      <c r="B390" s="117">
        <v>177</v>
      </c>
      <c r="C390" s="118"/>
      <c r="D390" s="120">
        <f t="shared" ref="D390" si="700">$D$30</f>
        <v>13.596946499530036</v>
      </c>
      <c r="E390" s="120"/>
      <c r="F390" s="120">
        <f t="shared" ref="F390" si="701">($G$22/12)*J388</f>
        <v>2.8737847438917017</v>
      </c>
      <c r="G390" s="120"/>
      <c r="H390" s="120">
        <f t="shared" ref="H390" si="702">D390-F390</f>
        <v>10.723161755638333</v>
      </c>
      <c r="I390" s="120"/>
      <c r="J390" s="120">
        <f t="shared" ref="J390" si="703">J388-H390</f>
        <v>1488.6427915791626</v>
      </c>
      <c r="K390" s="122"/>
    </row>
    <row r="391" spans="2:11" ht="15" thickBot="1" x14ac:dyDescent="0.35">
      <c r="B391" s="41"/>
      <c r="C391" s="35"/>
      <c r="D391" s="121"/>
      <c r="E391" s="121"/>
      <c r="F391" s="121"/>
      <c r="G391" s="121"/>
      <c r="H391" s="121"/>
      <c r="I391" s="121"/>
      <c r="J391" s="121"/>
      <c r="K391" s="123"/>
    </row>
    <row r="392" spans="2:11" ht="15" thickBot="1" x14ac:dyDescent="0.35">
      <c r="B392" s="117">
        <v>178</v>
      </c>
      <c r="C392" s="118"/>
      <c r="D392" s="120">
        <f t="shared" ref="D392" si="704">$D$30</f>
        <v>13.596946499530036</v>
      </c>
      <c r="E392" s="120"/>
      <c r="F392" s="120">
        <f t="shared" ref="F392" si="705">($G$22/12)*J390</f>
        <v>2.8532320171933949</v>
      </c>
      <c r="G392" s="120"/>
      <c r="H392" s="120">
        <f t="shared" ref="H392" si="706">D392-F392</f>
        <v>10.743714482336641</v>
      </c>
      <c r="I392" s="120"/>
      <c r="J392" s="120">
        <f t="shared" ref="J392" si="707">J390-H392</f>
        <v>1477.899077096826</v>
      </c>
      <c r="K392" s="122"/>
    </row>
    <row r="393" spans="2:11" ht="15" thickBot="1" x14ac:dyDescent="0.35">
      <c r="B393" s="41"/>
      <c r="C393" s="35"/>
      <c r="D393" s="121"/>
      <c r="E393" s="121"/>
      <c r="F393" s="121"/>
      <c r="G393" s="121"/>
      <c r="H393" s="121"/>
      <c r="I393" s="121"/>
      <c r="J393" s="121"/>
      <c r="K393" s="123"/>
    </row>
    <row r="394" spans="2:11" ht="15" thickBot="1" x14ac:dyDescent="0.35">
      <c r="B394" s="117">
        <v>179</v>
      </c>
      <c r="C394" s="118"/>
      <c r="D394" s="120">
        <f t="shared" ref="D394" si="708">$D$30</f>
        <v>13.596946499530036</v>
      </c>
      <c r="E394" s="120"/>
      <c r="F394" s="120">
        <f t="shared" ref="F394" si="709">($G$22/12)*J392</f>
        <v>2.8326398977689164</v>
      </c>
      <c r="G394" s="120"/>
      <c r="H394" s="120">
        <f t="shared" ref="H394" si="710">D394-F394</f>
        <v>10.76430660176112</v>
      </c>
      <c r="I394" s="120"/>
      <c r="J394" s="120">
        <f t="shared" ref="J394" si="711">J392-H394</f>
        <v>1467.1347704950649</v>
      </c>
      <c r="K394" s="122"/>
    </row>
    <row r="395" spans="2:11" ht="15" thickBot="1" x14ac:dyDescent="0.35">
      <c r="B395" s="41"/>
      <c r="C395" s="35"/>
      <c r="D395" s="121"/>
      <c r="E395" s="121"/>
      <c r="F395" s="121"/>
      <c r="G395" s="121"/>
      <c r="H395" s="121"/>
      <c r="I395" s="121"/>
      <c r="J395" s="121"/>
      <c r="K395" s="123"/>
    </row>
    <row r="396" spans="2:11" ht="15" thickBot="1" x14ac:dyDescent="0.35">
      <c r="B396" s="117">
        <v>180</v>
      </c>
      <c r="C396" s="118"/>
      <c r="D396" s="120">
        <f t="shared" ref="D396" si="712">$D$30</f>
        <v>13.596946499530036</v>
      </c>
      <c r="E396" s="120"/>
      <c r="F396" s="120">
        <f t="shared" ref="F396" si="713">($G$22/12)*J394</f>
        <v>2.8120083101155409</v>
      </c>
      <c r="G396" s="120"/>
      <c r="H396" s="120">
        <f t="shared" ref="H396" si="714">D396-F396</f>
        <v>10.784938189414495</v>
      </c>
      <c r="I396" s="120"/>
      <c r="J396" s="120">
        <f t="shared" ref="J396" si="715">J394-H396</f>
        <v>1456.3498323056504</v>
      </c>
      <c r="K396" s="122"/>
    </row>
    <row r="397" spans="2:11" ht="15" thickBot="1" x14ac:dyDescent="0.35">
      <c r="B397" s="41"/>
      <c r="C397" s="35"/>
      <c r="D397" s="121"/>
      <c r="E397" s="121"/>
      <c r="F397" s="121"/>
      <c r="G397" s="121"/>
      <c r="H397" s="121"/>
      <c r="I397" s="121"/>
      <c r="J397" s="121"/>
      <c r="K397" s="123"/>
    </row>
    <row r="398" spans="2:11" ht="15" thickBot="1" x14ac:dyDescent="0.35">
      <c r="B398" s="117">
        <v>181</v>
      </c>
      <c r="C398" s="118"/>
      <c r="D398" s="120">
        <f t="shared" ref="D398" si="716">$D$30</f>
        <v>13.596946499530036</v>
      </c>
      <c r="E398" s="120"/>
      <c r="F398" s="120">
        <f t="shared" ref="F398" si="717">($G$22/12)*J396</f>
        <v>2.7913371785858296</v>
      </c>
      <c r="G398" s="120"/>
      <c r="H398" s="120">
        <f t="shared" ref="H398" si="718">D398-F398</f>
        <v>10.805609320944207</v>
      </c>
      <c r="I398" s="120"/>
      <c r="J398" s="120">
        <f t="shared" ref="J398" si="719">J396-H398</f>
        <v>1445.544222984706</v>
      </c>
      <c r="K398" s="122"/>
    </row>
    <row r="399" spans="2:11" ht="15" thickBot="1" x14ac:dyDescent="0.35">
      <c r="B399" s="41"/>
      <c r="C399" s="35"/>
      <c r="D399" s="121"/>
      <c r="E399" s="121"/>
      <c r="F399" s="121"/>
      <c r="G399" s="121"/>
      <c r="H399" s="121"/>
      <c r="I399" s="121"/>
      <c r="J399" s="121"/>
      <c r="K399" s="123"/>
    </row>
    <row r="400" spans="2:11" ht="15" thickBot="1" x14ac:dyDescent="0.35">
      <c r="B400" s="117">
        <v>182</v>
      </c>
      <c r="C400" s="118"/>
      <c r="D400" s="120">
        <f t="shared" ref="D400" si="720">$D$30</f>
        <v>13.596946499530036</v>
      </c>
      <c r="E400" s="120"/>
      <c r="F400" s="120">
        <f t="shared" ref="F400" si="721">($G$22/12)*J398</f>
        <v>2.7706264273873531</v>
      </c>
      <c r="G400" s="120"/>
      <c r="H400" s="120">
        <f t="shared" ref="H400" si="722">D400-F400</f>
        <v>10.826320072142682</v>
      </c>
      <c r="I400" s="120"/>
      <c r="J400" s="120">
        <f t="shared" ref="J400" si="723">J398-H400</f>
        <v>1434.7179029125634</v>
      </c>
      <c r="K400" s="122"/>
    </row>
    <row r="401" spans="2:11" ht="15" thickBot="1" x14ac:dyDescent="0.35">
      <c r="B401" s="41"/>
      <c r="C401" s="35"/>
      <c r="D401" s="121"/>
      <c r="E401" s="121"/>
      <c r="F401" s="121"/>
      <c r="G401" s="121"/>
      <c r="H401" s="121"/>
      <c r="I401" s="121"/>
      <c r="J401" s="121"/>
      <c r="K401" s="123"/>
    </row>
    <row r="402" spans="2:11" ht="15" thickBot="1" x14ac:dyDescent="0.35">
      <c r="B402" s="117">
        <v>183</v>
      </c>
      <c r="C402" s="118"/>
      <c r="D402" s="120">
        <f t="shared" ref="D402" si="724">$D$30</f>
        <v>13.596946499530036</v>
      </c>
      <c r="E402" s="120"/>
      <c r="F402" s="120">
        <f t="shared" ref="F402" si="725">($G$22/12)*J400</f>
        <v>2.7498759805824129</v>
      </c>
      <c r="G402" s="120"/>
      <c r="H402" s="120">
        <f t="shared" ref="H402" si="726">D402-F402</f>
        <v>10.847070518947623</v>
      </c>
      <c r="I402" s="120"/>
      <c r="J402" s="120">
        <f t="shared" ref="J402" si="727">J400-H402</f>
        <v>1423.8708323936157</v>
      </c>
      <c r="K402" s="122"/>
    </row>
    <row r="403" spans="2:11" ht="15" thickBot="1" x14ac:dyDescent="0.35">
      <c r="B403" s="41"/>
      <c r="C403" s="35"/>
      <c r="D403" s="121"/>
      <c r="E403" s="121"/>
      <c r="F403" s="121"/>
      <c r="G403" s="121"/>
      <c r="H403" s="121"/>
      <c r="I403" s="121"/>
      <c r="J403" s="121"/>
      <c r="K403" s="123"/>
    </row>
    <row r="404" spans="2:11" ht="15" thickBot="1" x14ac:dyDescent="0.35">
      <c r="B404" s="117">
        <v>184</v>
      </c>
      <c r="C404" s="118"/>
      <c r="D404" s="120">
        <f t="shared" ref="D404" si="728">$D$30</f>
        <v>13.596946499530036</v>
      </c>
      <c r="E404" s="120"/>
      <c r="F404" s="120">
        <f t="shared" ref="F404" si="729">($G$22/12)*J402</f>
        <v>2.7290857620877635</v>
      </c>
      <c r="G404" s="120"/>
      <c r="H404" s="120">
        <f t="shared" ref="H404" si="730">D404-F404</f>
        <v>10.867860737442273</v>
      </c>
      <c r="I404" s="120"/>
      <c r="J404" s="120">
        <f t="shared" ref="J404" si="731">J402-H404</f>
        <v>1413.0029716561735</v>
      </c>
      <c r="K404" s="122"/>
    </row>
    <row r="405" spans="2:11" ht="15" thickBot="1" x14ac:dyDescent="0.35">
      <c r="B405" s="41"/>
      <c r="C405" s="35"/>
      <c r="D405" s="121"/>
      <c r="E405" s="121"/>
      <c r="F405" s="121"/>
      <c r="G405" s="121"/>
      <c r="H405" s="121"/>
      <c r="I405" s="121"/>
      <c r="J405" s="121"/>
      <c r="K405" s="123"/>
    </row>
    <row r="406" spans="2:11" ht="15" thickBot="1" x14ac:dyDescent="0.35">
      <c r="B406" s="117">
        <v>185</v>
      </c>
      <c r="C406" s="118"/>
      <c r="D406" s="120">
        <f t="shared" ref="D406" si="732">$D$30</f>
        <v>13.596946499530036</v>
      </c>
      <c r="E406" s="120"/>
      <c r="F406" s="120">
        <f t="shared" ref="F406" si="733">($G$22/12)*J404</f>
        <v>2.7082556956743322</v>
      </c>
      <c r="G406" s="120"/>
      <c r="H406" s="120">
        <f t="shared" ref="H406" si="734">D406-F406</f>
        <v>10.888690803855704</v>
      </c>
      <c r="I406" s="120"/>
      <c r="J406" s="120">
        <f t="shared" ref="J406" si="735">J404-H406</f>
        <v>1402.1142808523177</v>
      </c>
      <c r="K406" s="122"/>
    </row>
    <row r="407" spans="2:11" ht="15" thickBot="1" x14ac:dyDescent="0.35">
      <c r="B407" s="41"/>
      <c r="C407" s="35"/>
      <c r="D407" s="121"/>
      <c r="E407" s="121"/>
      <c r="F407" s="121"/>
      <c r="G407" s="121"/>
      <c r="H407" s="121"/>
      <c r="I407" s="121"/>
      <c r="J407" s="121"/>
      <c r="K407" s="123"/>
    </row>
    <row r="408" spans="2:11" ht="15" thickBot="1" x14ac:dyDescent="0.35">
      <c r="B408" s="117">
        <v>186</v>
      </c>
      <c r="C408" s="118"/>
      <c r="D408" s="120">
        <f t="shared" ref="D408" si="736">$D$30</f>
        <v>13.596946499530036</v>
      </c>
      <c r="E408" s="120"/>
      <c r="F408" s="120">
        <f t="shared" ref="F408" si="737">($G$22/12)*J406</f>
        <v>2.6873857049669421</v>
      </c>
      <c r="G408" s="120"/>
      <c r="H408" s="120">
        <f t="shared" ref="H408" si="738">D408-F408</f>
        <v>10.909560794563093</v>
      </c>
      <c r="I408" s="120"/>
      <c r="J408" s="120">
        <f t="shared" ref="J408" si="739">J406-H408</f>
        <v>1391.2047200577547</v>
      </c>
      <c r="K408" s="122"/>
    </row>
    <row r="409" spans="2:11" ht="15" thickBot="1" x14ac:dyDescent="0.35">
      <c r="B409" s="41"/>
      <c r="C409" s="35"/>
      <c r="D409" s="121"/>
      <c r="E409" s="121"/>
      <c r="F409" s="121"/>
      <c r="G409" s="121"/>
      <c r="H409" s="121"/>
      <c r="I409" s="121"/>
      <c r="J409" s="121"/>
      <c r="K409" s="123"/>
    </row>
    <row r="410" spans="2:11" ht="15" thickBot="1" x14ac:dyDescent="0.35">
      <c r="B410" s="117">
        <v>187</v>
      </c>
      <c r="C410" s="118"/>
      <c r="D410" s="120">
        <f t="shared" ref="D410" si="740">$D$30</f>
        <v>13.596946499530036</v>
      </c>
      <c r="E410" s="120"/>
      <c r="F410" s="120">
        <f t="shared" ref="F410" si="741">($G$22/12)*J408</f>
        <v>2.6664757134440298</v>
      </c>
      <c r="G410" s="120"/>
      <c r="H410" s="120">
        <f t="shared" ref="H410" si="742">D410-F410</f>
        <v>10.930470786086007</v>
      </c>
      <c r="I410" s="120"/>
      <c r="J410" s="120">
        <f t="shared" ref="J410" si="743">J408-H410</f>
        <v>1380.2742492716686</v>
      </c>
      <c r="K410" s="122"/>
    </row>
    <row r="411" spans="2:11" ht="15" thickBot="1" x14ac:dyDescent="0.35">
      <c r="B411" s="41"/>
      <c r="C411" s="35"/>
      <c r="D411" s="121"/>
      <c r="E411" s="121"/>
      <c r="F411" s="121"/>
      <c r="G411" s="121"/>
      <c r="H411" s="121"/>
      <c r="I411" s="121"/>
      <c r="J411" s="121"/>
      <c r="K411" s="123"/>
    </row>
    <row r="412" spans="2:11" ht="15" thickBot="1" x14ac:dyDescent="0.35">
      <c r="B412" s="117">
        <v>188</v>
      </c>
      <c r="C412" s="118"/>
      <c r="D412" s="120">
        <f t="shared" ref="D412" si="744">$D$30</f>
        <v>13.596946499530036</v>
      </c>
      <c r="E412" s="120"/>
      <c r="F412" s="120">
        <f t="shared" ref="F412" si="745">($G$22/12)*J410</f>
        <v>2.6455256444373649</v>
      </c>
      <c r="G412" s="120"/>
      <c r="H412" s="120">
        <f t="shared" ref="H412" si="746">D412-F412</f>
        <v>10.951420855092671</v>
      </c>
      <c r="I412" s="120"/>
      <c r="J412" s="120">
        <f t="shared" ref="J412" si="747">J410-H412</f>
        <v>1369.3228284165759</v>
      </c>
      <c r="K412" s="122"/>
    </row>
    <row r="413" spans="2:11" ht="15" thickBot="1" x14ac:dyDescent="0.35">
      <c r="B413" s="41"/>
      <c r="C413" s="35"/>
      <c r="D413" s="121"/>
      <c r="E413" s="121"/>
      <c r="F413" s="121"/>
      <c r="G413" s="121"/>
      <c r="H413" s="121"/>
      <c r="I413" s="121"/>
      <c r="J413" s="121"/>
      <c r="K413" s="123"/>
    </row>
    <row r="414" spans="2:11" ht="15" thickBot="1" x14ac:dyDescent="0.35">
      <c r="B414" s="117">
        <v>189</v>
      </c>
      <c r="C414" s="118"/>
      <c r="D414" s="120">
        <f t="shared" ref="D414" si="748">$D$30</f>
        <v>13.596946499530036</v>
      </c>
      <c r="E414" s="120"/>
      <c r="F414" s="120">
        <f t="shared" ref="F414" si="749">($G$22/12)*J412</f>
        <v>2.6245354211317702</v>
      </c>
      <c r="G414" s="120"/>
      <c r="H414" s="120">
        <f t="shared" ref="H414" si="750">D414-F414</f>
        <v>10.972411078398267</v>
      </c>
      <c r="I414" s="120"/>
      <c r="J414" s="120">
        <f t="shared" ref="J414" si="751">J412-H414</f>
        <v>1358.3504173381777</v>
      </c>
      <c r="K414" s="122"/>
    </row>
    <row r="415" spans="2:11" ht="15" thickBot="1" x14ac:dyDescent="0.35">
      <c r="B415" s="41"/>
      <c r="C415" s="35"/>
      <c r="D415" s="121"/>
      <c r="E415" s="121"/>
      <c r="F415" s="121"/>
      <c r="G415" s="121"/>
      <c r="H415" s="121"/>
      <c r="I415" s="121"/>
      <c r="J415" s="121"/>
      <c r="K415" s="123"/>
    </row>
    <row r="416" spans="2:11" ht="15" thickBot="1" x14ac:dyDescent="0.35">
      <c r="B416" s="117">
        <v>190</v>
      </c>
      <c r="C416" s="118"/>
      <c r="D416" s="120">
        <f t="shared" ref="D416" si="752">$D$30</f>
        <v>13.596946499530036</v>
      </c>
      <c r="E416" s="120"/>
      <c r="F416" s="120">
        <f t="shared" ref="F416" si="753">($G$22/12)*J414</f>
        <v>2.6035049665648407</v>
      </c>
      <c r="G416" s="120"/>
      <c r="H416" s="120">
        <f t="shared" ref="H416" si="754">D416-F416</f>
        <v>10.993441532965196</v>
      </c>
      <c r="I416" s="120"/>
      <c r="J416" s="120">
        <f t="shared" ref="J416" si="755">J414-H416</f>
        <v>1347.3569758052126</v>
      </c>
      <c r="K416" s="122"/>
    </row>
    <row r="417" spans="2:11" ht="15" thickBot="1" x14ac:dyDescent="0.35">
      <c r="B417" s="41"/>
      <c r="C417" s="35"/>
      <c r="D417" s="121"/>
      <c r="E417" s="121"/>
      <c r="F417" s="121"/>
      <c r="G417" s="121"/>
      <c r="H417" s="121"/>
      <c r="I417" s="121"/>
      <c r="J417" s="121"/>
      <c r="K417" s="123"/>
    </row>
    <row r="418" spans="2:11" ht="15" thickBot="1" x14ac:dyDescent="0.35">
      <c r="B418" s="117">
        <v>191</v>
      </c>
      <c r="C418" s="118"/>
      <c r="D418" s="120">
        <f t="shared" ref="D418" si="756">$D$30</f>
        <v>13.596946499530036</v>
      </c>
      <c r="E418" s="120"/>
      <c r="F418" s="120">
        <f t="shared" ref="F418" si="757">($G$22/12)*J416</f>
        <v>2.5824342036266574</v>
      </c>
      <c r="G418" s="120"/>
      <c r="H418" s="120">
        <f t="shared" ref="H418" si="758">D418-F418</f>
        <v>11.014512295903378</v>
      </c>
      <c r="I418" s="120"/>
      <c r="J418" s="120">
        <f t="shared" ref="J418" si="759">J416-H418</f>
        <v>1336.3424635093093</v>
      </c>
      <c r="K418" s="122"/>
    </row>
    <row r="419" spans="2:11" ht="15" thickBot="1" x14ac:dyDescent="0.35">
      <c r="B419" s="41"/>
      <c r="C419" s="35"/>
      <c r="D419" s="121"/>
      <c r="E419" s="121"/>
      <c r="F419" s="121"/>
      <c r="G419" s="121"/>
      <c r="H419" s="121"/>
      <c r="I419" s="121"/>
      <c r="J419" s="121"/>
      <c r="K419" s="123"/>
    </row>
    <row r="420" spans="2:11" ht="15" thickBot="1" x14ac:dyDescent="0.35">
      <c r="B420" s="117">
        <v>192</v>
      </c>
      <c r="C420" s="118"/>
      <c r="D420" s="120">
        <f t="shared" ref="D420" si="760">$D$30</f>
        <v>13.596946499530036</v>
      </c>
      <c r="E420" s="120"/>
      <c r="F420" s="120">
        <f t="shared" ref="F420" si="761">($G$22/12)*J418</f>
        <v>2.5613230550595092</v>
      </c>
      <c r="G420" s="120"/>
      <c r="H420" s="120">
        <f t="shared" ref="H420" si="762">D420-F420</f>
        <v>11.035623444470527</v>
      </c>
      <c r="I420" s="120"/>
      <c r="J420" s="120">
        <f t="shared" ref="J420" si="763">J418-H420</f>
        <v>1325.3068400648388</v>
      </c>
      <c r="K420" s="122"/>
    </row>
    <row r="421" spans="2:11" ht="15" thickBot="1" x14ac:dyDescent="0.35">
      <c r="B421" s="41"/>
      <c r="C421" s="35"/>
      <c r="D421" s="121"/>
      <c r="E421" s="121"/>
      <c r="F421" s="121"/>
      <c r="G421" s="121"/>
      <c r="H421" s="121"/>
      <c r="I421" s="121"/>
      <c r="J421" s="121"/>
      <c r="K421" s="123"/>
    </row>
    <row r="422" spans="2:11" ht="15" thickBot="1" x14ac:dyDescent="0.35">
      <c r="B422" s="117">
        <v>193</v>
      </c>
      <c r="C422" s="118"/>
      <c r="D422" s="120">
        <f t="shared" ref="D422" si="764">$D$30</f>
        <v>13.596946499530036</v>
      </c>
      <c r="E422" s="120"/>
      <c r="F422" s="120">
        <f t="shared" ref="F422" si="765">($G$22/12)*J420</f>
        <v>2.5401714434576075</v>
      </c>
      <c r="G422" s="120"/>
      <c r="H422" s="120">
        <f t="shared" ref="H422" si="766">D422-F422</f>
        <v>11.056775056072428</v>
      </c>
      <c r="I422" s="120"/>
      <c r="J422" s="120">
        <f t="shared" ref="J422" si="767">J420-H422</f>
        <v>1314.2500650087663</v>
      </c>
      <c r="K422" s="122"/>
    </row>
    <row r="423" spans="2:11" ht="15" thickBot="1" x14ac:dyDescent="0.35">
      <c r="B423" s="41"/>
      <c r="C423" s="35"/>
      <c r="D423" s="121"/>
      <c r="E423" s="121"/>
      <c r="F423" s="121"/>
      <c r="G423" s="121"/>
      <c r="H423" s="121"/>
      <c r="I423" s="121"/>
      <c r="J423" s="121"/>
      <c r="K423" s="123"/>
    </row>
    <row r="424" spans="2:11" ht="15" thickBot="1" x14ac:dyDescent="0.35">
      <c r="B424" s="117">
        <v>194</v>
      </c>
      <c r="C424" s="118"/>
      <c r="D424" s="120">
        <f t="shared" ref="D424" si="768">$D$30</f>
        <v>13.596946499530036</v>
      </c>
      <c r="E424" s="120"/>
      <c r="F424" s="120">
        <f t="shared" ref="F424" si="769">($G$22/12)*J422</f>
        <v>2.5189792912668021</v>
      </c>
      <c r="G424" s="120"/>
      <c r="H424" s="120">
        <f t="shared" ref="H424" si="770">D424-F424</f>
        <v>11.077967208263233</v>
      </c>
      <c r="I424" s="120"/>
      <c r="J424" s="120">
        <f t="shared" ref="J424" si="771">J422-H424</f>
        <v>1303.172097800503</v>
      </c>
      <c r="K424" s="122"/>
    </row>
    <row r="425" spans="2:11" ht="15" thickBot="1" x14ac:dyDescent="0.35">
      <c r="B425" s="41"/>
      <c r="C425" s="35"/>
      <c r="D425" s="121"/>
      <c r="E425" s="121"/>
      <c r="F425" s="121"/>
      <c r="G425" s="121"/>
      <c r="H425" s="121"/>
      <c r="I425" s="121"/>
      <c r="J425" s="121"/>
      <c r="K425" s="123"/>
    </row>
    <row r="426" spans="2:11" ht="15" thickBot="1" x14ac:dyDescent="0.35">
      <c r="B426" s="117">
        <v>195</v>
      </c>
      <c r="C426" s="118"/>
      <c r="D426" s="120">
        <f t="shared" ref="D426" si="772">$D$30</f>
        <v>13.596946499530036</v>
      </c>
      <c r="E426" s="120"/>
      <c r="F426" s="120">
        <f t="shared" ref="F426" si="773">($G$22/12)*J424</f>
        <v>2.4977465207842973</v>
      </c>
      <c r="G426" s="120"/>
      <c r="H426" s="120">
        <f t="shared" ref="H426" si="774">D426-F426</f>
        <v>11.099199978745739</v>
      </c>
      <c r="I426" s="120"/>
      <c r="J426" s="120">
        <f t="shared" ref="J426" si="775">J424-H426</f>
        <v>1292.0728978217574</v>
      </c>
      <c r="K426" s="122"/>
    </row>
    <row r="427" spans="2:11" ht="15" thickBot="1" x14ac:dyDescent="0.35">
      <c r="B427" s="41"/>
      <c r="C427" s="35"/>
      <c r="D427" s="121"/>
      <c r="E427" s="121"/>
      <c r="F427" s="121"/>
      <c r="G427" s="121"/>
      <c r="H427" s="121"/>
      <c r="I427" s="121"/>
      <c r="J427" s="121"/>
      <c r="K427" s="123"/>
    </row>
    <row r="428" spans="2:11" ht="15" thickBot="1" x14ac:dyDescent="0.35">
      <c r="B428" s="117">
        <v>196</v>
      </c>
      <c r="C428" s="118"/>
      <c r="D428" s="120">
        <f t="shared" ref="D428" si="776">$D$30</f>
        <v>13.596946499530036</v>
      </c>
      <c r="E428" s="120"/>
      <c r="F428" s="120">
        <f t="shared" ref="F428" si="777">($G$22/12)*J426</f>
        <v>2.4764730541583679</v>
      </c>
      <c r="G428" s="120"/>
      <c r="H428" s="120">
        <f t="shared" ref="H428" si="778">D428-F428</f>
        <v>11.120473445371669</v>
      </c>
      <c r="I428" s="120"/>
      <c r="J428" s="120">
        <f t="shared" ref="J428" si="779">J426-H428</f>
        <v>1280.9524243763856</v>
      </c>
      <c r="K428" s="122"/>
    </row>
    <row r="429" spans="2:11" ht="15" thickBot="1" x14ac:dyDescent="0.35">
      <c r="B429" s="41"/>
      <c r="C429" s="35"/>
      <c r="D429" s="121"/>
      <c r="E429" s="121"/>
      <c r="F429" s="121"/>
      <c r="G429" s="121"/>
      <c r="H429" s="121"/>
      <c r="I429" s="121"/>
      <c r="J429" s="121"/>
      <c r="K429" s="123"/>
    </row>
    <row r="430" spans="2:11" ht="15" thickBot="1" x14ac:dyDescent="0.35">
      <c r="B430" s="117">
        <v>197</v>
      </c>
      <c r="C430" s="118"/>
      <c r="D430" s="120">
        <f t="shared" ref="D430" si="780">$D$30</f>
        <v>13.596946499530036</v>
      </c>
      <c r="E430" s="120"/>
      <c r="F430" s="120">
        <f t="shared" ref="F430" si="781">($G$22/12)*J428</f>
        <v>2.4551588133880724</v>
      </c>
      <c r="G430" s="120"/>
      <c r="H430" s="120">
        <f t="shared" ref="H430" si="782">D430-F430</f>
        <v>11.141787686141964</v>
      </c>
      <c r="I430" s="120"/>
      <c r="J430" s="120">
        <f t="shared" ref="J430" si="783">J428-H430</f>
        <v>1269.8106366902437</v>
      </c>
      <c r="K430" s="122"/>
    </row>
    <row r="431" spans="2:11" ht="15" thickBot="1" x14ac:dyDescent="0.35">
      <c r="B431" s="41"/>
      <c r="C431" s="35"/>
      <c r="D431" s="121"/>
      <c r="E431" s="121"/>
      <c r="F431" s="121"/>
      <c r="G431" s="121"/>
      <c r="H431" s="121"/>
      <c r="I431" s="121"/>
      <c r="J431" s="121"/>
      <c r="K431" s="123"/>
    </row>
    <row r="432" spans="2:11" ht="15" thickBot="1" x14ac:dyDescent="0.35">
      <c r="B432" s="117">
        <v>198</v>
      </c>
      <c r="C432" s="118"/>
      <c r="D432" s="120">
        <f t="shared" ref="D432" si="784">$D$30</f>
        <v>13.596946499530036</v>
      </c>
      <c r="E432" s="120"/>
      <c r="F432" s="120">
        <f t="shared" ref="F432" si="785">($G$22/12)*J430</f>
        <v>2.4338037203229668</v>
      </c>
      <c r="G432" s="120"/>
      <c r="H432" s="120">
        <f t="shared" ref="H432" si="786">D432-F432</f>
        <v>11.163142779207069</v>
      </c>
      <c r="I432" s="120"/>
      <c r="J432" s="120">
        <f t="shared" ref="J432" si="787">J430-H432</f>
        <v>1258.6474939110367</v>
      </c>
      <c r="K432" s="122"/>
    </row>
    <row r="433" spans="2:11" ht="15" thickBot="1" x14ac:dyDescent="0.35">
      <c r="B433" s="41"/>
      <c r="C433" s="35"/>
      <c r="D433" s="121"/>
      <c r="E433" s="121"/>
      <c r="F433" s="121"/>
      <c r="G433" s="121"/>
      <c r="H433" s="121"/>
      <c r="I433" s="121"/>
      <c r="J433" s="121"/>
      <c r="K433" s="123"/>
    </row>
    <row r="434" spans="2:11" ht="15" thickBot="1" x14ac:dyDescent="0.35">
      <c r="B434" s="117">
        <v>199</v>
      </c>
      <c r="C434" s="118"/>
      <c r="D434" s="120">
        <f t="shared" ref="D434" si="788">$D$30</f>
        <v>13.596946499530036</v>
      </c>
      <c r="E434" s="120"/>
      <c r="F434" s="120">
        <f t="shared" ref="F434" si="789">($G$22/12)*J432</f>
        <v>2.4124076966628203</v>
      </c>
      <c r="G434" s="120"/>
      <c r="H434" s="120">
        <f t="shared" ref="H434" si="790">D434-F434</f>
        <v>11.184538802867216</v>
      </c>
      <c r="I434" s="120"/>
      <c r="J434" s="120">
        <f t="shared" ref="J434" si="791">J432-H434</f>
        <v>1247.4629551081696</v>
      </c>
      <c r="K434" s="122"/>
    </row>
    <row r="435" spans="2:11" ht="15" thickBot="1" x14ac:dyDescent="0.35">
      <c r="B435" s="41"/>
      <c r="C435" s="35"/>
      <c r="D435" s="121"/>
      <c r="E435" s="121"/>
      <c r="F435" s="121"/>
      <c r="G435" s="121"/>
      <c r="H435" s="121"/>
      <c r="I435" s="121"/>
      <c r="J435" s="121"/>
      <c r="K435" s="123"/>
    </row>
    <row r="436" spans="2:11" ht="15" thickBot="1" x14ac:dyDescent="0.35">
      <c r="B436" s="117">
        <v>200</v>
      </c>
      <c r="C436" s="118"/>
      <c r="D436" s="120">
        <f t="shared" ref="D436" si="792">$D$30</f>
        <v>13.596946499530036</v>
      </c>
      <c r="E436" s="120"/>
      <c r="F436" s="120">
        <f t="shared" ref="F436" si="793">($G$22/12)*J434</f>
        <v>2.3909706639573249</v>
      </c>
      <c r="G436" s="120"/>
      <c r="H436" s="120">
        <f t="shared" ref="H436" si="794">D436-F436</f>
        <v>11.205975835572712</v>
      </c>
      <c r="I436" s="120"/>
      <c r="J436" s="120">
        <f t="shared" ref="J436" si="795">J434-H436</f>
        <v>1236.2569792725969</v>
      </c>
      <c r="K436" s="122"/>
    </row>
    <row r="437" spans="2:11" ht="15" thickBot="1" x14ac:dyDescent="0.35">
      <c r="B437" s="41"/>
      <c r="C437" s="35"/>
      <c r="D437" s="121"/>
      <c r="E437" s="121"/>
      <c r="F437" s="121"/>
      <c r="G437" s="121"/>
      <c r="H437" s="121"/>
      <c r="I437" s="121"/>
      <c r="J437" s="121"/>
      <c r="K437" s="123"/>
    </row>
    <row r="438" spans="2:11" ht="15" thickBot="1" x14ac:dyDescent="0.35">
      <c r="B438" s="117">
        <v>201</v>
      </c>
      <c r="C438" s="118"/>
      <c r="D438" s="120">
        <f t="shared" ref="D438" si="796">$D$30</f>
        <v>13.596946499530036</v>
      </c>
      <c r="E438" s="120"/>
      <c r="F438" s="120">
        <f t="shared" ref="F438" si="797">($G$22/12)*J436</f>
        <v>2.3694925436058107</v>
      </c>
      <c r="G438" s="120"/>
      <c r="H438" s="120">
        <f t="shared" ref="H438" si="798">D438-F438</f>
        <v>11.227453955924226</v>
      </c>
      <c r="I438" s="120"/>
      <c r="J438" s="120">
        <f t="shared" ref="J438" si="799">J436-H438</f>
        <v>1225.0295253166728</v>
      </c>
      <c r="K438" s="122"/>
    </row>
    <row r="439" spans="2:11" ht="15" thickBot="1" x14ac:dyDescent="0.35">
      <c r="B439" s="41"/>
      <c r="C439" s="35"/>
      <c r="D439" s="121"/>
      <c r="E439" s="121"/>
      <c r="F439" s="121"/>
      <c r="G439" s="121"/>
      <c r="H439" s="121"/>
      <c r="I439" s="121"/>
      <c r="J439" s="121"/>
      <c r="K439" s="123"/>
    </row>
    <row r="440" spans="2:11" ht="15" thickBot="1" x14ac:dyDescent="0.35">
      <c r="B440" s="117">
        <v>202</v>
      </c>
      <c r="C440" s="118"/>
      <c r="D440" s="120">
        <f t="shared" ref="D440" si="800">$D$30</f>
        <v>13.596946499530036</v>
      </c>
      <c r="E440" s="120"/>
      <c r="F440" s="120">
        <f t="shared" ref="F440" si="801">($G$22/12)*J438</f>
        <v>2.3479732568569562</v>
      </c>
      <c r="G440" s="120"/>
      <c r="H440" s="120">
        <f t="shared" ref="H440" si="802">D440-F440</f>
        <v>11.248973242673079</v>
      </c>
      <c r="I440" s="120"/>
      <c r="J440" s="120">
        <f t="shared" ref="J440" si="803">J438-H440</f>
        <v>1213.7805520739996</v>
      </c>
      <c r="K440" s="122"/>
    </row>
    <row r="441" spans="2:11" ht="15" thickBot="1" x14ac:dyDescent="0.35">
      <c r="B441" s="41"/>
      <c r="C441" s="35"/>
      <c r="D441" s="121"/>
      <c r="E441" s="121"/>
      <c r="F441" s="121"/>
      <c r="G441" s="121"/>
      <c r="H441" s="121"/>
      <c r="I441" s="121"/>
      <c r="J441" s="121"/>
      <c r="K441" s="123"/>
    </row>
    <row r="442" spans="2:11" ht="15" thickBot="1" x14ac:dyDescent="0.35">
      <c r="B442" s="117">
        <v>203</v>
      </c>
      <c r="C442" s="118"/>
      <c r="D442" s="120">
        <f t="shared" ref="D442" si="804">$D$30</f>
        <v>13.596946499530036</v>
      </c>
      <c r="E442" s="120"/>
      <c r="F442" s="120">
        <f t="shared" ref="F442" si="805">($G$22/12)*J440</f>
        <v>2.3264127248084989</v>
      </c>
      <c r="G442" s="120"/>
      <c r="H442" s="120">
        <f t="shared" ref="H442" si="806">D442-F442</f>
        <v>11.270533774721537</v>
      </c>
      <c r="I442" s="120"/>
      <c r="J442" s="120">
        <f t="shared" ref="J442" si="807">J440-H442</f>
        <v>1202.510018299278</v>
      </c>
      <c r="K442" s="122"/>
    </row>
    <row r="443" spans="2:11" ht="15" thickBot="1" x14ac:dyDescent="0.35">
      <c r="B443" s="41"/>
      <c r="C443" s="35"/>
      <c r="D443" s="121"/>
      <c r="E443" s="121"/>
      <c r="F443" s="121"/>
      <c r="G443" s="121"/>
      <c r="H443" s="121"/>
      <c r="I443" s="121"/>
      <c r="J443" s="121"/>
      <c r="K443" s="123"/>
    </row>
    <row r="444" spans="2:11" ht="15" thickBot="1" x14ac:dyDescent="0.35">
      <c r="B444" s="117">
        <v>204</v>
      </c>
      <c r="C444" s="118"/>
      <c r="D444" s="120">
        <f t="shared" ref="D444" si="808">$D$30</f>
        <v>13.596946499530036</v>
      </c>
      <c r="E444" s="120"/>
      <c r="F444" s="120">
        <f t="shared" ref="F444" si="809">($G$22/12)*J442</f>
        <v>2.3048108684069493</v>
      </c>
      <c r="G444" s="120"/>
      <c r="H444" s="120">
        <f t="shared" ref="H444" si="810">D444-F444</f>
        <v>11.292135631123086</v>
      </c>
      <c r="I444" s="120"/>
      <c r="J444" s="120">
        <f t="shared" ref="J444" si="811">J442-H444</f>
        <v>1191.217882668155</v>
      </c>
      <c r="K444" s="122"/>
    </row>
    <row r="445" spans="2:11" ht="15" thickBot="1" x14ac:dyDescent="0.35">
      <c r="B445" s="41"/>
      <c r="C445" s="35"/>
      <c r="D445" s="121"/>
      <c r="E445" s="121"/>
      <c r="F445" s="121"/>
      <c r="G445" s="121"/>
      <c r="H445" s="121"/>
      <c r="I445" s="121"/>
      <c r="J445" s="121"/>
      <c r="K445" s="123"/>
    </row>
    <row r="446" spans="2:11" ht="15" thickBot="1" x14ac:dyDescent="0.35">
      <c r="B446" s="117">
        <v>205</v>
      </c>
      <c r="C446" s="118"/>
      <c r="D446" s="120">
        <f t="shared" ref="D446" si="812">$D$30</f>
        <v>13.596946499530036</v>
      </c>
      <c r="E446" s="120"/>
      <c r="F446" s="120">
        <f t="shared" ref="F446" si="813">($G$22/12)*J444</f>
        <v>2.2831676084472967</v>
      </c>
      <c r="G446" s="120"/>
      <c r="H446" s="120">
        <f t="shared" ref="H446" si="814">D446-F446</f>
        <v>11.313778891082739</v>
      </c>
      <c r="I446" s="120"/>
      <c r="J446" s="120">
        <f t="shared" ref="J446" si="815">J444-H446</f>
        <v>1179.9041037770721</v>
      </c>
      <c r="K446" s="122"/>
    </row>
    <row r="447" spans="2:11" ht="15" thickBot="1" x14ac:dyDescent="0.35">
      <c r="B447" s="41"/>
      <c r="C447" s="35"/>
      <c r="D447" s="121"/>
      <c r="E447" s="121"/>
      <c r="F447" s="121"/>
      <c r="G447" s="121"/>
      <c r="H447" s="121"/>
      <c r="I447" s="121"/>
      <c r="J447" s="121"/>
      <c r="K447" s="123"/>
    </row>
    <row r="448" spans="2:11" ht="15" thickBot="1" x14ac:dyDescent="0.35">
      <c r="B448" s="117">
        <v>206</v>
      </c>
      <c r="C448" s="118"/>
      <c r="D448" s="120">
        <f t="shared" ref="D448" si="816">$D$30</f>
        <v>13.596946499530036</v>
      </c>
      <c r="E448" s="120"/>
      <c r="F448" s="120">
        <f t="shared" ref="F448" si="817">($G$22/12)*J446</f>
        <v>2.2614828655727215</v>
      </c>
      <c r="G448" s="120"/>
      <c r="H448" s="120">
        <f t="shared" ref="H448" si="818">D448-F448</f>
        <v>11.335463633957314</v>
      </c>
      <c r="I448" s="120"/>
      <c r="J448" s="120">
        <f t="shared" ref="J448" si="819">J446-H448</f>
        <v>1168.5686401431149</v>
      </c>
      <c r="K448" s="122"/>
    </row>
    <row r="449" spans="2:11" ht="15" thickBot="1" x14ac:dyDescent="0.35">
      <c r="B449" s="41"/>
      <c r="C449" s="35"/>
      <c r="D449" s="121"/>
      <c r="E449" s="121"/>
      <c r="F449" s="121"/>
      <c r="G449" s="121"/>
      <c r="H449" s="121"/>
      <c r="I449" s="121"/>
      <c r="J449" s="121"/>
      <c r="K449" s="123"/>
    </row>
    <row r="450" spans="2:11" ht="15" thickBot="1" x14ac:dyDescent="0.35">
      <c r="B450" s="117">
        <v>207</v>
      </c>
      <c r="C450" s="118"/>
      <c r="D450" s="120">
        <f t="shared" ref="D450" si="820">$D$30</f>
        <v>13.596946499530036</v>
      </c>
      <c r="E450" s="120"/>
      <c r="F450" s="120">
        <f t="shared" ref="F450" si="821">($G$22/12)*J448</f>
        <v>2.2397565602743033</v>
      </c>
      <c r="G450" s="120"/>
      <c r="H450" s="120">
        <f t="shared" ref="H450" si="822">D450-F450</f>
        <v>11.357189939255733</v>
      </c>
      <c r="I450" s="120"/>
      <c r="J450" s="120">
        <f t="shared" ref="J450" si="823">J448-H450</f>
        <v>1157.2114502038592</v>
      </c>
      <c r="K450" s="122"/>
    </row>
    <row r="451" spans="2:11" ht="15" thickBot="1" x14ac:dyDescent="0.35">
      <c r="B451" s="41"/>
      <c r="C451" s="35"/>
      <c r="D451" s="121"/>
      <c r="E451" s="121"/>
      <c r="F451" s="121"/>
      <c r="G451" s="121"/>
      <c r="H451" s="121"/>
      <c r="I451" s="121"/>
      <c r="J451" s="121"/>
      <c r="K451" s="123"/>
    </row>
    <row r="452" spans="2:11" ht="15" thickBot="1" x14ac:dyDescent="0.35">
      <c r="B452" s="117">
        <v>208</v>
      </c>
      <c r="C452" s="118"/>
      <c r="D452" s="120">
        <f t="shared" ref="D452" si="824">$D$30</f>
        <v>13.596946499530036</v>
      </c>
      <c r="E452" s="120"/>
      <c r="F452" s="120">
        <f t="shared" ref="F452" si="825">($G$22/12)*J450</f>
        <v>2.2179886128907298</v>
      </c>
      <c r="G452" s="120"/>
      <c r="H452" s="120">
        <f t="shared" ref="H452" si="826">D452-F452</f>
        <v>11.378957886639306</v>
      </c>
      <c r="I452" s="120"/>
      <c r="J452" s="120">
        <f t="shared" ref="J452" si="827">J450-H452</f>
        <v>1145.8324923172199</v>
      </c>
      <c r="K452" s="122"/>
    </row>
    <row r="453" spans="2:11" ht="15" thickBot="1" x14ac:dyDescent="0.35">
      <c r="B453" s="41"/>
      <c r="C453" s="35"/>
      <c r="D453" s="121"/>
      <c r="E453" s="121"/>
      <c r="F453" s="121"/>
      <c r="G453" s="121"/>
      <c r="H453" s="121"/>
      <c r="I453" s="121"/>
      <c r="J453" s="121"/>
      <c r="K453" s="123"/>
    </row>
    <row r="454" spans="2:11" ht="15" thickBot="1" x14ac:dyDescent="0.35">
      <c r="B454" s="117">
        <v>209</v>
      </c>
      <c r="C454" s="118"/>
      <c r="D454" s="120">
        <f t="shared" ref="D454" si="828">$D$30</f>
        <v>13.596946499530036</v>
      </c>
      <c r="E454" s="120"/>
      <c r="F454" s="120">
        <f t="shared" ref="F454" si="829">($G$22/12)*J452</f>
        <v>2.1961789436080048</v>
      </c>
      <c r="G454" s="120"/>
      <c r="H454" s="120">
        <f t="shared" ref="H454" si="830">D454-F454</f>
        <v>11.40076755592203</v>
      </c>
      <c r="I454" s="120"/>
      <c r="J454" s="120">
        <f t="shared" ref="J454" si="831">J452-H454</f>
        <v>1134.4317247612978</v>
      </c>
      <c r="K454" s="122"/>
    </row>
    <row r="455" spans="2:11" ht="15" thickBot="1" x14ac:dyDescent="0.35">
      <c r="B455" s="41"/>
      <c r="C455" s="35"/>
      <c r="D455" s="121"/>
      <c r="E455" s="121"/>
      <c r="F455" s="121"/>
      <c r="G455" s="121"/>
      <c r="H455" s="121"/>
      <c r="I455" s="121"/>
      <c r="J455" s="121"/>
      <c r="K455" s="123"/>
    </row>
    <row r="456" spans="2:11" ht="15" thickBot="1" x14ac:dyDescent="0.35">
      <c r="B456" s="117">
        <v>210</v>
      </c>
      <c r="C456" s="118"/>
      <c r="D456" s="120">
        <f t="shared" ref="D456" si="832">$D$30</f>
        <v>13.596946499530036</v>
      </c>
      <c r="E456" s="120"/>
      <c r="F456" s="120">
        <f t="shared" ref="F456" si="833">($G$22/12)*J454</f>
        <v>2.1743274724591539</v>
      </c>
      <c r="G456" s="120"/>
      <c r="H456" s="120">
        <f t="shared" ref="H456" si="834">D456-F456</f>
        <v>11.422619027070882</v>
      </c>
      <c r="I456" s="120"/>
      <c r="J456" s="120">
        <f t="shared" ref="J456" si="835">J454-H456</f>
        <v>1123.009105734227</v>
      </c>
      <c r="K456" s="122"/>
    </row>
    <row r="457" spans="2:11" ht="15" thickBot="1" x14ac:dyDescent="0.35">
      <c r="B457" s="41"/>
      <c r="C457" s="35"/>
      <c r="D457" s="121"/>
      <c r="E457" s="121"/>
      <c r="F457" s="121"/>
      <c r="G457" s="121"/>
      <c r="H457" s="121"/>
      <c r="I457" s="121"/>
      <c r="J457" s="121"/>
      <c r="K457" s="123"/>
    </row>
    <row r="458" spans="2:11" ht="15" thickBot="1" x14ac:dyDescent="0.35">
      <c r="B458" s="117">
        <v>211</v>
      </c>
      <c r="C458" s="118"/>
      <c r="D458" s="120">
        <f t="shared" ref="D458" si="836">$D$30</f>
        <v>13.596946499530036</v>
      </c>
      <c r="E458" s="120"/>
      <c r="F458" s="120">
        <f t="shared" ref="F458" si="837">($G$22/12)*J456</f>
        <v>2.1524341193239351</v>
      </c>
      <c r="G458" s="120"/>
      <c r="H458" s="120">
        <f t="shared" ref="H458" si="838">D458-F458</f>
        <v>11.444512380206101</v>
      </c>
      <c r="I458" s="120"/>
      <c r="J458" s="120">
        <f t="shared" ref="J458" si="839">J456-H458</f>
        <v>1111.5645933540209</v>
      </c>
      <c r="K458" s="122"/>
    </row>
    <row r="459" spans="2:11" ht="15" thickBot="1" x14ac:dyDescent="0.35">
      <c r="B459" s="41"/>
      <c r="C459" s="35"/>
      <c r="D459" s="121"/>
      <c r="E459" s="121"/>
      <c r="F459" s="121"/>
      <c r="G459" s="121"/>
      <c r="H459" s="121"/>
      <c r="I459" s="121"/>
      <c r="J459" s="121"/>
      <c r="K459" s="123"/>
    </row>
    <row r="460" spans="2:11" ht="15" thickBot="1" x14ac:dyDescent="0.35">
      <c r="B460" s="117">
        <v>212</v>
      </c>
      <c r="C460" s="118"/>
      <c r="D460" s="120">
        <f t="shared" ref="D460" si="840">$D$30</f>
        <v>13.596946499530036</v>
      </c>
      <c r="E460" s="120"/>
      <c r="F460" s="120">
        <f t="shared" ref="F460" si="841">($G$22/12)*J458</f>
        <v>2.13049880392854</v>
      </c>
      <c r="G460" s="120"/>
      <c r="H460" s="120">
        <f t="shared" ref="H460" si="842">D460-F460</f>
        <v>11.466447695601495</v>
      </c>
      <c r="I460" s="120"/>
      <c r="J460" s="120">
        <f t="shared" ref="J460" si="843">J458-H460</f>
        <v>1100.0981456584193</v>
      </c>
      <c r="K460" s="122"/>
    </row>
    <row r="461" spans="2:11" ht="15" thickBot="1" x14ac:dyDescent="0.35">
      <c r="B461" s="41"/>
      <c r="C461" s="35"/>
      <c r="D461" s="121"/>
      <c r="E461" s="121"/>
      <c r="F461" s="121"/>
      <c r="G461" s="121"/>
      <c r="H461" s="121"/>
      <c r="I461" s="121"/>
      <c r="J461" s="121"/>
      <c r="K461" s="123"/>
    </row>
    <row r="462" spans="2:11" ht="15" thickBot="1" x14ac:dyDescent="0.35">
      <c r="B462" s="117">
        <v>213</v>
      </c>
      <c r="C462" s="118"/>
      <c r="D462" s="120">
        <f t="shared" ref="D462" si="844">$D$30</f>
        <v>13.596946499530036</v>
      </c>
      <c r="E462" s="120"/>
      <c r="F462" s="120">
        <f t="shared" ref="F462" si="845">($G$22/12)*J460</f>
        <v>2.1085214458453034</v>
      </c>
      <c r="G462" s="120"/>
      <c r="H462" s="120">
        <f t="shared" ref="H462" si="846">D462-F462</f>
        <v>11.488425053684733</v>
      </c>
      <c r="I462" s="120"/>
      <c r="J462" s="120">
        <f t="shared" ref="J462" si="847">J460-H462</f>
        <v>1088.6097206047345</v>
      </c>
      <c r="K462" s="122"/>
    </row>
    <row r="463" spans="2:11" ht="15" thickBot="1" x14ac:dyDescent="0.35">
      <c r="B463" s="41"/>
      <c r="C463" s="35"/>
      <c r="D463" s="121"/>
      <c r="E463" s="121"/>
      <c r="F463" s="121"/>
      <c r="G463" s="121"/>
      <c r="H463" s="121"/>
      <c r="I463" s="121"/>
      <c r="J463" s="121"/>
      <c r="K463" s="123"/>
    </row>
    <row r="464" spans="2:11" ht="15" thickBot="1" x14ac:dyDescent="0.35">
      <c r="B464" s="117">
        <v>214</v>
      </c>
      <c r="C464" s="118"/>
      <c r="D464" s="120">
        <f t="shared" ref="D464" si="848">$D$30</f>
        <v>13.596946499530036</v>
      </c>
      <c r="E464" s="120"/>
      <c r="F464" s="120">
        <f t="shared" ref="F464" si="849">($G$22/12)*J462</f>
        <v>2.0865019644924079</v>
      </c>
      <c r="G464" s="120"/>
      <c r="H464" s="120">
        <f t="shared" ref="H464" si="850">D464-F464</f>
        <v>11.510444535037628</v>
      </c>
      <c r="I464" s="120"/>
      <c r="J464" s="120">
        <f t="shared" ref="J464" si="851">J462-H464</f>
        <v>1077.099276069697</v>
      </c>
      <c r="K464" s="122"/>
    </row>
    <row r="465" spans="2:11" ht="15" thickBot="1" x14ac:dyDescent="0.35">
      <c r="B465" s="41"/>
      <c r="C465" s="35"/>
      <c r="D465" s="121"/>
      <c r="E465" s="121"/>
      <c r="F465" s="121"/>
      <c r="G465" s="121"/>
      <c r="H465" s="121"/>
      <c r="I465" s="121"/>
      <c r="J465" s="121"/>
      <c r="K465" s="123"/>
    </row>
    <row r="466" spans="2:11" ht="15" thickBot="1" x14ac:dyDescent="0.35">
      <c r="B466" s="117">
        <v>215</v>
      </c>
      <c r="C466" s="118"/>
      <c r="D466" s="120">
        <f t="shared" ref="D466" si="852">$D$30</f>
        <v>13.596946499530036</v>
      </c>
      <c r="E466" s="120"/>
      <c r="F466" s="120">
        <f t="shared" ref="F466" si="853">($G$22/12)*J464</f>
        <v>2.0644402791335859</v>
      </c>
      <c r="G466" s="120"/>
      <c r="H466" s="120">
        <f t="shared" ref="H466" si="854">D466-F466</f>
        <v>11.532506220396449</v>
      </c>
      <c r="I466" s="120"/>
      <c r="J466" s="120">
        <f t="shared" ref="J466" si="855">J464-H466</f>
        <v>1065.5667698493005</v>
      </c>
      <c r="K466" s="122"/>
    </row>
    <row r="467" spans="2:11" ht="15" thickBot="1" x14ac:dyDescent="0.35">
      <c r="B467" s="41"/>
      <c r="C467" s="35"/>
      <c r="D467" s="121"/>
      <c r="E467" s="121"/>
      <c r="F467" s="121"/>
      <c r="G467" s="121"/>
      <c r="H467" s="121"/>
      <c r="I467" s="121"/>
      <c r="J467" s="121"/>
      <c r="K467" s="123"/>
    </row>
    <row r="468" spans="2:11" ht="15" thickBot="1" x14ac:dyDescent="0.35">
      <c r="B468" s="117">
        <v>216</v>
      </c>
      <c r="C468" s="118"/>
      <c r="D468" s="120">
        <f t="shared" ref="D468" si="856">$D$30</f>
        <v>13.596946499530036</v>
      </c>
      <c r="E468" s="120"/>
      <c r="F468" s="120">
        <f t="shared" ref="F468" si="857">($G$22/12)*J466</f>
        <v>2.0423363088778257</v>
      </c>
      <c r="G468" s="120"/>
      <c r="H468" s="120">
        <f t="shared" ref="H468" si="858">D468-F468</f>
        <v>11.554610190652211</v>
      </c>
      <c r="I468" s="120"/>
      <c r="J468" s="120">
        <f t="shared" ref="J468" si="859">J466-H468</f>
        <v>1054.0121596586482</v>
      </c>
      <c r="K468" s="122"/>
    </row>
    <row r="469" spans="2:11" ht="15" thickBot="1" x14ac:dyDescent="0.35">
      <c r="B469" s="41"/>
      <c r="C469" s="35"/>
      <c r="D469" s="121"/>
      <c r="E469" s="121"/>
      <c r="F469" s="121"/>
      <c r="G469" s="121"/>
      <c r="H469" s="121"/>
      <c r="I469" s="121"/>
      <c r="J469" s="121"/>
      <c r="K469" s="123"/>
    </row>
    <row r="470" spans="2:11" ht="15" thickBot="1" x14ac:dyDescent="0.35">
      <c r="B470" s="117">
        <v>217</v>
      </c>
      <c r="C470" s="118"/>
      <c r="D470" s="120">
        <f t="shared" ref="D470" si="860">$D$30</f>
        <v>13.596946499530036</v>
      </c>
      <c r="E470" s="120"/>
      <c r="F470" s="120">
        <f t="shared" ref="F470" si="861">($G$22/12)*J468</f>
        <v>2.0201899726790757</v>
      </c>
      <c r="G470" s="120"/>
      <c r="H470" s="120">
        <f t="shared" ref="H470" si="862">D470-F470</f>
        <v>11.576756526850961</v>
      </c>
      <c r="I470" s="120"/>
      <c r="J470" s="120">
        <f t="shared" ref="J470" si="863">J468-H470</f>
        <v>1042.4354031317973</v>
      </c>
      <c r="K470" s="122"/>
    </row>
    <row r="471" spans="2:11" ht="15" thickBot="1" x14ac:dyDescent="0.35">
      <c r="B471" s="41"/>
      <c r="C471" s="35"/>
      <c r="D471" s="121"/>
      <c r="E471" s="121"/>
      <c r="F471" s="121"/>
      <c r="G471" s="121"/>
      <c r="H471" s="121"/>
      <c r="I471" s="121"/>
      <c r="J471" s="121"/>
      <c r="K471" s="123"/>
    </row>
    <row r="472" spans="2:11" ht="15" thickBot="1" x14ac:dyDescent="0.35">
      <c r="B472" s="117">
        <v>218</v>
      </c>
      <c r="C472" s="118"/>
      <c r="D472" s="120">
        <f t="shared" ref="D472" si="864">$D$30</f>
        <v>13.596946499530036</v>
      </c>
      <c r="E472" s="120"/>
      <c r="F472" s="120">
        <f t="shared" ref="F472" si="865">($G$22/12)*J470</f>
        <v>1.9980011893359448</v>
      </c>
      <c r="G472" s="120"/>
      <c r="H472" s="120">
        <f t="shared" ref="H472" si="866">D472-F472</f>
        <v>11.598945310194091</v>
      </c>
      <c r="I472" s="120"/>
      <c r="J472" s="120">
        <f t="shared" ref="J472" si="867">J470-H472</f>
        <v>1030.8364578216033</v>
      </c>
      <c r="K472" s="122"/>
    </row>
    <row r="473" spans="2:11" ht="15" thickBot="1" x14ac:dyDescent="0.35">
      <c r="B473" s="41"/>
      <c r="C473" s="35"/>
      <c r="D473" s="121"/>
      <c r="E473" s="121"/>
      <c r="F473" s="121"/>
      <c r="G473" s="121"/>
      <c r="H473" s="121"/>
      <c r="I473" s="121"/>
      <c r="J473" s="121"/>
      <c r="K473" s="123"/>
    </row>
    <row r="474" spans="2:11" ht="15" thickBot="1" x14ac:dyDescent="0.35">
      <c r="B474" s="117">
        <v>219</v>
      </c>
      <c r="C474" s="118"/>
      <c r="D474" s="120">
        <f t="shared" ref="D474" si="868">$D$30</f>
        <v>13.596946499530036</v>
      </c>
      <c r="E474" s="120"/>
      <c r="F474" s="120">
        <f t="shared" ref="F474" si="869">($G$22/12)*J472</f>
        <v>1.9757698774914061</v>
      </c>
      <c r="G474" s="120"/>
      <c r="H474" s="120">
        <f t="shared" ref="H474" si="870">D474-F474</f>
        <v>11.621176622038631</v>
      </c>
      <c r="I474" s="120"/>
      <c r="J474" s="120">
        <f t="shared" ref="J474" si="871">J472-H474</f>
        <v>1019.2152811995646</v>
      </c>
      <c r="K474" s="122"/>
    </row>
    <row r="475" spans="2:11" ht="15" thickBot="1" x14ac:dyDescent="0.35">
      <c r="B475" s="41"/>
      <c r="C475" s="35"/>
      <c r="D475" s="121"/>
      <c r="E475" s="121"/>
      <c r="F475" s="121"/>
      <c r="G475" s="121"/>
      <c r="H475" s="121"/>
      <c r="I475" s="121"/>
      <c r="J475" s="121"/>
      <c r="K475" s="123"/>
    </row>
    <row r="476" spans="2:11" ht="15" thickBot="1" x14ac:dyDescent="0.35">
      <c r="B476" s="117">
        <v>220</v>
      </c>
      <c r="C476" s="118"/>
      <c r="D476" s="120">
        <f t="shared" ref="D476" si="872">$D$30</f>
        <v>13.596946499530036</v>
      </c>
      <c r="E476" s="120"/>
      <c r="F476" s="120">
        <f t="shared" ref="F476" si="873">($G$22/12)*J474</f>
        <v>1.9534959556324987</v>
      </c>
      <c r="G476" s="120"/>
      <c r="H476" s="120">
        <f t="shared" ref="H476" si="874">D476-F476</f>
        <v>11.643450543897536</v>
      </c>
      <c r="I476" s="120"/>
      <c r="J476" s="120">
        <f t="shared" ref="J476" si="875">J474-H476</f>
        <v>1007.5718306556671</v>
      </c>
      <c r="K476" s="122"/>
    </row>
    <row r="477" spans="2:11" ht="15" thickBot="1" x14ac:dyDescent="0.35">
      <c r="B477" s="41"/>
      <c r="C477" s="35"/>
      <c r="D477" s="121"/>
      <c r="E477" s="121"/>
      <c r="F477" s="121"/>
      <c r="G477" s="121"/>
      <c r="H477" s="121"/>
      <c r="I477" s="121"/>
      <c r="J477" s="121"/>
      <c r="K477" s="123"/>
    </row>
    <row r="478" spans="2:11" ht="15" thickBot="1" x14ac:dyDescent="0.35">
      <c r="B478" s="117">
        <v>221</v>
      </c>
      <c r="C478" s="118"/>
      <c r="D478" s="120">
        <f t="shared" ref="D478" si="876">$D$30</f>
        <v>13.596946499530036</v>
      </c>
      <c r="E478" s="120"/>
      <c r="F478" s="120">
        <f t="shared" ref="F478" si="877">($G$22/12)*J476</f>
        <v>1.9311793420900285</v>
      </c>
      <c r="G478" s="120"/>
      <c r="H478" s="120">
        <f t="shared" ref="H478" si="878">D478-F478</f>
        <v>11.665767157440008</v>
      </c>
      <c r="I478" s="120"/>
      <c r="J478" s="120">
        <f t="shared" ref="J478" si="879">J476-H478</f>
        <v>995.90606349822713</v>
      </c>
      <c r="K478" s="122"/>
    </row>
    <row r="479" spans="2:11" ht="15" thickBot="1" x14ac:dyDescent="0.35">
      <c r="B479" s="41"/>
      <c r="C479" s="35"/>
      <c r="D479" s="121"/>
      <c r="E479" s="121"/>
      <c r="F479" s="121"/>
      <c r="G479" s="121"/>
      <c r="H479" s="121"/>
      <c r="I479" s="121"/>
      <c r="J479" s="121"/>
      <c r="K479" s="123"/>
    </row>
    <row r="480" spans="2:11" ht="15" thickBot="1" x14ac:dyDescent="0.35">
      <c r="B480" s="117">
        <v>222</v>
      </c>
      <c r="C480" s="118"/>
      <c r="D480" s="120">
        <f t="shared" ref="D480" si="880">$D$30</f>
        <v>13.596946499530036</v>
      </c>
      <c r="E480" s="120"/>
      <c r="F480" s="120">
        <f t="shared" ref="F480" si="881">($G$22/12)*J478</f>
        <v>1.9088199550382685</v>
      </c>
      <c r="G480" s="120"/>
      <c r="H480" s="120">
        <f t="shared" ref="H480" si="882">D480-F480</f>
        <v>11.688126544491768</v>
      </c>
      <c r="I480" s="120"/>
      <c r="J480" s="120">
        <f t="shared" ref="J480" si="883">J478-H480</f>
        <v>984.21793695373538</v>
      </c>
      <c r="K480" s="122"/>
    </row>
    <row r="481" spans="2:11" ht="15" thickBot="1" x14ac:dyDescent="0.35">
      <c r="B481" s="41"/>
      <c r="C481" s="35"/>
      <c r="D481" s="121"/>
      <c r="E481" s="121"/>
      <c r="F481" s="121"/>
      <c r="G481" s="121"/>
      <c r="H481" s="121"/>
      <c r="I481" s="121"/>
      <c r="J481" s="121"/>
      <c r="K481" s="123"/>
    </row>
    <row r="482" spans="2:11" ht="15" thickBot="1" x14ac:dyDescent="0.35">
      <c r="B482" s="117">
        <v>223</v>
      </c>
      <c r="C482" s="118"/>
      <c r="D482" s="120">
        <f t="shared" ref="D482" si="884">$D$30</f>
        <v>13.596946499530036</v>
      </c>
      <c r="E482" s="120"/>
      <c r="F482" s="120">
        <f t="shared" ref="F482" si="885">($G$22/12)*J480</f>
        <v>1.8864177124946593</v>
      </c>
      <c r="G482" s="120"/>
      <c r="H482" s="120">
        <f t="shared" ref="H482" si="886">D482-F482</f>
        <v>11.710528787035377</v>
      </c>
      <c r="I482" s="120"/>
      <c r="J482" s="120">
        <f t="shared" ref="J482" si="887">J480-H482</f>
        <v>972.50740816669997</v>
      </c>
      <c r="K482" s="122"/>
    </row>
    <row r="483" spans="2:11" ht="15" thickBot="1" x14ac:dyDescent="0.35">
      <c r="B483" s="41"/>
      <c r="C483" s="35"/>
      <c r="D483" s="121"/>
      <c r="E483" s="121"/>
      <c r="F483" s="121"/>
      <c r="G483" s="121"/>
      <c r="H483" s="121"/>
      <c r="I483" s="121"/>
      <c r="J483" s="121"/>
      <c r="K483" s="123"/>
    </row>
    <row r="484" spans="2:11" ht="15" thickBot="1" x14ac:dyDescent="0.35">
      <c r="B484" s="117">
        <v>224</v>
      </c>
      <c r="C484" s="118"/>
      <c r="D484" s="120">
        <f t="shared" ref="D484" si="888">$D$30</f>
        <v>13.596946499530036</v>
      </c>
      <c r="E484" s="120"/>
      <c r="F484" s="120">
        <f t="shared" ref="F484" si="889">($G$22/12)*J482</f>
        <v>1.8639725323195082</v>
      </c>
      <c r="G484" s="120"/>
      <c r="H484" s="120">
        <f t="shared" ref="H484" si="890">D484-F484</f>
        <v>11.732973967210528</v>
      </c>
      <c r="I484" s="120"/>
      <c r="J484" s="120">
        <f t="shared" ref="J484" si="891">J482-H484</f>
        <v>960.77443419948941</v>
      </c>
      <c r="K484" s="122"/>
    </row>
    <row r="485" spans="2:11" ht="15" thickBot="1" x14ac:dyDescent="0.35">
      <c r="B485" s="41"/>
      <c r="C485" s="35"/>
      <c r="D485" s="121"/>
      <c r="E485" s="121"/>
      <c r="F485" s="121"/>
      <c r="G485" s="121"/>
      <c r="H485" s="121"/>
      <c r="I485" s="121"/>
      <c r="J485" s="121"/>
      <c r="K485" s="123"/>
    </row>
    <row r="486" spans="2:11" ht="15" thickBot="1" x14ac:dyDescent="0.35">
      <c r="B486" s="117">
        <v>225</v>
      </c>
      <c r="C486" s="118"/>
      <c r="D486" s="120">
        <f t="shared" ref="D486" si="892">$D$30</f>
        <v>13.596946499530036</v>
      </c>
      <c r="E486" s="120"/>
      <c r="F486" s="120">
        <f t="shared" ref="F486" si="893">($G$22/12)*J484</f>
        <v>1.841484332215688</v>
      </c>
      <c r="G486" s="120"/>
      <c r="H486" s="120">
        <f t="shared" ref="H486" si="894">D486-F486</f>
        <v>11.755462167314349</v>
      </c>
      <c r="I486" s="120"/>
      <c r="J486" s="120">
        <f t="shared" ref="J486" si="895">J484-H486</f>
        <v>949.01897203217504</v>
      </c>
      <c r="K486" s="122"/>
    </row>
    <row r="487" spans="2:11" ht="15" thickBot="1" x14ac:dyDescent="0.35">
      <c r="B487" s="41"/>
      <c r="C487" s="35"/>
      <c r="D487" s="121"/>
      <c r="E487" s="121"/>
      <c r="F487" s="121"/>
      <c r="G487" s="121"/>
      <c r="H487" s="121"/>
      <c r="I487" s="121"/>
      <c r="J487" s="121"/>
      <c r="K487" s="123"/>
    </row>
    <row r="488" spans="2:11" ht="15" thickBot="1" x14ac:dyDescent="0.35">
      <c r="B488" s="117">
        <v>226</v>
      </c>
      <c r="C488" s="118"/>
      <c r="D488" s="120">
        <f t="shared" ref="D488" si="896">$D$30</f>
        <v>13.596946499530036</v>
      </c>
      <c r="E488" s="120"/>
      <c r="F488" s="120">
        <f t="shared" ref="F488" si="897">($G$22/12)*J486</f>
        <v>1.8189530297283354</v>
      </c>
      <c r="G488" s="120"/>
      <c r="H488" s="120">
        <f t="shared" ref="H488" si="898">D488-F488</f>
        <v>11.7779934698017</v>
      </c>
      <c r="I488" s="120"/>
      <c r="J488" s="120">
        <f t="shared" ref="J488" si="899">J486-H488</f>
        <v>937.24097856237336</v>
      </c>
      <c r="K488" s="122"/>
    </row>
    <row r="489" spans="2:11" ht="15" thickBot="1" x14ac:dyDescent="0.35">
      <c r="B489" s="41"/>
      <c r="C489" s="35"/>
      <c r="D489" s="121"/>
      <c r="E489" s="121"/>
      <c r="F489" s="121"/>
      <c r="G489" s="121"/>
      <c r="H489" s="121"/>
      <c r="I489" s="121"/>
      <c r="J489" s="121"/>
      <c r="K489" s="123"/>
    </row>
    <row r="490" spans="2:11" ht="15" thickBot="1" x14ac:dyDescent="0.35">
      <c r="B490" s="117">
        <v>227</v>
      </c>
      <c r="C490" s="118"/>
      <c r="D490" s="120">
        <f t="shared" ref="D490" si="900">$D$30</f>
        <v>13.596946499530036</v>
      </c>
      <c r="E490" s="120"/>
      <c r="F490" s="120">
        <f t="shared" ref="F490" si="901">($G$22/12)*J488</f>
        <v>1.7963785422445488</v>
      </c>
      <c r="G490" s="120"/>
      <c r="H490" s="120">
        <f t="shared" ref="H490" si="902">D490-F490</f>
        <v>11.800567957285487</v>
      </c>
      <c r="I490" s="120"/>
      <c r="J490" s="120">
        <f t="shared" ref="J490" si="903">J488-H490</f>
        <v>925.44041060508789</v>
      </c>
      <c r="K490" s="122"/>
    </row>
    <row r="491" spans="2:11" ht="15" thickBot="1" x14ac:dyDescent="0.35">
      <c r="B491" s="41"/>
      <c r="C491" s="35"/>
      <c r="D491" s="121"/>
      <c r="E491" s="121"/>
      <c r="F491" s="121"/>
      <c r="G491" s="121"/>
      <c r="H491" s="121"/>
      <c r="I491" s="121"/>
      <c r="J491" s="121"/>
      <c r="K491" s="123"/>
    </row>
    <row r="492" spans="2:11" ht="15" thickBot="1" x14ac:dyDescent="0.35">
      <c r="B492" s="117">
        <v>228</v>
      </c>
      <c r="C492" s="118"/>
      <c r="D492" s="120">
        <f t="shared" ref="D492" si="904">$D$30</f>
        <v>13.596946499530036</v>
      </c>
      <c r="E492" s="120"/>
      <c r="F492" s="120">
        <f t="shared" ref="F492" si="905">($G$22/12)*J490</f>
        <v>1.7737607869930849</v>
      </c>
      <c r="G492" s="120"/>
      <c r="H492" s="120">
        <f t="shared" ref="H492" si="906">D492-F492</f>
        <v>11.823185712536951</v>
      </c>
      <c r="I492" s="120"/>
      <c r="J492" s="120">
        <f t="shared" ref="J492" si="907">J490-H492</f>
        <v>913.61722489255089</v>
      </c>
      <c r="K492" s="122"/>
    </row>
    <row r="493" spans="2:11" ht="15" thickBot="1" x14ac:dyDescent="0.35">
      <c r="B493" s="41"/>
      <c r="C493" s="35"/>
      <c r="D493" s="121"/>
      <c r="E493" s="121"/>
      <c r="F493" s="121"/>
      <c r="G493" s="121"/>
      <c r="H493" s="121"/>
      <c r="I493" s="121"/>
      <c r="J493" s="121"/>
      <c r="K493" s="123"/>
    </row>
    <row r="494" spans="2:11" ht="15" thickBot="1" x14ac:dyDescent="0.35">
      <c r="B494" s="117">
        <v>229</v>
      </c>
      <c r="C494" s="118"/>
      <c r="D494" s="120">
        <f t="shared" ref="D494" si="908">$D$30</f>
        <v>13.596946499530036</v>
      </c>
      <c r="E494" s="120"/>
      <c r="F494" s="120">
        <f t="shared" ref="F494" si="909">($G$22/12)*J492</f>
        <v>1.7510996810440558</v>
      </c>
      <c r="G494" s="120"/>
      <c r="H494" s="120">
        <f t="shared" ref="H494" si="910">D494-F494</f>
        <v>11.845846818485981</v>
      </c>
      <c r="I494" s="120"/>
      <c r="J494" s="120">
        <f t="shared" ref="J494" si="911">J492-H494</f>
        <v>901.77137807406496</v>
      </c>
      <c r="K494" s="122"/>
    </row>
    <row r="495" spans="2:11" ht="15" thickBot="1" x14ac:dyDescent="0.35">
      <c r="B495" s="41"/>
      <c r="C495" s="35"/>
      <c r="D495" s="121"/>
      <c r="E495" s="121"/>
      <c r="F495" s="121"/>
      <c r="G495" s="121"/>
      <c r="H495" s="121"/>
      <c r="I495" s="121"/>
      <c r="J495" s="121"/>
      <c r="K495" s="123"/>
    </row>
    <row r="496" spans="2:11" ht="15" thickBot="1" x14ac:dyDescent="0.35">
      <c r="B496" s="117">
        <v>230</v>
      </c>
      <c r="C496" s="118"/>
      <c r="D496" s="120">
        <f t="shared" ref="D496" si="912">$D$30</f>
        <v>13.596946499530036</v>
      </c>
      <c r="E496" s="120"/>
      <c r="F496" s="120">
        <f t="shared" ref="F496" si="913">($G$22/12)*J494</f>
        <v>1.7283951413086245</v>
      </c>
      <c r="G496" s="120"/>
      <c r="H496" s="120">
        <f t="shared" ref="H496" si="914">D496-F496</f>
        <v>11.868551358221412</v>
      </c>
      <c r="I496" s="120"/>
      <c r="J496" s="120">
        <f t="shared" ref="J496" si="915">J494-H496</f>
        <v>889.9028267158435</v>
      </c>
      <c r="K496" s="122"/>
    </row>
    <row r="497" spans="2:11" ht="15" thickBot="1" x14ac:dyDescent="0.35">
      <c r="B497" s="41"/>
      <c r="C497" s="35"/>
      <c r="D497" s="121"/>
      <c r="E497" s="121"/>
      <c r="F497" s="121"/>
      <c r="G497" s="121"/>
      <c r="H497" s="121"/>
      <c r="I497" s="121"/>
      <c r="J497" s="121"/>
      <c r="K497" s="123"/>
    </row>
    <row r="498" spans="2:11" ht="15" thickBot="1" x14ac:dyDescent="0.35">
      <c r="B498" s="117">
        <v>231</v>
      </c>
      <c r="C498" s="118"/>
      <c r="D498" s="120">
        <f t="shared" ref="D498" si="916">$D$30</f>
        <v>13.596946499530036</v>
      </c>
      <c r="E498" s="120"/>
      <c r="F498" s="120">
        <f t="shared" ref="F498" si="917">($G$22/12)*J496</f>
        <v>1.7056470845387</v>
      </c>
      <c r="G498" s="120"/>
      <c r="H498" s="120">
        <f t="shared" ref="H498" si="918">D498-F498</f>
        <v>11.891299414991336</v>
      </c>
      <c r="I498" s="120"/>
      <c r="J498" s="120">
        <f t="shared" ref="J498" si="919">J496-H498</f>
        <v>878.01152730085221</v>
      </c>
      <c r="K498" s="122"/>
    </row>
    <row r="499" spans="2:11" ht="15" thickBot="1" x14ac:dyDescent="0.35">
      <c r="B499" s="41"/>
      <c r="C499" s="35"/>
      <c r="D499" s="121"/>
      <c r="E499" s="121"/>
      <c r="F499" s="121"/>
      <c r="G499" s="121"/>
      <c r="H499" s="121"/>
      <c r="I499" s="121"/>
      <c r="J499" s="121"/>
      <c r="K499" s="123"/>
    </row>
    <row r="500" spans="2:11" ht="15" thickBot="1" x14ac:dyDescent="0.35">
      <c r="B500" s="117">
        <v>232</v>
      </c>
      <c r="C500" s="118"/>
      <c r="D500" s="120">
        <f t="shared" ref="D500" si="920">$D$30</f>
        <v>13.596946499530036</v>
      </c>
      <c r="E500" s="120"/>
      <c r="F500" s="120">
        <f t="shared" ref="F500" si="921">($G$22/12)*J498</f>
        <v>1.6828554273266334</v>
      </c>
      <c r="G500" s="120"/>
      <c r="H500" s="120">
        <f t="shared" ref="H500" si="922">D500-F500</f>
        <v>11.914091072203403</v>
      </c>
      <c r="I500" s="120"/>
      <c r="J500" s="120">
        <f t="shared" ref="J500" si="923">J498-H500</f>
        <v>866.0974362286488</v>
      </c>
      <c r="K500" s="122"/>
    </row>
    <row r="501" spans="2:11" ht="15" thickBot="1" x14ac:dyDescent="0.35">
      <c r="B501" s="41"/>
      <c r="C501" s="35"/>
      <c r="D501" s="121"/>
      <c r="E501" s="121"/>
      <c r="F501" s="121"/>
      <c r="G501" s="121"/>
      <c r="H501" s="121"/>
      <c r="I501" s="121"/>
      <c r="J501" s="121"/>
      <c r="K501" s="123"/>
    </row>
    <row r="502" spans="2:11" ht="15" thickBot="1" x14ac:dyDescent="0.35">
      <c r="B502" s="117">
        <v>233</v>
      </c>
      <c r="C502" s="118"/>
      <c r="D502" s="120">
        <f t="shared" ref="D502" si="924">$D$30</f>
        <v>13.596946499530036</v>
      </c>
      <c r="E502" s="120"/>
      <c r="F502" s="120">
        <f t="shared" ref="F502" si="925">($G$22/12)*J500</f>
        <v>1.6600200861049101</v>
      </c>
      <c r="G502" s="120"/>
      <c r="H502" s="120">
        <f t="shared" ref="H502" si="926">D502-F502</f>
        <v>11.936926413425127</v>
      </c>
      <c r="I502" s="120"/>
      <c r="J502" s="120">
        <f t="shared" ref="J502" si="927">J500-H502</f>
        <v>854.16050981522369</v>
      </c>
      <c r="K502" s="122"/>
    </row>
    <row r="503" spans="2:11" ht="15" thickBot="1" x14ac:dyDescent="0.35">
      <c r="B503" s="41"/>
      <c r="C503" s="35"/>
      <c r="D503" s="121"/>
      <c r="E503" s="121"/>
      <c r="F503" s="121"/>
      <c r="G503" s="121"/>
      <c r="H503" s="121"/>
      <c r="I503" s="121"/>
      <c r="J503" s="121"/>
      <c r="K503" s="123"/>
    </row>
    <row r="504" spans="2:11" ht="15" thickBot="1" x14ac:dyDescent="0.35">
      <c r="B504" s="117">
        <v>234</v>
      </c>
      <c r="C504" s="118"/>
      <c r="D504" s="120">
        <f t="shared" ref="D504" si="928">$D$30</f>
        <v>13.596946499530036</v>
      </c>
      <c r="E504" s="120"/>
      <c r="F504" s="120">
        <f t="shared" ref="F504" si="929">($G$22/12)*J502</f>
        <v>1.6371409771458454</v>
      </c>
      <c r="G504" s="120"/>
      <c r="H504" s="120">
        <f t="shared" ref="H504" si="930">D504-F504</f>
        <v>11.95980552238419</v>
      </c>
      <c r="I504" s="120"/>
      <c r="J504" s="120">
        <f t="shared" ref="J504" si="931">J502-H504</f>
        <v>842.20070429283953</v>
      </c>
      <c r="K504" s="122"/>
    </row>
    <row r="505" spans="2:11" ht="15" thickBot="1" x14ac:dyDescent="0.35">
      <c r="B505" s="41"/>
      <c r="C505" s="35"/>
      <c r="D505" s="121"/>
      <c r="E505" s="121"/>
      <c r="F505" s="121"/>
      <c r="G505" s="121"/>
      <c r="H505" s="121"/>
      <c r="I505" s="121"/>
      <c r="J505" s="121"/>
      <c r="K505" s="123"/>
    </row>
    <row r="506" spans="2:11" ht="15" thickBot="1" x14ac:dyDescent="0.35">
      <c r="B506" s="117">
        <v>235</v>
      </c>
      <c r="C506" s="118"/>
      <c r="D506" s="120">
        <f t="shared" ref="D506" si="932">$D$30</f>
        <v>13.596946499530036</v>
      </c>
      <c r="E506" s="120"/>
      <c r="F506" s="120">
        <f t="shared" ref="F506" si="933">($G$22/12)*J504</f>
        <v>1.6142180165612756</v>
      </c>
      <c r="G506" s="120"/>
      <c r="H506" s="120">
        <f t="shared" ref="H506" si="934">D506-F506</f>
        <v>11.98272848296876</v>
      </c>
      <c r="I506" s="120"/>
      <c r="J506" s="120">
        <f t="shared" ref="J506" si="935">J504-H506</f>
        <v>830.21797580987072</v>
      </c>
      <c r="K506" s="122"/>
    </row>
    <row r="507" spans="2:11" ht="15" thickBot="1" x14ac:dyDescent="0.35">
      <c r="B507" s="41"/>
      <c r="C507" s="35"/>
      <c r="D507" s="121"/>
      <c r="E507" s="121"/>
      <c r="F507" s="121"/>
      <c r="G507" s="121"/>
      <c r="H507" s="121"/>
      <c r="I507" s="121"/>
      <c r="J507" s="121"/>
      <c r="K507" s="123"/>
    </row>
    <row r="508" spans="2:11" ht="15" thickBot="1" x14ac:dyDescent="0.35">
      <c r="B508" s="117">
        <v>236</v>
      </c>
      <c r="C508" s="118"/>
      <c r="D508" s="120">
        <f t="shared" ref="D508" si="936">$D$30</f>
        <v>13.596946499530036</v>
      </c>
      <c r="E508" s="120"/>
      <c r="F508" s="120">
        <f t="shared" ref="F508" si="937">($G$22/12)*J506</f>
        <v>1.5912511203022521</v>
      </c>
      <c r="G508" s="120"/>
      <c r="H508" s="120">
        <f t="shared" ref="H508" si="938">D508-F508</f>
        <v>12.005695379227785</v>
      </c>
      <c r="I508" s="120"/>
      <c r="J508" s="120">
        <f t="shared" ref="J508" si="939">J506-H508</f>
        <v>818.21228043064298</v>
      </c>
      <c r="K508" s="122"/>
    </row>
    <row r="509" spans="2:11" ht="15" thickBot="1" x14ac:dyDescent="0.35">
      <c r="B509" s="41"/>
      <c r="C509" s="35"/>
      <c r="D509" s="121"/>
      <c r="E509" s="121"/>
      <c r="F509" s="121"/>
      <c r="G509" s="121"/>
      <c r="H509" s="121"/>
      <c r="I509" s="121"/>
      <c r="J509" s="121"/>
      <c r="K509" s="123"/>
    </row>
    <row r="510" spans="2:11" ht="15" thickBot="1" x14ac:dyDescent="0.35">
      <c r="B510" s="117">
        <v>237</v>
      </c>
      <c r="C510" s="118"/>
      <c r="D510" s="120">
        <f t="shared" ref="D510" si="940">$D$30</f>
        <v>13.596946499530036</v>
      </c>
      <c r="E510" s="120"/>
      <c r="F510" s="120">
        <f t="shared" ref="F510" si="941">($G$22/12)*J508</f>
        <v>1.5682402041587322</v>
      </c>
      <c r="G510" s="120"/>
      <c r="H510" s="120">
        <f t="shared" ref="H510" si="942">D510-F510</f>
        <v>12.028706295371304</v>
      </c>
      <c r="I510" s="120"/>
      <c r="J510" s="120">
        <f t="shared" ref="J510" si="943">J508-H510</f>
        <v>806.18357413527167</v>
      </c>
      <c r="K510" s="122"/>
    </row>
    <row r="511" spans="2:11" ht="15" thickBot="1" x14ac:dyDescent="0.35">
      <c r="B511" s="41"/>
      <c r="C511" s="35"/>
      <c r="D511" s="121"/>
      <c r="E511" s="121"/>
      <c r="F511" s="121"/>
      <c r="G511" s="121"/>
      <c r="H511" s="121"/>
      <c r="I511" s="121"/>
      <c r="J511" s="121"/>
      <c r="K511" s="123"/>
    </row>
    <row r="512" spans="2:11" ht="15" thickBot="1" x14ac:dyDescent="0.35">
      <c r="B512" s="117">
        <v>238</v>
      </c>
      <c r="C512" s="118"/>
      <c r="D512" s="120">
        <f t="shared" ref="D512" si="944">$D$30</f>
        <v>13.596946499530036</v>
      </c>
      <c r="E512" s="120"/>
      <c r="F512" s="120">
        <f t="shared" ref="F512" si="945">($G$22/12)*J510</f>
        <v>1.5451851837592707</v>
      </c>
      <c r="G512" s="120"/>
      <c r="H512" s="120">
        <f t="shared" ref="H512" si="946">D512-F512</f>
        <v>12.051761315770765</v>
      </c>
      <c r="I512" s="120"/>
      <c r="J512" s="120">
        <f t="shared" ref="J512" si="947">J510-H512</f>
        <v>794.13181281950085</v>
      </c>
      <c r="K512" s="122"/>
    </row>
    <row r="513" spans="2:11" ht="15" thickBot="1" x14ac:dyDescent="0.35">
      <c r="B513" s="41"/>
      <c r="C513" s="35"/>
      <c r="D513" s="121"/>
      <c r="E513" s="121"/>
      <c r="F513" s="121"/>
      <c r="G513" s="121"/>
      <c r="H513" s="121"/>
      <c r="I513" s="121"/>
      <c r="J513" s="121"/>
      <c r="K513" s="123"/>
    </row>
    <row r="514" spans="2:11" ht="15" thickBot="1" x14ac:dyDescent="0.35">
      <c r="B514" s="117">
        <v>239</v>
      </c>
      <c r="C514" s="118"/>
      <c r="D514" s="120">
        <f t="shared" ref="D514" si="948">$D$30</f>
        <v>13.596946499530036</v>
      </c>
      <c r="E514" s="120"/>
      <c r="F514" s="120">
        <f t="shared" ref="F514" si="949">($G$22/12)*J512</f>
        <v>1.5220859745707098</v>
      </c>
      <c r="G514" s="120"/>
      <c r="H514" s="120">
        <f t="shared" ref="H514" si="950">D514-F514</f>
        <v>12.074860524959327</v>
      </c>
      <c r="I514" s="120"/>
      <c r="J514" s="120">
        <f t="shared" ref="J514" si="951">J512-H514</f>
        <v>782.05695229454147</v>
      </c>
      <c r="K514" s="122"/>
    </row>
    <row r="515" spans="2:11" ht="15" thickBot="1" x14ac:dyDescent="0.35">
      <c r="B515" s="41"/>
      <c r="C515" s="35"/>
      <c r="D515" s="121"/>
      <c r="E515" s="121"/>
      <c r="F515" s="121"/>
      <c r="G515" s="121"/>
      <c r="H515" s="121"/>
      <c r="I515" s="121"/>
      <c r="J515" s="121"/>
      <c r="K515" s="123"/>
    </row>
    <row r="516" spans="2:11" ht="15" thickBot="1" x14ac:dyDescent="0.35">
      <c r="B516" s="117">
        <v>240</v>
      </c>
      <c r="C516" s="118"/>
      <c r="D516" s="120">
        <f t="shared" ref="D516" si="952">$D$30</f>
        <v>13.596946499530036</v>
      </c>
      <c r="E516" s="120"/>
      <c r="F516" s="120">
        <f t="shared" ref="F516" si="953">($G$22/12)*J514</f>
        <v>1.4989424918978711</v>
      </c>
      <c r="G516" s="120"/>
      <c r="H516" s="120">
        <f t="shared" ref="H516" si="954">D516-F516</f>
        <v>12.098004007632165</v>
      </c>
      <c r="I516" s="120"/>
      <c r="J516" s="120">
        <f t="shared" ref="J516" si="955">J514-H516</f>
        <v>769.95894828690928</v>
      </c>
      <c r="K516" s="122"/>
    </row>
    <row r="517" spans="2:11" ht="15" thickBot="1" x14ac:dyDescent="0.35">
      <c r="B517" s="41"/>
      <c r="C517" s="35"/>
      <c r="D517" s="121"/>
      <c r="E517" s="121"/>
      <c r="F517" s="121"/>
      <c r="G517" s="121"/>
      <c r="H517" s="121"/>
      <c r="I517" s="121"/>
      <c r="J517" s="121"/>
      <c r="K517" s="123"/>
    </row>
    <row r="518" spans="2:11" ht="15" thickBot="1" x14ac:dyDescent="0.35">
      <c r="B518" s="117">
        <v>241</v>
      </c>
      <c r="C518" s="118"/>
      <c r="D518" s="120">
        <f t="shared" ref="D518" si="956">$D$30</f>
        <v>13.596946499530036</v>
      </c>
      <c r="E518" s="120"/>
      <c r="F518" s="120">
        <f t="shared" ref="F518" si="957">($G$22/12)*J516</f>
        <v>1.4757546508832426</v>
      </c>
      <c r="G518" s="120"/>
      <c r="H518" s="120">
        <f t="shared" ref="H518" si="958">D518-F518</f>
        <v>12.121191848646793</v>
      </c>
      <c r="I518" s="120"/>
      <c r="J518" s="120">
        <f t="shared" ref="J518" si="959">J516-H518</f>
        <v>757.83775643826243</v>
      </c>
      <c r="K518" s="122"/>
    </row>
    <row r="519" spans="2:11" ht="15" thickBot="1" x14ac:dyDescent="0.35">
      <c r="B519" s="41"/>
      <c r="C519" s="35"/>
      <c r="D519" s="121"/>
      <c r="E519" s="121"/>
      <c r="F519" s="121"/>
      <c r="G519" s="121"/>
      <c r="H519" s="121"/>
      <c r="I519" s="121"/>
      <c r="J519" s="121"/>
      <c r="K519" s="123"/>
    </row>
    <row r="520" spans="2:11" ht="15" thickBot="1" x14ac:dyDescent="0.35">
      <c r="B520" s="117">
        <v>242</v>
      </c>
      <c r="C520" s="118"/>
      <c r="D520" s="120">
        <f t="shared" ref="D520" si="960">$D$30</f>
        <v>13.596946499530036</v>
      </c>
      <c r="E520" s="120"/>
      <c r="F520" s="120">
        <f t="shared" ref="F520" si="961">($G$22/12)*J518</f>
        <v>1.4525223665066695</v>
      </c>
      <c r="G520" s="120"/>
      <c r="H520" s="120">
        <f t="shared" ref="H520" si="962">D520-F520</f>
        <v>12.144424133023367</v>
      </c>
      <c r="I520" s="120"/>
      <c r="J520" s="120">
        <f t="shared" ref="J520" si="963">J518-H520</f>
        <v>745.6933323052391</v>
      </c>
      <c r="K520" s="122"/>
    </row>
    <row r="521" spans="2:11" ht="15" thickBot="1" x14ac:dyDescent="0.35">
      <c r="B521" s="41"/>
      <c r="C521" s="35"/>
      <c r="D521" s="121"/>
      <c r="E521" s="121"/>
      <c r="F521" s="121"/>
      <c r="G521" s="121"/>
      <c r="H521" s="121"/>
      <c r="I521" s="121"/>
      <c r="J521" s="121"/>
      <c r="K521" s="123"/>
    </row>
    <row r="522" spans="2:11" ht="15" thickBot="1" x14ac:dyDescent="0.35">
      <c r="B522" s="117">
        <v>243</v>
      </c>
      <c r="C522" s="118"/>
      <c r="D522" s="120">
        <f t="shared" ref="D522" si="964">$D$30</f>
        <v>13.596946499530036</v>
      </c>
      <c r="E522" s="120"/>
      <c r="F522" s="120">
        <f t="shared" ref="F522" si="965">($G$22/12)*J520</f>
        <v>1.4292455535850415</v>
      </c>
      <c r="G522" s="120"/>
      <c r="H522" s="120">
        <f t="shared" ref="H522" si="966">D522-F522</f>
        <v>12.167700945944995</v>
      </c>
      <c r="I522" s="120"/>
      <c r="J522" s="120">
        <f t="shared" ref="J522" si="967">J520-H522</f>
        <v>733.52563135929415</v>
      </c>
      <c r="K522" s="122"/>
    </row>
    <row r="523" spans="2:11" ht="15" thickBot="1" x14ac:dyDescent="0.35">
      <c r="B523" s="41"/>
      <c r="C523" s="35"/>
      <c r="D523" s="121"/>
      <c r="E523" s="121"/>
      <c r="F523" s="121"/>
      <c r="G523" s="121"/>
      <c r="H523" s="121"/>
      <c r="I523" s="121"/>
      <c r="J523" s="121"/>
      <c r="K523" s="123"/>
    </row>
    <row r="524" spans="2:11" ht="15" thickBot="1" x14ac:dyDescent="0.35">
      <c r="B524" s="117">
        <v>244</v>
      </c>
      <c r="C524" s="118"/>
      <c r="D524" s="120">
        <f t="shared" ref="D524" si="968">$D$30</f>
        <v>13.596946499530036</v>
      </c>
      <c r="E524" s="120"/>
      <c r="F524" s="120">
        <f t="shared" ref="F524" si="969">($G$22/12)*J522</f>
        <v>1.4059241267719804</v>
      </c>
      <c r="G524" s="120"/>
      <c r="H524" s="120">
        <f t="shared" ref="H524" si="970">D524-F524</f>
        <v>12.191022372758056</v>
      </c>
      <c r="I524" s="120"/>
      <c r="J524" s="120">
        <f t="shared" ref="J524" si="971">J522-H524</f>
        <v>721.33460898653607</v>
      </c>
      <c r="K524" s="122"/>
    </row>
    <row r="525" spans="2:11" ht="15" thickBot="1" x14ac:dyDescent="0.35">
      <c r="B525" s="41"/>
      <c r="C525" s="35"/>
      <c r="D525" s="121"/>
      <c r="E525" s="121"/>
      <c r="F525" s="121"/>
      <c r="G525" s="121"/>
      <c r="H525" s="121"/>
      <c r="I525" s="121"/>
      <c r="J525" s="121"/>
      <c r="K525" s="123"/>
    </row>
    <row r="526" spans="2:11" ht="15" thickBot="1" x14ac:dyDescent="0.35">
      <c r="B526" s="117">
        <v>245</v>
      </c>
      <c r="C526" s="118"/>
      <c r="D526" s="120">
        <f t="shared" ref="D526" si="972">$D$30</f>
        <v>13.596946499530036</v>
      </c>
      <c r="E526" s="120"/>
      <c r="F526" s="120">
        <f t="shared" ref="F526" si="973">($G$22/12)*J524</f>
        <v>1.3825580005575273</v>
      </c>
      <c r="G526" s="120"/>
      <c r="H526" s="120">
        <f t="shared" ref="H526" si="974">D526-F526</f>
        <v>12.214388498972509</v>
      </c>
      <c r="I526" s="120"/>
      <c r="J526" s="120">
        <f t="shared" ref="J526" si="975">J524-H526</f>
        <v>709.12022048756353</v>
      </c>
      <c r="K526" s="122"/>
    </row>
    <row r="527" spans="2:11" ht="15" thickBot="1" x14ac:dyDescent="0.35">
      <c r="B527" s="41"/>
      <c r="C527" s="35"/>
      <c r="D527" s="121"/>
      <c r="E527" s="121"/>
      <c r="F527" s="121"/>
      <c r="G527" s="121"/>
      <c r="H527" s="121"/>
      <c r="I527" s="121"/>
      <c r="J527" s="121"/>
      <c r="K527" s="123"/>
    </row>
    <row r="528" spans="2:11" ht="15" thickBot="1" x14ac:dyDescent="0.35">
      <c r="B528" s="117">
        <v>246</v>
      </c>
      <c r="C528" s="118"/>
      <c r="D528" s="120">
        <f t="shared" ref="D528" si="976">$D$30</f>
        <v>13.596946499530036</v>
      </c>
      <c r="E528" s="120"/>
      <c r="F528" s="120">
        <f t="shared" ref="F528" si="977">($G$22/12)*J526</f>
        <v>1.3591470892678301</v>
      </c>
      <c r="G528" s="120"/>
      <c r="H528" s="120">
        <f t="shared" ref="H528" si="978">D528-F528</f>
        <v>12.237799410262205</v>
      </c>
      <c r="I528" s="120"/>
      <c r="J528" s="120">
        <f t="shared" ref="J528" si="979">J526-H528</f>
        <v>696.88242107730127</v>
      </c>
      <c r="K528" s="122"/>
    </row>
    <row r="529" spans="2:11" ht="15" thickBot="1" x14ac:dyDescent="0.35">
      <c r="B529" s="41"/>
      <c r="C529" s="35"/>
      <c r="D529" s="121"/>
      <c r="E529" s="121"/>
      <c r="F529" s="121"/>
      <c r="G529" s="121"/>
      <c r="H529" s="121"/>
      <c r="I529" s="121"/>
      <c r="J529" s="121"/>
      <c r="K529" s="123"/>
    </row>
    <row r="530" spans="2:11" ht="15" thickBot="1" x14ac:dyDescent="0.35">
      <c r="B530" s="117">
        <v>247</v>
      </c>
      <c r="C530" s="118"/>
      <c r="D530" s="120">
        <f t="shared" ref="D530" si="980">$D$30</f>
        <v>13.596946499530036</v>
      </c>
      <c r="E530" s="120"/>
      <c r="F530" s="120">
        <f t="shared" ref="F530" si="981">($G$22/12)*J528</f>
        <v>1.3356913070648273</v>
      </c>
      <c r="G530" s="120"/>
      <c r="H530" s="120">
        <f t="shared" ref="H530" si="982">D530-F530</f>
        <v>12.261255192465208</v>
      </c>
      <c r="I530" s="120"/>
      <c r="J530" s="120">
        <f t="shared" ref="J530" si="983">J528-H530</f>
        <v>684.62116588483605</v>
      </c>
      <c r="K530" s="122"/>
    </row>
    <row r="531" spans="2:11" ht="15" thickBot="1" x14ac:dyDescent="0.35">
      <c r="B531" s="41"/>
      <c r="C531" s="35"/>
      <c r="D531" s="121"/>
      <c r="E531" s="121"/>
      <c r="F531" s="121"/>
      <c r="G531" s="121"/>
      <c r="H531" s="121"/>
      <c r="I531" s="121"/>
      <c r="J531" s="121"/>
      <c r="K531" s="123"/>
    </row>
    <row r="532" spans="2:11" ht="15" thickBot="1" x14ac:dyDescent="0.35">
      <c r="B532" s="117">
        <v>248</v>
      </c>
      <c r="C532" s="118"/>
      <c r="D532" s="120">
        <f t="shared" ref="D532" si="984">$D$30</f>
        <v>13.596946499530036</v>
      </c>
      <c r="E532" s="120"/>
      <c r="F532" s="120">
        <f t="shared" ref="F532" si="985">($G$22/12)*J530</f>
        <v>1.3121905679459356</v>
      </c>
      <c r="G532" s="120"/>
      <c r="H532" s="120">
        <f t="shared" ref="H532" si="986">D532-F532</f>
        <v>12.284755931584101</v>
      </c>
      <c r="I532" s="120"/>
      <c r="J532" s="120">
        <f t="shared" ref="J532" si="987">J530-H532</f>
        <v>672.33640995325197</v>
      </c>
      <c r="K532" s="122"/>
    </row>
    <row r="533" spans="2:11" ht="15" thickBot="1" x14ac:dyDescent="0.35">
      <c r="B533" s="41"/>
      <c r="C533" s="35"/>
      <c r="D533" s="121"/>
      <c r="E533" s="121"/>
      <c r="F533" s="121"/>
      <c r="G533" s="121"/>
      <c r="H533" s="121"/>
      <c r="I533" s="121"/>
      <c r="J533" s="121"/>
      <c r="K533" s="123"/>
    </row>
    <row r="534" spans="2:11" ht="15" thickBot="1" x14ac:dyDescent="0.35">
      <c r="B534" s="117">
        <v>249</v>
      </c>
      <c r="C534" s="118"/>
      <c r="D534" s="120">
        <f t="shared" ref="D534" si="988">$D$30</f>
        <v>13.596946499530036</v>
      </c>
      <c r="E534" s="120"/>
      <c r="F534" s="120">
        <f t="shared" ref="F534" si="989">($G$22/12)*J532</f>
        <v>1.2886447857437329</v>
      </c>
      <c r="G534" s="120"/>
      <c r="H534" s="120">
        <f t="shared" ref="H534" si="990">D534-F534</f>
        <v>12.308301713786303</v>
      </c>
      <c r="I534" s="120"/>
      <c r="J534" s="120">
        <f t="shared" ref="J534" si="991">J532-H534</f>
        <v>660.02810823946572</v>
      </c>
      <c r="K534" s="122"/>
    </row>
    <row r="535" spans="2:11" ht="15" thickBot="1" x14ac:dyDescent="0.35">
      <c r="B535" s="41"/>
      <c r="C535" s="35"/>
      <c r="D535" s="121"/>
      <c r="E535" s="121"/>
      <c r="F535" s="121"/>
      <c r="G535" s="121"/>
      <c r="H535" s="121"/>
      <c r="I535" s="121"/>
      <c r="J535" s="121"/>
      <c r="K535" s="123"/>
    </row>
    <row r="536" spans="2:11" ht="15" thickBot="1" x14ac:dyDescent="0.35">
      <c r="B536" s="117">
        <v>250</v>
      </c>
      <c r="C536" s="118"/>
      <c r="D536" s="120">
        <f t="shared" ref="D536" si="992">$D$30</f>
        <v>13.596946499530036</v>
      </c>
      <c r="E536" s="120"/>
      <c r="F536" s="120">
        <f t="shared" ref="F536" si="993">($G$22/12)*J534</f>
        <v>1.2650538741256425</v>
      </c>
      <c r="G536" s="120"/>
      <c r="H536" s="120">
        <f t="shared" ref="H536" si="994">D536-F536</f>
        <v>12.331892625404393</v>
      </c>
      <c r="I536" s="120"/>
      <c r="J536" s="120">
        <f t="shared" ref="J536" si="995">J534-H536</f>
        <v>647.69621561406132</v>
      </c>
      <c r="K536" s="122"/>
    </row>
    <row r="537" spans="2:11" ht="15" thickBot="1" x14ac:dyDescent="0.35">
      <c r="B537" s="41"/>
      <c r="C537" s="35"/>
      <c r="D537" s="121"/>
      <c r="E537" s="121"/>
      <c r="F537" s="121"/>
      <c r="G537" s="121"/>
      <c r="H537" s="121"/>
      <c r="I537" s="121"/>
      <c r="J537" s="121"/>
      <c r="K537" s="123"/>
    </row>
    <row r="538" spans="2:11" ht="15" thickBot="1" x14ac:dyDescent="0.35">
      <c r="B538" s="117">
        <v>251</v>
      </c>
      <c r="C538" s="118"/>
      <c r="D538" s="120">
        <f t="shared" ref="D538" si="996">$D$30</f>
        <v>13.596946499530036</v>
      </c>
      <c r="E538" s="120"/>
      <c r="F538" s="120">
        <f t="shared" ref="F538" si="997">($G$22/12)*J536</f>
        <v>1.2414177465936174</v>
      </c>
      <c r="G538" s="120"/>
      <c r="H538" s="120">
        <f t="shared" ref="H538" si="998">D538-F538</f>
        <v>12.355528752936419</v>
      </c>
      <c r="I538" s="120"/>
      <c r="J538" s="120">
        <f t="shared" ref="J538" si="999">J536-H538</f>
        <v>635.34068686112494</v>
      </c>
      <c r="K538" s="122"/>
    </row>
    <row r="539" spans="2:11" ht="15" thickBot="1" x14ac:dyDescent="0.35">
      <c r="B539" s="41"/>
      <c r="C539" s="35"/>
      <c r="D539" s="121"/>
      <c r="E539" s="121"/>
      <c r="F539" s="121"/>
      <c r="G539" s="121"/>
      <c r="H539" s="121"/>
      <c r="I539" s="121"/>
      <c r="J539" s="121"/>
      <c r="K539" s="123"/>
    </row>
    <row r="540" spans="2:11" ht="15" thickBot="1" x14ac:dyDescent="0.35">
      <c r="B540" s="117">
        <v>252</v>
      </c>
      <c r="C540" s="118"/>
      <c r="D540" s="120">
        <f t="shared" ref="D540" si="1000">$D$30</f>
        <v>13.596946499530036</v>
      </c>
      <c r="E540" s="120"/>
      <c r="F540" s="120">
        <f t="shared" ref="F540" si="1001">($G$22/12)*J538</f>
        <v>1.2177363164838226</v>
      </c>
      <c r="G540" s="120"/>
      <c r="H540" s="120">
        <f t="shared" ref="H540" si="1002">D540-F540</f>
        <v>12.379210183046213</v>
      </c>
      <c r="I540" s="120"/>
      <c r="J540" s="120">
        <f t="shared" ref="J540" si="1003">J538-H540</f>
        <v>622.96147667807872</v>
      </c>
      <c r="K540" s="122"/>
    </row>
    <row r="541" spans="2:11" ht="15" thickBot="1" x14ac:dyDescent="0.35">
      <c r="B541" s="41"/>
      <c r="C541" s="35"/>
      <c r="D541" s="121"/>
      <c r="E541" s="121"/>
      <c r="F541" s="121"/>
      <c r="G541" s="121"/>
      <c r="H541" s="121"/>
      <c r="I541" s="121"/>
      <c r="J541" s="121"/>
      <c r="K541" s="123"/>
    </row>
    <row r="542" spans="2:11" ht="15" thickBot="1" x14ac:dyDescent="0.35">
      <c r="B542" s="117">
        <v>253</v>
      </c>
      <c r="C542" s="118"/>
      <c r="D542" s="120">
        <f t="shared" ref="D542" si="1004">$D$30</f>
        <v>13.596946499530036</v>
      </c>
      <c r="E542" s="120"/>
      <c r="F542" s="120">
        <f t="shared" ref="F542" si="1005">($G$22/12)*J540</f>
        <v>1.1940094969663175</v>
      </c>
      <c r="G542" s="120"/>
      <c r="H542" s="120">
        <f t="shared" ref="H542" si="1006">D542-F542</f>
        <v>12.402937002563718</v>
      </c>
      <c r="I542" s="120"/>
      <c r="J542" s="120">
        <f t="shared" ref="J542" si="1007">J540-H542</f>
        <v>610.55853967551502</v>
      </c>
      <c r="K542" s="122"/>
    </row>
    <row r="543" spans="2:11" ht="15" thickBot="1" x14ac:dyDescent="0.35">
      <c r="B543" s="41"/>
      <c r="C543" s="35"/>
      <c r="D543" s="121"/>
      <c r="E543" s="121"/>
      <c r="F543" s="121"/>
      <c r="G543" s="121"/>
      <c r="H543" s="121"/>
      <c r="I543" s="121"/>
      <c r="J543" s="121"/>
      <c r="K543" s="123"/>
    </row>
    <row r="544" spans="2:11" ht="15" thickBot="1" x14ac:dyDescent="0.35">
      <c r="B544" s="117">
        <v>254</v>
      </c>
      <c r="C544" s="118"/>
      <c r="D544" s="120">
        <f t="shared" ref="D544" si="1008">$D$30</f>
        <v>13.596946499530036</v>
      </c>
      <c r="E544" s="120"/>
      <c r="F544" s="120">
        <f t="shared" ref="F544" si="1009">($G$22/12)*J542</f>
        <v>1.1702372010447371</v>
      </c>
      <c r="G544" s="120"/>
      <c r="H544" s="120">
        <f t="shared" ref="H544" si="1010">D544-F544</f>
        <v>12.426709298485299</v>
      </c>
      <c r="I544" s="120"/>
      <c r="J544" s="120">
        <f t="shared" ref="J544" si="1011">J542-H544</f>
        <v>598.1318303770297</v>
      </c>
      <c r="K544" s="122"/>
    </row>
    <row r="545" spans="2:11" ht="15" thickBot="1" x14ac:dyDescent="0.35">
      <c r="B545" s="41"/>
      <c r="C545" s="35"/>
      <c r="D545" s="121"/>
      <c r="E545" s="121"/>
      <c r="F545" s="121"/>
      <c r="G545" s="121"/>
      <c r="H545" s="121"/>
      <c r="I545" s="121"/>
      <c r="J545" s="121"/>
      <c r="K545" s="123"/>
    </row>
    <row r="546" spans="2:11" ht="15" thickBot="1" x14ac:dyDescent="0.35">
      <c r="B546" s="117">
        <v>255</v>
      </c>
      <c r="C546" s="118"/>
      <c r="D546" s="120">
        <f t="shared" ref="D546" si="1012">$D$30</f>
        <v>13.596946499530036</v>
      </c>
      <c r="E546" s="120"/>
      <c r="F546" s="120">
        <f t="shared" ref="F546" si="1013">($G$22/12)*J544</f>
        <v>1.1464193415559736</v>
      </c>
      <c r="G546" s="120"/>
      <c r="H546" s="120">
        <f t="shared" ref="H546" si="1014">D546-F546</f>
        <v>12.450527157974062</v>
      </c>
      <c r="I546" s="120"/>
      <c r="J546" s="120">
        <f t="shared" ref="J546" si="1015">J544-H546</f>
        <v>585.68130321905562</v>
      </c>
      <c r="K546" s="122"/>
    </row>
    <row r="547" spans="2:11" ht="15" thickBot="1" x14ac:dyDescent="0.35">
      <c r="B547" s="41"/>
      <c r="C547" s="35"/>
      <c r="D547" s="121"/>
      <c r="E547" s="121"/>
      <c r="F547" s="121"/>
      <c r="G547" s="121"/>
      <c r="H547" s="121"/>
      <c r="I547" s="121"/>
      <c r="J547" s="121"/>
      <c r="K547" s="123"/>
    </row>
    <row r="548" spans="2:11" ht="15" thickBot="1" x14ac:dyDescent="0.35">
      <c r="B548" s="117">
        <v>256</v>
      </c>
      <c r="C548" s="118"/>
      <c r="D548" s="120">
        <f t="shared" ref="D548" si="1016">$D$30</f>
        <v>13.596946499530036</v>
      </c>
      <c r="E548" s="120"/>
      <c r="F548" s="120">
        <f t="shared" ref="F548" si="1017">($G$22/12)*J546</f>
        <v>1.1225558311698565</v>
      </c>
      <c r="G548" s="120"/>
      <c r="H548" s="120">
        <f t="shared" ref="H548" si="1018">D548-F548</f>
        <v>12.474390668360179</v>
      </c>
      <c r="I548" s="120"/>
      <c r="J548" s="120">
        <f t="shared" ref="J548" si="1019">J546-H548</f>
        <v>573.20691255069539</v>
      </c>
      <c r="K548" s="122"/>
    </row>
    <row r="549" spans="2:11" ht="15" thickBot="1" x14ac:dyDescent="0.35">
      <c r="B549" s="41"/>
      <c r="C549" s="35"/>
      <c r="D549" s="121"/>
      <c r="E549" s="121"/>
      <c r="F549" s="121"/>
      <c r="G549" s="121"/>
      <c r="H549" s="121"/>
      <c r="I549" s="121"/>
      <c r="J549" s="121"/>
      <c r="K549" s="123"/>
    </row>
    <row r="550" spans="2:11" ht="15" thickBot="1" x14ac:dyDescent="0.35">
      <c r="B550" s="117">
        <v>257</v>
      </c>
      <c r="C550" s="118"/>
      <c r="D550" s="120">
        <f t="shared" ref="D550" si="1020">$D$30</f>
        <v>13.596946499530036</v>
      </c>
      <c r="E550" s="120"/>
      <c r="F550" s="120">
        <f t="shared" ref="F550" si="1021">($G$22/12)*J548</f>
        <v>1.0986465823888327</v>
      </c>
      <c r="G550" s="120"/>
      <c r="H550" s="120">
        <f t="shared" ref="H550" si="1022">D550-F550</f>
        <v>12.498299917141203</v>
      </c>
      <c r="I550" s="120"/>
      <c r="J550" s="120">
        <f t="shared" ref="J550" si="1023">J548-H550</f>
        <v>560.70861263355414</v>
      </c>
      <c r="K550" s="122"/>
    </row>
    <row r="551" spans="2:11" ht="15" thickBot="1" x14ac:dyDescent="0.35">
      <c r="B551" s="41"/>
      <c r="C551" s="35"/>
      <c r="D551" s="121"/>
      <c r="E551" s="121"/>
      <c r="F551" s="121"/>
      <c r="G551" s="121"/>
      <c r="H551" s="121"/>
      <c r="I551" s="121"/>
      <c r="J551" s="121"/>
      <c r="K551" s="123"/>
    </row>
    <row r="552" spans="2:11" ht="15" thickBot="1" x14ac:dyDescent="0.35">
      <c r="B552" s="117">
        <v>258</v>
      </c>
      <c r="C552" s="118"/>
      <c r="D552" s="120">
        <f t="shared" ref="D552" si="1024">$D$30</f>
        <v>13.596946499530036</v>
      </c>
      <c r="E552" s="120"/>
      <c r="F552" s="120">
        <f t="shared" ref="F552" si="1025">($G$22/12)*J550</f>
        <v>1.0746915075476453</v>
      </c>
      <c r="G552" s="120"/>
      <c r="H552" s="120">
        <f t="shared" ref="H552" si="1026">D552-F552</f>
        <v>12.52225499198239</v>
      </c>
      <c r="I552" s="120"/>
      <c r="J552" s="120">
        <f t="shared" ref="J552" si="1027">J550-H552</f>
        <v>548.1863576415717</v>
      </c>
      <c r="K552" s="122"/>
    </row>
    <row r="553" spans="2:11" ht="15" thickBot="1" x14ac:dyDescent="0.35">
      <c r="B553" s="41"/>
      <c r="C553" s="35"/>
      <c r="D553" s="121"/>
      <c r="E553" s="121"/>
      <c r="F553" s="121"/>
      <c r="G553" s="121"/>
      <c r="H553" s="121"/>
      <c r="I553" s="121"/>
      <c r="J553" s="121"/>
      <c r="K553" s="123"/>
    </row>
    <row r="554" spans="2:11" ht="15" thickBot="1" x14ac:dyDescent="0.35">
      <c r="B554" s="117">
        <v>259</v>
      </c>
      <c r="C554" s="118"/>
      <c r="D554" s="120">
        <f t="shared" ref="D554" si="1028">$D$30</f>
        <v>13.596946499530036</v>
      </c>
      <c r="E554" s="120"/>
      <c r="F554" s="120">
        <f t="shared" ref="F554" si="1029">($G$22/12)*J552</f>
        <v>1.0506905188130125</v>
      </c>
      <c r="G554" s="120"/>
      <c r="H554" s="120">
        <f t="shared" ref="H554" si="1030">D554-F554</f>
        <v>12.546255980717024</v>
      </c>
      <c r="I554" s="120"/>
      <c r="J554" s="120">
        <f t="shared" ref="J554" si="1031">J552-H554</f>
        <v>535.64010166085473</v>
      </c>
      <c r="K554" s="122"/>
    </row>
    <row r="555" spans="2:11" ht="15" thickBot="1" x14ac:dyDescent="0.35">
      <c r="B555" s="41"/>
      <c r="C555" s="35"/>
      <c r="D555" s="121"/>
      <c r="E555" s="121"/>
      <c r="F555" s="121"/>
      <c r="G555" s="121"/>
      <c r="H555" s="121"/>
      <c r="I555" s="121"/>
      <c r="J555" s="121"/>
      <c r="K555" s="123"/>
    </row>
    <row r="556" spans="2:11" ht="15" thickBot="1" x14ac:dyDescent="0.35">
      <c r="B556" s="117">
        <v>260</v>
      </c>
      <c r="C556" s="118"/>
      <c r="D556" s="120">
        <f t="shared" ref="D556" si="1032">$D$30</f>
        <v>13.596946499530036</v>
      </c>
      <c r="E556" s="120"/>
      <c r="F556" s="120">
        <f t="shared" ref="F556" si="1033">($G$22/12)*J554</f>
        <v>1.0266435281833048</v>
      </c>
      <c r="G556" s="120"/>
      <c r="H556" s="120">
        <f t="shared" ref="H556" si="1034">D556-F556</f>
        <v>12.570302971346731</v>
      </c>
      <c r="I556" s="120"/>
      <c r="J556" s="120">
        <f t="shared" ref="J556" si="1035">J554-H556</f>
        <v>523.06979868950805</v>
      </c>
      <c r="K556" s="122"/>
    </row>
    <row r="557" spans="2:11" ht="15" thickBot="1" x14ac:dyDescent="0.35">
      <c r="B557" s="41"/>
      <c r="C557" s="35"/>
      <c r="D557" s="121"/>
      <c r="E557" s="121"/>
      <c r="F557" s="121"/>
      <c r="G557" s="121"/>
      <c r="H557" s="121"/>
      <c r="I557" s="121"/>
      <c r="J557" s="121"/>
      <c r="K557" s="123"/>
    </row>
    <row r="558" spans="2:11" ht="15" thickBot="1" x14ac:dyDescent="0.35">
      <c r="B558" s="117">
        <v>261</v>
      </c>
      <c r="C558" s="118"/>
      <c r="D558" s="120">
        <f t="shared" ref="D558" si="1036">$D$30</f>
        <v>13.596946499530036</v>
      </c>
      <c r="E558" s="120"/>
      <c r="F558" s="120">
        <f t="shared" ref="F558" si="1037">($G$22/12)*J556</f>
        <v>1.0025504474882236</v>
      </c>
      <c r="G558" s="120"/>
      <c r="H558" s="120">
        <f t="shared" ref="H558" si="1038">D558-F558</f>
        <v>12.594396052041812</v>
      </c>
      <c r="I558" s="120"/>
      <c r="J558" s="120">
        <f t="shared" ref="J558" si="1039">J556-H558</f>
        <v>510.47540263746623</v>
      </c>
      <c r="K558" s="122"/>
    </row>
    <row r="559" spans="2:11" ht="15" thickBot="1" x14ac:dyDescent="0.35">
      <c r="B559" s="41"/>
      <c r="C559" s="35"/>
      <c r="D559" s="121"/>
      <c r="E559" s="121"/>
      <c r="F559" s="121"/>
      <c r="G559" s="121"/>
      <c r="H559" s="121"/>
      <c r="I559" s="121"/>
      <c r="J559" s="121"/>
      <c r="K559" s="123"/>
    </row>
    <row r="560" spans="2:11" ht="15" thickBot="1" x14ac:dyDescent="0.35">
      <c r="B560" s="117">
        <v>262</v>
      </c>
      <c r="C560" s="118"/>
      <c r="D560" s="120">
        <f t="shared" ref="D560" si="1040">$D$30</f>
        <v>13.596946499530036</v>
      </c>
      <c r="E560" s="120"/>
      <c r="F560" s="120">
        <f t="shared" ref="F560" si="1041">($G$22/12)*J558</f>
        <v>0.97841118838847685</v>
      </c>
      <c r="G560" s="120"/>
      <c r="H560" s="120">
        <f t="shared" ref="H560" si="1042">D560-F560</f>
        <v>12.618535311141558</v>
      </c>
      <c r="I560" s="120"/>
      <c r="J560" s="120">
        <f t="shared" ref="J560" si="1043">J558-H560</f>
        <v>497.85686732632468</v>
      </c>
      <c r="K560" s="122"/>
    </row>
    <row r="561" spans="2:11" ht="15" thickBot="1" x14ac:dyDescent="0.35">
      <c r="B561" s="41"/>
      <c r="C561" s="35"/>
      <c r="D561" s="121"/>
      <c r="E561" s="121"/>
      <c r="F561" s="121"/>
      <c r="G561" s="121"/>
      <c r="H561" s="121"/>
      <c r="I561" s="121"/>
      <c r="J561" s="121"/>
      <c r="K561" s="123"/>
    </row>
    <row r="562" spans="2:11" ht="15" thickBot="1" x14ac:dyDescent="0.35">
      <c r="B562" s="117">
        <v>263</v>
      </c>
      <c r="C562" s="118"/>
      <c r="D562" s="120">
        <f t="shared" ref="D562" si="1044">$D$30</f>
        <v>13.596946499530036</v>
      </c>
      <c r="E562" s="120"/>
      <c r="F562" s="120">
        <f t="shared" ref="F562" si="1045">($G$22/12)*J560</f>
        <v>0.95422566237545559</v>
      </c>
      <c r="G562" s="120"/>
      <c r="H562" s="120">
        <f t="shared" ref="H562" si="1046">D562-F562</f>
        <v>12.642720837154581</v>
      </c>
      <c r="I562" s="120"/>
      <c r="J562" s="120">
        <f t="shared" ref="J562" si="1047">J560-H562</f>
        <v>485.2141464891701</v>
      </c>
      <c r="K562" s="122"/>
    </row>
    <row r="563" spans="2:11" ht="15" thickBot="1" x14ac:dyDescent="0.35">
      <c r="B563" s="41"/>
      <c r="C563" s="35"/>
      <c r="D563" s="121"/>
      <c r="E563" s="121"/>
      <c r="F563" s="121"/>
      <c r="G563" s="121"/>
      <c r="H563" s="121"/>
      <c r="I563" s="121"/>
      <c r="J563" s="121"/>
      <c r="K563" s="123"/>
    </row>
    <row r="564" spans="2:11" ht="15" thickBot="1" x14ac:dyDescent="0.35">
      <c r="B564" s="117">
        <v>264</v>
      </c>
      <c r="C564" s="118"/>
      <c r="D564" s="120">
        <f t="shared" ref="D564" si="1048">$D$30</f>
        <v>13.596946499530036</v>
      </c>
      <c r="E564" s="120"/>
      <c r="F564" s="120">
        <f t="shared" ref="F564" si="1049">($G$22/12)*J562</f>
        <v>0.92999378077090933</v>
      </c>
      <c r="G564" s="120"/>
      <c r="H564" s="120">
        <f t="shared" ref="H564" si="1050">D564-F564</f>
        <v>12.666952718759127</v>
      </c>
      <c r="I564" s="120"/>
      <c r="J564" s="120">
        <f t="shared" ref="J564" si="1051">J562-H564</f>
        <v>472.54719377041096</v>
      </c>
      <c r="K564" s="122"/>
    </row>
    <row r="565" spans="2:11" ht="15" thickBot="1" x14ac:dyDescent="0.35">
      <c r="B565" s="41"/>
      <c r="C565" s="35"/>
      <c r="D565" s="121"/>
      <c r="E565" s="121"/>
      <c r="F565" s="121"/>
      <c r="G565" s="121"/>
      <c r="H565" s="121"/>
      <c r="I565" s="121"/>
      <c r="J565" s="121"/>
      <c r="K565" s="123"/>
    </row>
    <row r="566" spans="2:11" ht="15" thickBot="1" x14ac:dyDescent="0.35">
      <c r="B566" s="117">
        <v>265</v>
      </c>
      <c r="C566" s="118"/>
      <c r="D566" s="120">
        <f t="shared" ref="D566" si="1052">$D$30</f>
        <v>13.596946499530036</v>
      </c>
      <c r="E566" s="120"/>
      <c r="F566" s="120">
        <f t="shared" ref="F566" si="1053">($G$22/12)*J564</f>
        <v>0.90571545472662096</v>
      </c>
      <c r="G566" s="120"/>
      <c r="H566" s="120">
        <f t="shared" ref="H566" si="1054">D566-F566</f>
        <v>12.691231044803414</v>
      </c>
      <c r="I566" s="120"/>
      <c r="J566" s="120">
        <f t="shared" ref="J566" si="1055">J564-H566</f>
        <v>459.85596272560753</v>
      </c>
      <c r="K566" s="122"/>
    </row>
    <row r="567" spans="2:11" ht="15" thickBot="1" x14ac:dyDescent="0.35">
      <c r="B567" s="41"/>
      <c r="C567" s="35"/>
      <c r="D567" s="121"/>
      <c r="E567" s="121"/>
      <c r="F567" s="121"/>
      <c r="G567" s="121"/>
      <c r="H567" s="121"/>
      <c r="I567" s="121"/>
      <c r="J567" s="121"/>
      <c r="K567" s="123"/>
    </row>
    <row r="568" spans="2:11" ht="15" thickBot="1" x14ac:dyDescent="0.35">
      <c r="B568" s="117">
        <v>266</v>
      </c>
      <c r="C568" s="118"/>
      <c r="D568" s="120">
        <f t="shared" ref="D568" si="1056">$D$30</f>
        <v>13.596946499530036</v>
      </c>
      <c r="E568" s="120"/>
      <c r="F568" s="120">
        <f t="shared" ref="F568" si="1057">($G$22/12)*J566</f>
        <v>0.88139059522408103</v>
      </c>
      <c r="G568" s="120"/>
      <c r="H568" s="120">
        <f t="shared" ref="H568" si="1058">D568-F568</f>
        <v>12.715555904305955</v>
      </c>
      <c r="I568" s="120"/>
      <c r="J568" s="120">
        <f t="shared" ref="J568" si="1059">J566-H568</f>
        <v>447.14040682130155</v>
      </c>
      <c r="K568" s="122"/>
    </row>
    <row r="569" spans="2:11" ht="15" thickBot="1" x14ac:dyDescent="0.35">
      <c r="B569" s="41"/>
      <c r="C569" s="35"/>
      <c r="D569" s="121"/>
      <c r="E569" s="121"/>
      <c r="F569" s="121"/>
      <c r="G569" s="121"/>
      <c r="H569" s="121"/>
      <c r="I569" s="121"/>
      <c r="J569" s="121"/>
      <c r="K569" s="123"/>
    </row>
    <row r="570" spans="2:11" ht="15" thickBot="1" x14ac:dyDescent="0.35">
      <c r="B570" s="117">
        <v>267</v>
      </c>
      <c r="C570" s="118"/>
      <c r="D570" s="120">
        <f t="shared" ref="D570" si="1060">$D$30</f>
        <v>13.596946499530036</v>
      </c>
      <c r="E570" s="120"/>
      <c r="F570" s="120">
        <f t="shared" ref="F570" si="1061">($G$22/12)*J568</f>
        <v>0.85701911307416123</v>
      </c>
      <c r="G570" s="120"/>
      <c r="H570" s="120">
        <f t="shared" ref="H570" si="1062">D570-F570</f>
        <v>12.739927386455875</v>
      </c>
      <c r="I570" s="120"/>
      <c r="J570" s="120">
        <f t="shared" ref="J570" si="1063">J568-H570</f>
        <v>434.40047943484569</v>
      </c>
      <c r="K570" s="122"/>
    </row>
    <row r="571" spans="2:11" ht="15" thickBot="1" x14ac:dyDescent="0.35">
      <c r="B571" s="41"/>
      <c r="C571" s="35"/>
      <c r="D571" s="121"/>
      <c r="E571" s="121"/>
      <c r="F571" s="121"/>
      <c r="G571" s="121"/>
      <c r="H571" s="121"/>
      <c r="I571" s="121"/>
      <c r="J571" s="121"/>
      <c r="K571" s="123"/>
    </row>
    <row r="572" spans="2:11" ht="15" thickBot="1" x14ac:dyDescent="0.35">
      <c r="B572" s="117">
        <v>268</v>
      </c>
      <c r="C572" s="118"/>
      <c r="D572" s="120">
        <f t="shared" ref="D572" si="1064">$D$30</f>
        <v>13.596946499530036</v>
      </c>
      <c r="E572" s="120"/>
      <c r="F572" s="120">
        <f t="shared" ref="F572" si="1065">($G$22/12)*J570</f>
        <v>0.83260091891678756</v>
      </c>
      <c r="G572" s="120"/>
      <c r="H572" s="120">
        <f t="shared" ref="H572" si="1066">D572-F572</f>
        <v>12.764345580613249</v>
      </c>
      <c r="I572" s="120"/>
      <c r="J572" s="120">
        <f t="shared" ref="J572" si="1067">J570-H572</f>
        <v>421.63613385423247</v>
      </c>
      <c r="K572" s="122"/>
    </row>
    <row r="573" spans="2:11" ht="15" thickBot="1" x14ac:dyDescent="0.35">
      <c r="B573" s="41"/>
      <c r="C573" s="35"/>
      <c r="D573" s="121"/>
      <c r="E573" s="121"/>
      <c r="F573" s="121"/>
      <c r="G573" s="121"/>
      <c r="H573" s="121"/>
      <c r="I573" s="121"/>
      <c r="J573" s="121"/>
      <c r="K573" s="123"/>
    </row>
    <row r="574" spans="2:11" ht="15" thickBot="1" x14ac:dyDescent="0.35">
      <c r="B574" s="117">
        <v>269</v>
      </c>
      <c r="C574" s="118"/>
      <c r="D574" s="120">
        <f t="shared" ref="D574" si="1068">$D$30</f>
        <v>13.596946499530036</v>
      </c>
      <c r="E574" s="120"/>
      <c r="F574" s="120">
        <f t="shared" ref="F574" si="1069">($G$22/12)*J572</f>
        <v>0.80813592322061223</v>
      </c>
      <c r="G574" s="120"/>
      <c r="H574" s="120">
        <f t="shared" ref="H574" si="1070">D574-F574</f>
        <v>12.788810576309423</v>
      </c>
      <c r="I574" s="120"/>
      <c r="J574" s="120">
        <f t="shared" ref="J574" si="1071">J572-H574</f>
        <v>408.84732327792307</v>
      </c>
      <c r="K574" s="122"/>
    </row>
    <row r="575" spans="2:11" ht="15" thickBot="1" x14ac:dyDescent="0.35">
      <c r="B575" s="41"/>
      <c r="C575" s="35"/>
      <c r="D575" s="121"/>
      <c r="E575" s="121"/>
      <c r="F575" s="121"/>
      <c r="G575" s="121"/>
      <c r="H575" s="121"/>
      <c r="I575" s="121"/>
      <c r="J575" s="121"/>
      <c r="K575" s="123"/>
    </row>
    <row r="576" spans="2:11" ht="15" thickBot="1" x14ac:dyDescent="0.35">
      <c r="B576" s="117">
        <v>270</v>
      </c>
      <c r="C576" s="118"/>
      <c r="D576" s="120">
        <f t="shared" ref="D576" si="1072">$D$30</f>
        <v>13.596946499530036</v>
      </c>
      <c r="E576" s="120"/>
      <c r="F576" s="120">
        <f t="shared" ref="F576" si="1073">($G$22/12)*J574</f>
        <v>0.78362403628268584</v>
      </c>
      <c r="G576" s="120"/>
      <c r="H576" s="120">
        <f t="shared" ref="H576" si="1074">D576-F576</f>
        <v>12.813322463247349</v>
      </c>
      <c r="I576" s="120"/>
      <c r="J576" s="120">
        <f t="shared" ref="J576" si="1075">J574-H576</f>
        <v>396.03400081467572</v>
      </c>
      <c r="K576" s="122"/>
    </row>
    <row r="577" spans="2:11" ht="15" thickBot="1" x14ac:dyDescent="0.35">
      <c r="B577" s="41"/>
      <c r="C577" s="35"/>
      <c r="D577" s="121"/>
      <c r="E577" s="121"/>
      <c r="F577" s="121"/>
      <c r="G577" s="121"/>
      <c r="H577" s="121"/>
      <c r="I577" s="121"/>
      <c r="J577" s="121"/>
      <c r="K577" s="123"/>
    </row>
    <row r="578" spans="2:11" ht="15" thickBot="1" x14ac:dyDescent="0.35">
      <c r="B578" s="117">
        <v>271</v>
      </c>
      <c r="C578" s="118"/>
      <c r="D578" s="120">
        <f t="shared" ref="D578" si="1076">$D$30</f>
        <v>13.596946499530036</v>
      </c>
      <c r="E578" s="120"/>
      <c r="F578" s="120">
        <f t="shared" ref="F578" si="1077">($G$22/12)*J576</f>
        <v>0.75906516822812842</v>
      </c>
      <c r="G578" s="120"/>
      <c r="H578" s="120">
        <f t="shared" ref="H578" si="1078">D578-F578</f>
        <v>12.837881331301908</v>
      </c>
      <c r="I578" s="120"/>
      <c r="J578" s="120">
        <f t="shared" ref="J578" si="1079">J576-H578</f>
        <v>383.19611948337382</v>
      </c>
      <c r="K578" s="122"/>
    </row>
    <row r="579" spans="2:11" ht="15" thickBot="1" x14ac:dyDescent="0.35">
      <c r="B579" s="41"/>
      <c r="C579" s="35"/>
      <c r="D579" s="121"/>
      <c r="E579" s="121"/>
      <c r="F579" s="121"/>
      <c r="G579" s="121"/>
      <c r="H579" s="121"/>
      <c r="I579" s="121"/>
      <c r="J579" s="121"/>
      <c r="K579" s="123"/>
    </row>
    <row r="580" spans="2:11" ht="15" thickBot="1" x14ac:dyDescent="0.35">
      <c r="B580" s="117">
        <v>272</v>
      </c>
      <c r="C580" s="118"/>
      <c r="D580" s="120">
        <f t="shared" ref="D580" si="1080">$D$30</f>
        <v>13.596946499530036</v>
      </c>
      <c r="E580" s="120"/>
      <c r="F580" s="120">
        <f t="shared" ref="F580" si="1081">($G$22/12)*J578</f>
        <v>0.73445922900979976</v>
      </c>
      <c r="G580" s="120"/>
      <c r="H580" s="120">
        <f t="shared" ref="H580" si="1082">D580-F580</f>
        <v>12.862487270520237</v>
      </c>
      <c r="I580" s="120"/>
      <c r="J580" s="120">
        <f t="shared" ref="J580" si="1083">J578-H580</f>
        <v>370.33363221285356</v>
      </c>
      <c r="K580" s="122"/>
    </row>
    <row r="581" spans="2:11" ht="15" thickBot="1" x14ac:dyDescent="0.35">
      <c r="B581" s="41"/>
      <c r="C581" s="35"/>
      <c r="D581" s="121"/>
      <c r="E581" s="121"/>
      <c r="F581" s="121"/>
      <c r="G581" s="121"/>
      <c r="H581" s="121"/>
      <c r="I581" s="121"/>
      <c r="J581" s="121"/>
      <c r="K581" s="123"/>
    </row>
    <row r="582" spans="2:11" ht="15" thickBot="1" x14ac:dyDescent="0.35">
      <c r="B582" s="117">
        <v>273</v>
      </c>
      <c r="C582" s="118"/>
      <c r="D582" s="120">
        <f t="shared" ref="D582" si="1084">$D$30</f>
        <v>13.596946499530036</v>
      </c>
      <c r="E582" s="120"/>
      <c r="F582" s="120">
        <f t="shared" ref="F582" si="1085">($G$22/12)*J580</f>
        <v>0.70980612840796931</v>
      </c>
      <c r="G582" s="120"/>
      <c r="H582" s="120">
        <f t="shared" ref="H582" si="1086">D582-F582</f>
        <v>12.887140371122067</v>
      </c>
      <c r="I582" s="120"/>
      <c r="J582" s="120">
        <f t="shared" ref="J582" si="1087">J580-H582</f>
        <v>357.44649184173147</v>
      </c>
      <c r="K582" s="122"/>
    </row>
    <row r="583" spans="2:11" ht="15" thickBot="1" x14ac:dyDescent="0.35">
      <c r="B583" s="41"/>
      <c r="C583" s="35"/>
      <c r="D583" s="121"/>
      <c r="E583" s="121"/>
      <c r="F583" s="121"/>
      <c r="G583" s="121"/>
      <c r="H583" s="121"/>
      <c r="I583" s="121"/>
      <c r="J583" s="121"/>
      <c r="K583" s="123"/>
    </row>
    <row r="584" spans="2:11" ht="15" thickBot="1" x14ac:dyDescent="0.35">
      <c r="B584" s="117">
        <v>274</v>
      </c>
      <c r="C584" s="118"/>
      <c r="D584" s="120">
        <f t="shared" ref="D584" si="1088">$D$30</f>
        <v>13.596946499530036</v>
      </c>
      <c r="E584" s="120"/>
      <c r="F584" s="120">
        <f t="shared" ref="F584" si="1089">($G$22/12)*J582</f>
        <v>0.68510577602998524</v>
      </c>
      <c r="G584" s="120"/>
      <c r="H584" s="120">
        <f t="shared" ref="H584" si="1090">D584-F584</f>
        <v>12.911840723500051</v>
      </c>
      <c r="I584" s="120"/>
      <c r="J584" s="120">
        <f t="shared" ref="J584" si="1091">J582-H584</f>
        <v>344.53465111823141</v>
      </c>
      <c r="K584" s="122"/>
    </row>
    <row r="585" spans="2:11" ht="15" thickBot="1" x14ac:dyDescent="0.35">
      <c r="B585" s="41"/>
      <c r="C585" s="35"/>
      <c r="D585" s="121"/>
      <c r="E585" s="121"/>
      <c r="F585" s="121"/>
      <c r="G585" s="121"/>
      <c r="H585" s="121"/>
      <c r="I585" s="121"/>
      <c r="J585" s="121"/>
      <c r="K585" s="123"/>
    </row>
    <row r="586" spans="2:11" ht="15" thickBot="1" x14ac:dyDescent="0.35">
      <c r="B586" s="117">
        <v>275</v>
      </c>
      <c r="C586" s="118"/>
      <c r="D586" s="120">
        <f t="shared" ref="D586" si="1092">$D$30</f>
        <v>13.596946499530036</v>
      </c>
      <c r="E586" s="120"/>
      <c r="F586" s="120">
        <f t="shared" ref="F586" si="1093">($G$22/12)*J584</f>
        <v>0.66035808130994345</v>
      </c>
      <c r="G586" s="120"/>
      <c r="H586" s="120">
        <f t="shared" ref="H586" si="1094">D586-F586</f>
        <v>12.936588418220092</v>
      </c>
      <c r="I586" s="120"/>
      <c r="J586" s="120">
        <f t="shared" ref="J586" si="1095">J584-H586</f>
        <v>331.59806270001133</v>
      </c>
      <c r="K586" s="122"/>
    </row>
    <row r="587" spans="2:11" ht="15" thickBot="1" x14ac:dyDescent="0.35">
      <c r="B587" s="41"/>
      <c r="C587" s="35"/>
      <c r="D587" s="121"/>
      <c r="E587" s="121"/>
      <c r="F587" s="121"/>
      <c r="G587" s="121"/>
      <c r="H587" s="121"/>
      <c r="I587" s="121"/>
      <c r="J587" s="121"/>
      <c r="K587" s="123"/>
    </row>
    <row r="588" spans="2:11" ht="15" thickBot="1" x14ac:dyDescent="0.35">
      <c r="B588" s="117">
        <v>276</v>
      </c>
      <c r="C588" s="118"/>
      <c r="D588" s="120">
        <f t="shared" ref="D588" si="1096">$D$30</f>
        <v>13.596946499530036</v>
      </c>
      <c r="E588" s="120"/>
      <c r="F588" s="120">
        <f t="shared" ref="F588" si="1097">($G$22/12)*J586</f>
        <v>0.63556295350835501</v>
      </c>
      <c r="G588" s="120"/>
      <c r="H588" s="120">
        <f t="shared" ref="H588" si="1098">D588-F588</f>
        <v>12.961383546021681</v>
      </c>
      <c r="I588" s="120"/>
      <c r="J588" s="120">
        <f t="shared" ref="J588" si="1099">J586-H588</f>
        <v>318.63667915398963</v>
      </c>
      <c r="K588" s="122"/>
    </row>
    <row r="589" spans="2:11" ht="15" thickBot="1" x14ac:dyDescent="0.35">
      <c r="B589" s="41"/>
      <c r="C589" s="35"/>
      <c r="D589" s="121"/>
      <c r="E589" s="121"/>
      <c r="F589" s="121"/>
      <c r="G589" s="121"/>
      <c r="H589" s="121"/>
      <c r="I589" s="121"/>
      <c r="J589" s="121"/>
      <c r="K589" s="123"/>
    </row>
    <row r="590" spans="2:11" ht="15" thickBot="1" x14ac:dyDescent="0.35">
      <c r="B590" s="117">
        <v>277</v>
      </c>
      <c r="C590" s="118"/>
      <c r="D590" s="120">
        <f t="shared" ref="D590" si="1100">$D$30</f>
        <v>13.596946499530036</v>
      </c>
      <c r="E590" s="120"/>
      <c r="F590" s="120">
        <f t="shared" ref="F590" si="1101">($G$22/12)*J588</f>
        <v>0.61072030171181346</v>
      </c>
      <c r="G590" s="120"/>
      <c r="H590" s="120">
        <f t="shared" ref="H590" si="1102">D590-F590</f>
        <v>12.986226197818223</v>
      </c>
      <c r="I590" s="120"/>
      <c r="J590" s="120">
        <f t="shared" ref="J590" si="1103">J588-H590</f>
        <v>305.65045295617142</v>
      </c>
      <c r="K590" s="122"/>
    </row>
    <row r="591" spans="2:11" ht="15" thickBot="1" x14ac:dyDescent="0.35">
      <c r="B591" s="41"/>
      <c r="C591" s="35"/>
      <c r="D591" s="121"/>
      <c r="E591" s="121"/>
      <c r="F591" s="121"/>
      <c r="G591" s="121"/>
      <c r="H591" s="121"/>
      <c r="I591" s="121"/>
      <c r="J591" s="121"/>
      <c r="K591" s="123"/>
    </row>
    <row r="592" spans="2:11" ht="15" thickBot="1" x14ac:dyDescent="0.35">
      <c r="B592" s="117">
        <v>278</v>
      </c>
      <c r="C592" s="118"/>
      <c r="D592" s="120">
        <f t="shared" ref="D592" si="1104">$D$30</f>
        <v>13.596946499530036</v>
      </c>
      <c r="E592" s="120"/>
      <c r="F592" s="120">
        <f t="shared" ref="F592" si="1105">($G$22/12)*J590</f>
        <v>0.58583003483266183</v>
      </c>
      <c r="G592" s="120"/>
      <c r="H592" s="120">
        <f t="shared" ref="H592" si="1106">D592-F592</f>
        <v>13.011116464697373</v>
      </c>
      <c r="I592" s="120"/>
      <c r="J592" s="120">
        <f t="shared" ref="J592" si="1107">J590-H592</f>
        <v>292.63933649147407</v>
      </c>
      <c r="K592" s="122"/>
    </row>
    <row r="593" spans="2:11" ht="15" thickBot="1" x14ac:dyDescent="0.35">
      <c r="B593" s="41"/>
      <c r="C593" s="35"/>
      <c r="D593" s="121"/>
      <c r="E593" s="121"/>
      <c r="F593" s="121"/>
      <c r="G593" s="121"/>
      <c r="H593" s="121"/>
      <c r="I593" s="121"/>
      <c r="J593" s="121"/>
      <c r="K593" s="123"/>
    </row>
    <row r="594" spans="2:11" ht="15" thickBot="1" x14ac:dyDescent="0.35">
      <c r="B594" s="117">
        <v>279</v>
      </c>
      <c r="C594" s="118"/>
      <c r="D594" s="120">
        <f t="shared" ref="D594" si="1108">$D$30</f>
        <v>13.596946499530036</v>
      </c>
      <c r="E594" s="120"/>
      <c r="F594" s="120">
        <f t="shared" ref="F594" si="1109">($G$22/12)*J592</f>
        <v>0.56089206160865857</v>
      </c>
      <c r="G594" s="120"/>
      <c r="H594" s="120">
        <f t="shared" ref="H594" si="1110">D594-F594</f>
        <v>13.036054437921377</v>
      </c>
      <c r="I594" s="120"/>
      <c r="J594" s="120">
        <f t="shared" ref="J594" si="1111">J592-H594</f>
        <v>279.60328205355268</v>
      </c>
      <c r="K594" s="122"/>
    </row>
    <row r="595" spans="2:11" ht="15" thickBot="1" x14ac:dyDescent="0.35">
      <c r="B595" s="41"/>
      <c r="C595" s="35"/>
      <c r="D595" s="121"/>
      <c r="E595" s="121"/>
      <c r="F595" s="121"/>
      <c r="G595" s="121"/>
      <c r="H595" s="121"/>
      <c r="I595" s="121"/>
      <c r="J595" s="121"/>
      <c r="K595" s="123"/>
    </row>
    <row r="596" spans="2:11" ht="15" thickBot="1" x14ac:dyDescent="0.35">
      <c r="B596" s="117">
        <v>280</v>
      </c>
      <c r="C596" s="118"/>
      <c r="D596" s="120">
        <f t="shared" ref="D596" si="1112">$D$30</f>
        <v>13.596946499530036</v>
      </c>
      <c r="E596" s="120"/>
      <c r="F596" s="120">
        <f t="shared" ref="F596" si="1113">($G$22/12)*J594</f>
        <v>0.53590629060264261</v>
      </c>
      <c r="G596" s="120"/>
      <c r="H596" s="120">
        <f t="shared" ref="H596" si="1114">D596-F596</f>
        <v>13.061040208927393</v>
      </c>
      <c r="I596" s="120"/>
      <c r="J596" s="120">
        <f t="shared" ref="J596" si="1115">J594-H596</f>
        <v>266.54224184462527</v>
      </c>
      <c r="K596" s="122"/>
    </row>
    <row r="597" spans="2:11" ht="15" thickBot="1" x14ac:dyDescent="0.35">
      <c r="B597" s="41"/>
      <c r="C597" s="35"/>
      <c r="D597" s="121"/>
      <c r="E597" s="121"/>
      <c r="F597" s="121"/>
      <c r="G597" s="121"/>
      <c r="H597" s="121"/>
      <c r="I597" s="121"/>
      <c r="J597" s="121"/>
      <c r="K597" s="123"/>
    </row>
    <row r="598" spans="2:11" ht="15" thickBot="1" x14ac:dyDescent="0.35">
      <c r="B598" s="117">
        <v>281</v>
      </c>
      <c r="C598" s="118"/>
      <c r="D598" s="120">
        <f t="shared" ref="D598" si="1116">$D$30</f>
        <v>13.596946499530036</v>
      </c>
      <c r="E598" s="120"/>
      <c r="F598" s="120">
        <f t="shared" ref="F598" si="1117">($G$22/12)*J596</f>
        <v>0.51087263020219842</v>
      </c>
      <c r="G598" s="120"/>
      <c r="H598" s="120">
        <f t="shared" ref="H598" si="1118">D598-F598</f>
        <v>13.086073869327837</v>
      </c>
      <c r="I598" s="120"/>
      <c r="J598" s="120">
        <f t="shared" ref="J598" si="1119">J596-H598</f>
        <v>253.45616797529743</v>
      </c>
      <c r="K598" s="122"/>
    </row>
    <row r="599" spans="2:11" ht="15" thickBot="1" x14ac:dyDescent="0.35">
      <c r="B599" s="41"/>
      <c r="C599" s="35"/>
      <c r="D599" s="121"/>
      <c r="E599" s="121"/>
      <c r="F599" s="121"/>
      <c r="G599" s="121"/>
      <c r="H599" s="121"/>
      <c r="I599" s="121"/>
      <c r="J599" s="121"/>
      <c r="K599" s="123"/>
    </row>
    <row r="600" spans="2:11" ht="15" thickBot="1" x14ac:dyDescent="0.35">
      <c r="B600" s="117">
        <v>282</v>
      </c>
      <c r="C600" s="118"/>
      <c r="D600" s="120">
        <f t="shared" ref="D600" si="1120">$D$30</f>
        <v>13.596946499530036</v>
      </c>
      <c r="E600" s="120"/>
      <c r="F600" s="120">
        <f t="shared" ref="F600" si="1121">($G$22/12)*J598</f>
        <v>0.48579098861932007</v>
      </c>
      <c r="G600" s="120"/>
      <c r="H600" s="120">
        <f t="shared" ref="H600" si="1122">D600-F600</f>
        <v>13.111155510910717</v>
      </c>
      <c r="I600" s="120"/>
      <c r="J600" s="120">
        <f t="shared" ref="J600" si="1123">J598-H600</f>
        <v>240.34501246438671</v>
      </c>
      <c r="K600" s="122"/>
    </row>
    <row r="601" spans="2:11" ht="15" thickBot="1" x14ac:dyDescent="0.35">
      <c r="B601" s="41"/>
      <c r="C601" s="35"/>
      <c r="D601" s="121"/>
      <c r="E601" s="121"/>
      <c r="F601" s="121"/>
      <c r="G601" s="121"/>
      <c r="H601" s="121"/>
      <c r="I601" s="121"/>
      <c r="J601" s="121"/>
      <c r="K601" s="123"/>
    </row>
    <row r="602" spans="2:11" ht="15" thickBot="1" x14ac:dyDescent="0.35">
      <c r="B602" s="117">
        <v>283</v>
      </c>
      <c r="C602" s="118"/>
      <c r="D602" s="120">
        <f t="shared" ref="D602" si="1124">$D$30</f>
        <v>13.596946499530036</v>
      </c>
      <c r="E602" s="120"/>
      <c r="F602" s="120">
        <f t="shared" ref="F602" si="1125">($G$22/12)*J600</f>
        <v>0.4606612738900745</v>
      </c>
      <c r="G602" s="120"/>
      <c r="H602" s="120">
        <f t="shared" ref="H602" si="1126">D602-F602</f>
        <v>13.136285225639961</v>
      </c>
      <c r="I602" s="120"/>
      <c r="J602" s="120">
        <f t="shared" ref="J602" si="1127">J600-H602</f>
        <v>227.20872723874675</v>
      </c>
      <c r="K602" s="122"/>
    </row>
    <row r="603" spans="2:11" ht="15" thickBot="1" x14ac:dyDescent="0.35">
      <c r="B603" s="41"/>
      <c r="C603" s="35"/>
      <c r="D603" s="121"/>
      <c r="E603" s="121"/>
      <c r="F603" s="121"/>
      <c r="G603" s="121"/>
      <c r="H603" s="121"/>
      <c r="I603" s="121"/>
      <c r="J603" s="121"/>
      <c r="K603" s="123"/>
    </row>
    <row r="604" spans="2:11" ht="15" thickBot="1" x14ac:dyDescent="0.35">
      <c r="B604" s="117">
        <v>284</v>
      </c>
      <c r="C604" s="118"/>
      <c r="D604" s="120">
        <f t="shared" ref="D604" si="1128">$D$30</f>
        <v>13.596946499530036</v>
      </c>
      <c r="E604" s="120"/>
      <c r="F604" s="120">
        <f t="shared" ref="F604" si="1129">($G$22/12)*J602</f>
        <v>0.43548339387426455</v>
      </c>
      <c r="G604" s="120"/>
      <c r="H604" s="120">
        <f t="shared" ref="H604" si="1130">D604-F604</f>
        <v>13.161463105655772</v>
      </c>
      <c r="I604" s="120"/>
      <c r="J604" s="120">
        <f t="shared" ref="J604" si="1131">J602-H604</f>
        <v>214.04726413309098</v>
      </c>
      <c r="K604" s="122"/>
    </row>
    <row r="605" spans="2:11" ht="15" thickBot="1" x14ac:dyDescent="0.35">
      <c r="B605" s="41"/>
      <c r="C605" s="35"/>
      <c r="D605" s="121"/>
      <c r="E605" s="121"/>
      <c r="F605" s="121"/>
      <c r="G605" s="121"/>
      <c r="H605" s="121"/>
      <c r="I605" s="121"/>
      <c r="J605" s="121"/>
      <c r="K605" s="123"/>
    </row>
    <row r="606" spans="2:11" ht="15" thickBot="1" x14ac:dyDescent="0.35">
      <c r="B606" s="117">
        <v>285</v>
      </c>
      <c r="C606" s="118"/>
      <c r="D606" s="120">
        <f t="shared" ref="D606" si="1132">$D$30</f>
        <v>13.596946499530036</v>
      </c>
      <c r="E606" s="120"/>
      <c r="F606" s="120">
        <f t="shared" ref="F606" si="1133">($G$22/12)*J604</f>
        <v>0.41025725625509102</v>
      </c>
      <c r="G606" s="120"/>
      <c r="H606" s="120">
        <f t="shared" ref="H606" si="1134">D606-F606</f>
        <v>13.186689243274945</v>
      </c>
      <c r="I606" s="120"/>
      <c r="J606" s="120">
        <f t="shared" ref="J606" si="1135">J604-H606</f>
        <v>200.86057488981604</v>
      </c>
      <c r="K606" s="122"/>
    </row>
    <row r="607" spans="2:11" ht="15" thickBot="1" x14ac:dyDescent="0.35">
      <c r="B607" s="41"/>
      <c r="C607" s="35"/>
      <c r="D607" s="121"/>
      <c r="E607" s="121"/>
      <c r="F607" s="121"/>
      <c r="G607" s="121"/>
      <c r="H607" s="121"/>
      <c r="I607" s="121"/>
      <c r="J607" s="121"/>
      <c r="K607" s="123"/>
    </row>
    <row r="608" spans="2:11" ht="15" thickBot="1" x14ac:dyDescent="0.35">
      <c r="B608" s="117">
        <v>286</v>
      </c>
      <c r="C608" s="118"/>
      <c r="D608" s="120">
        <f t="shared" ref="D608" si="1136">$D$30</f>
        <v>13.596946499530036</v>
      </c>
      <c r="E608" s="120"/>
      <c r="F608" s="120">
        <f t="shared" ref="F608" si="1137">($G$22/12)*J606</f>
        <v>0.38498276853881402</v>
      </c>
      <c r="G608" s="120"/>
      <c r="H608" s="120">
        <f t="shared" ref="H608" si="1138">D608-F608</f>
        <v>13.211963730991222</v>
      </c>
      <c r="I608" s="120"/>
      <c r="J608" s="120">
        <f t="shared" ref="J608" si="1139">J606-H608</f>
        <v>187.64861115882482</v>
      </c>
      <c r="K608" s="122"/>
    </row>
    <row r="609" spans="2:11" ht="15" thickBot="1" x14ac:dyDescent="0.35">
      <c r="B609" s="41"/>
      <c r="C609" s="35"/>
      <c r="D609" s="121"/>
      <c r="E609" s="121"/>
      <c r="F609" s="121"/>
      <c r="G609" s="121"/>
      <c r="H609" s="121"/>
      <c r="I609" s="121"/>
      <c r="J609" s="121"/>
      <c r="K609" s="123"/>
    </row>
    <row r="610" spans="2:11" ht="15" thickBot="1" x14ac:dyDescent="0.35">
      <c r="B610" s="117">
        <v>287</v>
      </c>
      <c r="C610" s="118"/>
      <c r="D610" s="120">
        <f t="shared" ref="D610" si="1140">$D$30</f>
        <v>13.596946499530036</v>
      </c>
      <c r="E610" s="120"/>
      <c r="F610" s="120">
        <f t="shared" ref="F610" si="1141">($G$22/12)*J608</f>
        <v>0.3596598380544142</v>
      </c>
      <c r="G610" s="120"/>
      <c r="H610" s="120">
        <f t="shared" ref="H610" si="1142">D610-F610</f>
        <v>13.237286661475622</v>
      </c>
      <c r="I610" s="120"/>
      <c r="J610" s="120">
        <f t="shared" ref="J610" si="1143">J608-H610</f>
        <v>174.4113244973492</v>
      </c>
      <c r="K610" s="122"/>
    </row>
    <row r="611" spans="2:11" ht="15" thickBot="1" x14ac:dyDescent="0.35">
      <c r="B611" s="41"/>
      <c r="C611" s="35"/>
      <c r="D611" s="121"/>
      <c r="E611" s="121"/>
      <c r="F611" s="121"/>
      <c r="G611" s="121"/>
      <c r="H611" s="121"/>
      <c r="I611" s="121"/>
      <c r="J611" s="121"/>
      <c r="K611" s="123"/>
    </row>
    <row r="612" spans="2:11" ht="15" thickBot="1" x14ac:dyDescent="0.35">
      <c r="B612" s="117">
        <v>288</v>
      </c>
      <c r="C612" s="118"/>
      <c r="D612" s="120">
        <f t="shared" ref="D612" si="1144">$D$30</f>
        <v>13.596946499530036</v>
      </c>
      <c r="E612" s="120"/>
      <c r="F612" s="120">
        <f t="shared" ref="F612" si="1145">($G$22/12)*J610</f>
        <v>0.33428837195325262</v>
      </c>
      <c r="G612" s="120"/>
      <c r="H612" s="120">
        <f t="shared" ref="H612" si="1146">D612-F612</f>
        <v>13.262658127576783</v>
      </c>
      <c r="I612" s="120"/>
      <c r="J612" s="120">
        <f t="shared" ref="J612" si="1147">J610-H612</f>
        <v>161.14866636977243</v>
      </c>
      <c r="K612" s="122"/>
    </row>
    <row r="613" spans="2:11" ht="15" thickBot="1" x14ac:dyDescent="0.35">
      <c r="B613" s="41"/>
      <c r="C613" s="35"/>
      <c r="D613" s="121"/>
      <c r="E613" s="121"/>
      <c r="F613" s="121"/>
      <c r="G613" s="121"/>
      <c r="H613" s="121"/>
      <c r="I613" s="121"/>
      <c r="J613" s="121"/>
      <c r="K613" s="123"/>
    </row>
    <row r="614" spans="2:11" ht="15" thickBot="1" x14ac:dyDescent="0.35">
      <c r="B614" s="117">
        <v>289</v>
      </c>
      <c r="C614" s="118"/>
      <c r="D614" s="120">
        <f t="shared" ref="D614" si="1148">$D$30</f>
        <v>13.596946499530036</v>
      </c>
      <c r="E614" s="120"/>
      <c r="F614" s="120">
        <f t="shared" ref="F614" si="1149">($G$22/12)*J612</f>
        <v>0.30886827720873045</v>
      </c>
      <c r="G614" s="120"/>
      <c r="H614" s="120">
        <f t="shared" ref="H614" si="1150">D614-F614</f>
        <v>13.288078222321305</v>
      </c>
      <c r="I614" s="120"/>
      <c r="J614" s="120">
        <f t="shared" ref="J614" si="1151">J612-H614</f>
        <v>147.86058814745112</v>
      </c>
      <c r="K614" s="122"/>
    </row>
    <row r="615" spans="2:11" ht="15" thickBot="1" x14ac:dyDescent="0.35">
      <c r="B615" s="41"/>
      <c r="C615" s="35"/>
      <c r="D615" s="121"/>
      <c r="E615" s="121"/>
      <c r="F615" s="121"/>
      <c r="G615" s="121"/>
      <c r="H615" s="121"/>
      <c r="I615" s="121"/>
      <c r="J615" s="121"/>
      <c r="K615" s="123"/>
    </row>
    <row r="616" spans="2:11" ht="15" thickBot="1" x14ac:dyDescent="0.35">
      <c r="B616" s="117">
        <v>290</v>
      </c>
      <c r="C616" s="118"/>
      <c r="D616" s="120">
        <f t="shared" ref="D616" si="1152">$D$30</f>
        <v>13.596946499530036</v>
      </c>
      <c r="E616" s="120"/>
      <c r="F616" s="120">
        <f t="shared" ref="F616" si="1153">($G$22/12)*J614</f>
        <v>0.28339946061594795</v>
      </c>
      <c r="G616" s="120"/>
      <c r="H616" s="120">
        <f t="shared" ref="H616" si="1154">D616-F616</f>
        <v>13.313547038914088</v>
      </c>
      <c r="I616" s="120"/>
      <c r="J616" s="120">
        <f t="shared" ref="J616" si="1155">J614-H616</f>
        <v>134.54704110853703</v>
      </c>
      <c r="K616" s="122"/>
    </row>
    <row r="617" spans="2:11" ht="15" thickBot="1" x14ac:dyDescent="0.35">
      <c r="B617" s="41"/>
      <c r="C617" s="35"/>
      <c r="D617" s="121"/>
      <c r="E617" s="121"/>
      <c r="F617" s="121"/>
      <c r="G617" s="121"/>
      <c r="H617" s="121"/>
      <c r="I617" s="121"/>
      <c r="J617" s="121"/>
      <c r="K617" s="123"/>
    </row>
    <row r="618" spans="2:11" ht="15" thickBot="1" x14ac:dyDescent="0.35">
      <c r="B618" s="117">
        <v>291</v>
      </c>
      <c r="C618" s="118"/>
      <c r="D618" s="120">
        <f t="shared" ref="D618" si="1156">$D$30</f>
        <v>13.596946499530036</v>
      </c>
      <c r="E618" s="120"/>
      <c r="F618" s="120">
        <f t="shared" ref="F618" si="1157">($G$22/12)*J616</f>
        <v>0.25788182879136262</v>
      </c>
      <c r="G618" s="120"/>
      <c r="H618" s="120">
        <f t="shared" ref="H618" si="1158">D618-F618</f>
        <v>13.339064670738674</v>
      </c>
      <c r="I618" s="120"/>
      <c r="J618" s="120">
        <f t="shared" ref="J618" si="1159">J616-H618</f>
        <v>121.20797643779835</v>
      </c>
      <c r="K618" s="122"/>
    </row>
    <row r="619" spans="2:11" ht="15" thickBot="1" x14ac:dyDescent="0.35">
      <c r="B619" s="41"/>
      <c r="C619" s="35"/>
      <c r="D619" s="121"/>
      <c r="E619" s="121"/>
      <c r="F619" s="121"/>
      <c r="G619" s="121"/>
      <c r="H619" s="121"/>
      <c r="I619" s="121"/>
      <c r="J619" s="121"/>
      <c r="K619" s="123"/>
    </row>
    <row r="620" spans="2:11" ht="15" thickBot="1" x14ac:dyDescent="0.35">
      <c r="B620" s="117">
        <v>292</v>
      </c>
      <c r="C620" s="118"/>
      <c r="D620" s="120">
        <f t="shared" ref="D620" si="1160">$D$30</f>
        <v>13.596946499530036</v>
      </c>
      <c r="E620" s="120"/>
      <c r="F620" s="120">
        <f t="shared" ref="F620" si="1161">($G$22/12)*J618</f>
        <v>0.23231528817244682</v>
      </c>
      <c r="G620" s="120"/>
      <c r="H620" s="120">
        <f t="shared" ref="H620" si="1162">D620-F620</f>
        <v>13.364631211357588</v>
      </c>
      <c r="I620" s="120"/>
      <c r="J620" s="120">
        <f t="shared" ref="J620" si="1163">J618-H620</f>
        <v>107.84334522644076</v>
      </c>
      <c r="K620" s="122"/>
    </row>
    <row r="621" spans="2:11" ht="15" thickBot="1" x14ac:dyDescent="0.35">
      <c r="B621" s="41"/>
      <c r="C621" s="35"/>
      <c r="D621" s="121"/>
      <c r="E621" s="121"/>
      <c r="F621" s="121"/>
      <c r="G621" s="121"/>
      <c r="H621" s="121"/>
      <c r="I621" s="121"/>
      <c r="J621" s="121"/>
      <c r="K621" s="123"/>
    </row>
    <row r="622" spans="2:11" ht="15" thickBot="1" x14ac:dyDescent="0.35">
      <c r="B622" s="117">
        <v>293</v>
      </c>
      <c r="C622" s="118"/>
      <c r="D622" s="120">
        <f t="shared" ref="D622" si="1164">$D$30</f>
        <v>13.596946499530036</v>
      </c>
      <c r="E622" s="120"/>
      <c r="F622" s="120">
        <f t="shared" ref="F622" si="1165">($G$22/12)*J620</f>
        <v>0.20669974501734478</v>
      </c>
      <c r="G622" s="120"/>
      <c r="H622" s="120">
        <f t="shared" ref="H622" si="1166">D622-F622</f>
        <v>13.390246754512692</v>
      </c>
      <c r="I622" s="120"/>
      <c r="J622" s="120">
        <f t="shared" ref="J622" si="1167">J620-H622</f>
        <v>94.453098471928072</v>
      </c>
      <c r="K622" s="122"/>
    </row>
    <row r="623" spans="2:11" ht="15" thickBot="1" x14ac:dyDescent="0.35">
      <c r="B623" s="41"/>
      <c r="C623" s="35"/>
      <c r="D623" s="121"/>
      <c r="E623" s="121"/>
      <c r="F623" s="121"/>
      <c r="G623" s="121"/>
      <c r="H623" s="121"/>
      <c r="I623" s="121"/>
      <c r="J623" s="121"/>
      <c r="K623" s="123"/>
    </row>
    <row r="624" spans="2:11" ht="15" thickBot="1" x14ac:dyDescent="0.35">
      <c r="B624" s="117">
        <v>294</v>
      </c>
      <c r="C624" s="118"/>
      <c r="D624" s="120">
        <f t="shared" ref="D624" si="1168">$D$30</f>
        <v>13.596946499530036</v>
      </c>
      <c r="E624" s="120"/>
      <c r="F624" s="120">
        <f t="shared" ref="F624" si="1169">($G$22/12)*J622</f>
        <v>0.1810351054045288</v>
      </c>
      <c r="G624" s="120"/>
      <c r="H624" s="120">
        <f t="shared" ref="H624" si="1170">D624-F624</f>
        <v>13.415911394125507</v>
      </c>
      <c r="I624" s="120"/>
      <c r="J624" s="120">
        <f t="shared" ref="J624" si="1171">J622-H624</f>
        <v>81.037187077802571</v>
      </c>
      <c r="K624" s="122"/>
    </row>
    <row r="625" spans="2:11" ht="15" thickBot="1" x14ac:dyDescent="0.35">
      <c r="B625" s="41"/>
      <c r="C625" s="35"/>
      <c r="D625" s="121"/>
      <c r="E625" s="121"/>
      <c r="F625" s="121"/>
      <c r="G625" s="121"/>
      <c r="H625" s="121"/>
      <c r="I625" s="121"/>
      <c r="J625" s="121"/>
      <c r="K625" s="123"/>
    </row>
    <row r="626" spans="2:11" ht="15" thickBot="1" x14ac:dyDescent="0.35">
      <c r="B626" s="117">
        <v>295</v>
      </c>
      <c r="C626" s="118"/>
      <c r="D626" s="120">
        <f t="shared" ref="D626" si="1172">$D$30</f>
        <v>13.596946499530036</v>
      </c>
      <c r="E626" s="120"/>
      <c r="F626" s="120">
        <f t="shared" ref="F626" si="1173">($G$22/12)*J624</f>
        <v>0.15532127523245493</v>
      </c>
      <c r="G626" s="120"/>
      <c r="H626" s="120">
        <f t="shared" ref="H626" si="1174">D626-F626</f>
        <v>13.441625224297582</v>
      </c>
      <c r="I626" s="120"/>
      <c r="J626" s="120">
        <f t="shared" ref="J626" si="1175">J624-H626</f>
        <v>67.595561853504989</v>
      </c>
      <c r="K626" s="122"/>
    </row>
    <row r="627" spans="2:11" ht="15" thickBot="1" x14ac:dyDescent="0.35">
      <c r="B627" s="41"/>
      <c r="C627" s="35"/>
      <c r="D627" s="121"/>
      <c r="E627" s="121"/>
      <c r="F627" s="121"/>
      <c r="G627" s="121"/>
      <c r="H627" s="121"/>
      <c r="I627" s="121"/>
      <c r="J627" s="121"/>
      <c r="K627" s="123"/>
    </row>
    <row r="628" spans="2:11" ht="15" thickBot="1" x14ac:dyDescent="0.35">
      <c r="B628" s="117">
        <v>296</v>
      </c>
      <c r="C628" s="118"/>
      <c r="D628" s="120">
        <f t="shared" ref="D628" si="1176">$D$30</f>
        <v>13.596946499530036</v>
      </c>
      <c r="E628" s="120"/>
      <c r="F628" s="120">
        <f t="shared" ref="F628" si="1177">($G$22/12)*J626</f>
        <v>0.1295581602192179</v>
      </c>
      <c r="G628" s="120"/>
      <c r="H628" s="120">
        <f t="shared" ref="H628" si="1178">D628-F628</f>
        <v>13.467388339310817</v>
      </c>
      <c r="I628" s="120"/>
      <c r="J628" s="120">
        <f t="shared" ref="J628" si="1179">J626-H628</f>
        <v>54.128173514194174</v>
      </c>
      <c r="K628" s="122"/>
    </row>
    <row r="629" spans="2:11" ht="15" thickBot="1" x14ac:dyDescent="0.35">
      <c r="B629" s="41"/>
      <c r="C629" s="35"/>
      <c r="D629" s="121"/>
      <c r="E629" s="121"/>
      <c r="F629" s="121"/>
      <c r="G629" s="121"/>
      <c r="H629" s="121"/>
      <c r="I629" s="121"/>
      <c r="J629" s="121"/>
      <c r="K629" s="123"/>
    </row>
    <row r="630" spans="2:11" ht="15" thickBot="1" x14ac:dyDescent="0.35">
      <c r="B630" s="117">
        <v>297</v>
      </c>
      <c r="C630" s="118"/>
      <c r="D630" s="120">
        <f t="shared" ref="D630" si="1180">$D$30</f>
        <v>13.596946499530036</v>
      </c>
      <c r="E630" s="120"/>
      <c r="F630" s="120">
        <f t="shared" ref="F630" si="1181">($G$22/12)*J628</f>
        <v>0.10374566590220549</v>
      </c>
      <c r="G630" s="120"/>
      <c r="H630" s="120">
        <f t="shared" ref="H630" si="1182">D630-F630</f>
        <v>13.49320083362783</v>
      </c>
      <c r="I630" s="120"/>
      <c r="J630" s="120">
        <f t="shared" ref="J630" si="1183">J628-H630</f>
        <v>40.634972680566342</v>
      </c>
      <c r="K630" s="122"/>
    </row>
    <row r="631" spans="2:11" ht="15" thickBot="1" x14ac:dyDescent="0.35">
      <c r="B631" s="41"/>
      <c r="C631" s="35"/>
      <c r="D631" s="121"/>
      <c r="E631" s="121"/>
      <c r="F631" s="121"/>
      <c r="G631" s="121"/>
      <c r="H631" s="121"/>
      <c r="I631" s="121"/>
      <c r="J631" s="121"/>
      <c r="K631" s="123"/>
    </row>
    <row r="632" spans="2:11" ht="15" thickBot="1" x14ac:dyDescent="0.35">
      <c r="B632" s="117">
        <v>298</v>
      </c>
      <c r="C632" s="118"/>
      <c r="D632" s="120">
        <f t="shared" ref="D632" si="1184">$D$30</f>
        <v>13.596946499530036</v>
      </c>
      <c r="E632" s="120"/>
      <c r="F632" s="120">
        <f t="shared" ref="F632" si="1185">($G$22/12)*J630</f>
        <v>7.7883697637752158E-2</v>
      </c>
      <c r="G632" s="120"/>
      <c r="H632" s="120">
        <f t="shared" ref="H632" si="1186">D632-F632</f>
        <v>13.519062801892284</v>
      </c>
      <c r="I632" s="120"/>
      <c r="J632" s="120">
        <f t="shared" ref="J632" si="1187">J630-H632</f>
        <v>27.11590987867406</v>
      </c>
      <c r="K632" s="122"/>
    </row>
    <row r="633" spans="2:11" ht="15" thickBot="1" x14ac:dyDescent="0.35">
      <c r="B633" s="41"/>
      <c r="C633" s="35"/>
      <c r="D633" s="121"/>
      <c r="E633" s="121"/>
      <c r="F633" s="121"/>
      <c r="G633" s="121"/>
      <c r="H633" s="121"/>
      <c r="I633" s="121"/>
      <c r="J633" s="121"/>
      <c r="K633" s="123"/>
    </row>
    <row r="634" spans="2:11" ht="15" thickBot="1" x14ac:dyDescent="0.35">
      <c r="B634" s="117">
        <v>299</v>
      </c>
      <c r="C634" s="118"/>
      <c r="D634" s="120">
        <f t="shared" ref="D634:D636" si="1188">$D$30</f>
        <v>13.596946499530036</v>
      </c>
      <c r="E634" s="120"/>
      <c r="F634" s="120">
        <f t="shared" ref="F634" si="1189">($G$22/12)*J632</f>
        <v>5.1972160600791947E-2</v>
      </c>
      <c r="G634" s="120"/>
      <c r="H634" s="120">
        <f t="shared" ref="H634" si="1190">D634-F634</f>
        <v>13.544974338929244</v>
      </c>
      <c r="I634" s="120"/>
      <c r="J634" s="120">
        <f t="shared" ref="J634" si="1191">J632-H634</f>
        <v>13.570935539744816</v>
      </c>
      <c r="K634" s="122"/>
    </row>
    <row r="635" spans="2:11" ht="15" thickBot="1" x14ac:dyDescent="0.35">
      <c r="B635" s="41"/>
      <c r="C635" s="35"/>
      <c r="D635" s="121"/>
      <c r="E635" s="121"/>
      <c r="F635" s="121"/>
      <c r="G635" s="121"/>
      <c r="H635" s="121"/>
      <c r="I635" s="121"/>
      <c r="J635" s="121"/>
      <c r="K635" s="123"/>
    </row>
    <row r="636" spans="2:11" ht="15" thickBot="1" x14ac:dyDescent="0.35">
      <c r="B636" s="41">
        <v>300</v>
      </c>
      <c r="C636" s="35"/>
      <c r="D636" s="121">
        <f t="shared" si="1188"/>
        <v>13.596946499530036</v>
      </c>
      <c r="E636" s="121"/>
      <c r="F636" s="121">
        <f t="shared" ref="F636" si="1192">($G$22/12)*J634</f>
        <v>2.6010959784510897E-2</v>
      </c>
      <c r="G636" s="121"/>
      <c r="H636" s="121">
        <f t="shared" ref="H636" si="1193">D636-F636</f>
        <v>13.570935539745525</v>
      </c>
      <c r="I636" s="121"/>
      <c r="J636" s="121">
        <f t="shared" ref="J636" si="1194">J634-H636</f>
        <v>-7.0876637892069994E-13</v>
      </c>
      <c r="K636" s="123"/>
    </row>
    <row r="637" spans="2:11" ht="15" thickBot="1" x14ac:dyDescent="0.35">
      <c r="B637" s="42"/>
      <c r="C637" s="43"/>
      <c r="D637" s="143"/>
      <c r="E637" s="143"/>
      <c r="F637" s="143"/>
      <c r="G637" s="143"/>
      <c r="H637" s="143"/>
      <c r="I637" s="143"/>
      <c r="J637" s="143"/>
      <c r="K637" s="144"/>
    </row>
    <row r="638" spans="2:11" ht="15" thickTop="1" x14ac:dyDescent="0.3"/>
  </sheetData>
  <mergeCells count="1549">
    <mergeCell ref="N44:O45"/>
    <mergeCell ref="P44:Q45"/>
    <mergeCell ref="N50:Q53"/>
    <mergeCell ref="N40:Q41"/>
    <mergeCell ref="N48:Q49"/>
    <mergeCell ref="N34:O35"/>
    <mergeCell ref="P34:Q35"/>
    <mergeCell ref="N36:O37"/>
    <mergeCell ref="P36:Q37"/>
    <mergeCell ref="N42:O43"/>
    <mergeCell ref="P42:Q43"/>
    <mergeCell ref="H30:I31"/>
    <mergeCell ref="J30:K31"/>
    <mergeCell ref="N32:O33"/>
    <mergeCell ref="P32:Q33"/>
    <mergeCell ref="B28:Q29"/>
    <mergeCell ref="N30:Q31"/>
    <mergeCell ref="B48:C49"/>
    <mergeCell ref="D48:E49"/>
    <mergeCell ref="F48:G49"/>
    <mergeCell ref="H48:I49"/>
    <mergeCell ref="J48:K49"/>
    <mergeCell ref="B50:C51"/>
    <mergeCell ref="D50:E51"/>
    <mergeCell ref="F50:G51"/>
    <mergeCell ref="H50:I51"/>
    <mergeCell ref="J50:K51"/>
    <mergeCell ref="B44:C45"/>
    <mergeCell ref="D44:E45"/>
    <mergeCell ref="F44:G45"/>
    <mergeCell ref="H44:I45"/>
    <mergeCell ref="J44:K45"/>
    <mergeCell ref="B636:C637"/>
    <mergeCell ref="D636:E637"/>
    <mergeCell ref="F636:G637"/>
    <mergeCell ref="H636:I637"/>
    <mergeCell ref="J636:K637"/>
    <mergeCell ref="B632:C633"/>
    <mergeCell ref="D632:E633"/>
    <mergeCell ref="F632:G633"/>
    <mergeCell ref="H632:I633"/>
    <mergeCell ref="J632:K633"/>
    <mergeCell ref="B634:C635"/>
    <mergeCell ref="D634:E635"/>
    <mergeCell ref="F634:G635"/>
    <mergeCell ref="H634:I635"/>
    <mergeCell ref="J634:K635"/>
    <mergeCell ref="B628:C629"/>
    <mergeCell ref="D628:E629"/>
    <mergeCell ref="F628:G629"/>
    <mergeCell ref="H628:I629"/>
    <mergeCell ref="J628:K629"/>
    <mergeCell ref="B630:C631"/>
    <mergeCell ref="D630:E631"/>
    <mergeCell ref="F630:G631"/>
    <mergeCell ref="H630:I631"/>
    <mergeCell ref="J630:K631"/>
    <mergeCell ref="B624:C625"/>
    <mergeCell ref="D624:E625"/>
    <mergeCell ref="F624:G625"/>
    <mergeCell ref="H624:I625"/>
    <mergeCell ref="J624:K625"/>
    <mergeCell ref="B626:C627"/>
    <mergeCell ref="D626:E627"/>
    <mergeCell ref="F626:G627"/>
    <mergeCell ref="H626:I627"/>
    <mergeCell ref="J626:K627"/>
    <mergeCell ref="B620:C621"/>
    <mergeCell ref="D620:E621"/>
    <mergeCell ref="F620:G621"/>
    <mergeCell ref="H620:I621"/>
    <mergeCell ref="J620:K621"/>
    <mergeCell ref="B622:C623"/>
    <mergeCell ref="D622:E623"/>
    <mergeCell ref="F622:G623"/>
    <mergeCell ref="H622:I623"/>
    <mergeCell ref="J622:K623"/>
    <mergeCell ref="B616:C617"/>
    <mergeCell ref="D616:E617"/>
    <mergeCell ref="F616:G617"/>
    <mergeCell ref="H616:I617"/>
    <mergeCell ref="J616:K617"/>
    <mergeCell ref="B618:C619"/>
    <mergeCell ref="D618:E619"/>
    <mergeCell ref="F618:G619"/>
    <mergeCell ref="H618:I619"/>
    <mergeCell ref="J618:K619"/>
    <mergeCell ref="B612:C613"/>
    <mergeCell ref="D612:E613"/>
    <mergeCell ref="F612:G613"/>
    <mergeCell ref="H612:I613"/>
    <mergeCell ref="J612:K613"/>
    <mergeCell ref="B614:C615"/>
    <mergeCell ref="D614:E615"/>
    <mergeCell ref="F614:G615"/>
    <mergeCell ref="H614:I615"/>
    <mergeCell ref="J614:K615"/>
    <mergeCell ref="B608:C609"/>
    <mergeCell ref="D608:E609"/>
    <mergeCell ref="F608:G609"/>
    <mergeCell ref="H608:I609"/>
    <mergeCell ref="J608:K609"/>
    <mergeCell ref="B610:C611"/>
    <mergeCell ref="D610:E611"/>
    <mergeCell ref="F610:G611"/>
    <mergeCell ref="H610:I611"/>
    <mergeCell ref="J610:K611"/>
    <mergeCell ref="B604:C605"/>
    <mergeCell ref="D604:E605"/>
    <mergeCell ref="F604:G605"/>
    <mergeCell ref="H604:I605"/>
    <mergeCell ref="J604:K605"/>
    <mergeCell ref="B606:C607"/>
    <mergeCell ref="D606:E607"/>
    <mergeCell ref="F606:G607"/>
    <mergeCell ref="H606:I607"/>
    <mergeCell ref="J606:K607"/>
    <mergeCell ref="B600:C601"/>
    <mergeCell ref="D600:E601"/>
    <mergeCell ref="F600:G601"/>
    <mergeCell ref="H600:I601"/>
    <mergeCell ref="J600:K601"/>
    <mergeCell ref="B602:C603"/>
    <mergeCell ref="D602:E603"/>
    <mergeCell ref="F602:G603"/>
    <mergeCell ref="H602:I603"/>
    <mergeCell ref="J602:K603"/>
    <mergeCell ref="B596:C597"/>
    <mergeCell ref="D596:E597"/>
    <mergeCell ref="F596:G597"/>
    <mergeCell ref="H596:I597"/>
    <mergeCell ref="J596:K597"/>
    <mergeCell ref="B598:C599"/>
    <mergeCell ref="D598:E599"/>
    <mergeCell ref="F598:G599"/>
    <mergeCell ref="H598:I599"/>
    <mergeCell ref="J598:K599"/>
    <mergeCell ref="B592:C593"/>
    <mergeCell ref="D592:E593"/>
    <mergeCell ref="F592:G593"/>
    <mergeCell ref="H592:I593"/>
    <mergeCell ref="J592:K593"/>
    <mergeCell ref="B594:C595"/>
    <mergeCell ref="D594:E595"/>
    <mergeCell ref="F594:G595"/>
    <mergeCell ref="H594:I595"/>
    <mergeCell ref="J594:K595"/>
    <mergeCell ref="B588:C589"/>
    <mergeCell ref="D588:E589"/>
    <mergeCell ref="F588:G589"/>
    <mergeCell ref="H588:I589"/>
    <mergeCell ref="J588:K589"/>
    <mergeCell ref="B590:C591"/>
    <mergeCell ref="D590:E591"/>
    <mergeCell ref="F590:G591"/>
    <mergeCell ref="H590:I591"/>
    <mergeCell ref="J590:K591"/>
    <mergeCell ref="B584:C585"/>
    <mergeCell ref="D584:E585"/>
    <mergeCell ref="F584:G585"/>
    <mergeCell ref="H584:I585"/>
    <mergeCell ref="J584:K585"/>
    <mergeCell ref="B586:C587"/>
    <mergeCell ref="D586:E587"/>
    <mergeCell ref="F586:G587"/>
    <mergeCell ref="H586:I587"/>
    <mergeCell ref="J586:K587"/>
    <mergeCell ref="B580:C581"/>
    <mergeCell ref="D580:E581"/>
    <mergeCell ref="F580:G581"/>
    <mergeCell ref="H580:I581"/>
    <mergeCell ref="J580:K581"/>
    <mergeCell ref="B582:C583"/>
    <mergeCell ref="D582:E583"/>
    <mergeCell ref="F582:G583"/>
    <mergeCell ref="H582:I583"/>
    <mergeCell ref="J582:K583"/>
    <mergeCell ref="B576:C577"/>
    <mergeCell ref="D576:E577"/>
    <mergeCell ref="F576:G577"/>
    <mergeCell ref="H576:I577"/>
    <mergeCell ref="J576:K577"/>
    <mergeCell ref="B578:C579"/>
    <mergeCell ref="D578:E579"/>
    <mergeCell ref="F578:G579"/>
    <mergeCell ref="H578:I579"/>
    <mergeCell ref="J578:K579"/>
    <mergeCell ref="B572:C573"/>
    <mergeCell ref="D572:E573"/>
    <mergeCell ref="F572:G573"/>
    <mergeCell ref="H572:I573"/>
    <mergeCell ref="J572:K573"/>
    <mergeCell ref="B574:C575"/>
    <mergeCell ref="D574:E575"/>
    <mergeCell ref="F574:G575"/>
    <mergeCell ref="H574:I575"/>
    <mergeCell ref="J574:K575"/>
    <mergeCell ref="B568:C569"/>
    <mergeCell ref="D568:E569"/>
    <mergeCell ref="F568:G569"/>
    <mergeCell ref="H568:I569"/>
    <mergeCell ref="J568:K569"/>
    <mergeCell ref="B570:C571"/>
    <mergeCell ref="D570:E571"/>
    <mergeCell ref="F570:G571"/>
    <mergeCell ref="H570:I571"/>
    <mergeCell ref="J570:K571"/>
    <mergeCell ref="B564:C565"/>
    <mergeCell ref="D564:E565"/>
    <mergeCell ref="F564:G565"/>
    <mergeCell ref="H564:I565"/>
    <mergeCell ref="J564:K565"/>
    <mergeCell ref="B566:C567"/>
    <mergeCell ref="D566:E567"/>
    <mergeCell ref="F566:G567"/>
    <mergeCell ref="H566:I567"/>
    <mergeCell ref="J566:K567"/>
    <mergeCell ref="B560:C561"/>
    <mergeCell ref="D560:E561"/>
    <mergeCell ref="F560:G561"/>
    <mergeCell ref="H560:I561"/>
    <mergeCell ref="J560:K561"/>
    <mergeCell ref="B562:C563"/>
    <mergeCell ref="D562:E563"/>
    <mergeCell ref="F562:G563"/>
    <mergeCell ref="H562:I563"/>
    <mergeCell ref="J562:K563"/>
    <mergeCell ref="B556:C557"/>
    <mergeCell ref="D556:E557"/>
    <mergeCell ref="F556:G557"/>
    <mergeCell ref="H556:I557"/>
    <mergeCell ref="J556:K557"/>
    <mergeCell ref="B558:C559"/>
    <mergeCell ref="D558:E559"/>
    <mergeCell ref="F558:G559"/>
    <mergeCell ref="H558:I559"/>
    <mergeCell ref="J558:K559"/>
    <mergeCell ref="B552:C553"/>
    <mergeCell ref="D552:E553"/>
    <mergeCell ref="F552:G553"/>
    <mergeCell ref="H552:I553"/>
    <mergeCell ref="J552:K553"/>
    <mergeCell ref="B554:C555"/>
    <mergeCell ref="D554:E555"/>
    <mergeCell ref="F554:G555"/>
    <mergeCell ref="H554:I555"/>
    <mergeCell ref="J554:K555"/>
    <mergeCell ref="B548:C549"/>
    <mergeCell ref="D548:E549"/>
    <mergeCell ref="F548:G549"/>
    <mergeCell ref="H548:I549"/>
    <mergeCell ref="J548:K549"/>
    <mergeCell ref="B550:C551"/>
    <mergeCell ref="D550:E551"/>
    <mergeCell ref="F550:G551"/>
    <mergeCell ref="H550:I551"/>
    <mergeCell ref="J550:K551"/>
    <mergeCell ref="B544:C545"/>
    <mergeCell ref="D544:E545"/>
    <mergeCell ref="F544:G545"/>
    <mergeCell ref="H544:I545"/>
    <mergeCell ref="J544:K545"/>
    <mergeCell ref="B546:C547"/>
    <mergeCell ref="D546:E547"/>
    <mergeCell ref="F546:G547"/>
    <mergeCell ref="H546:I547"/>
    <mergeCell ref="J546:K547"/>
    <mergeCell ref="B540:C541"/>
    <mergeCell ref="D540:E541"/>
    <mergeCell ref="F540:G541"/>
    <mergeCell ref="H540:I541"/>
    <mergeCell ref="J540:K541"/>
    <mergeCell ref="B542:C543"/>
    <mergeCell ref="D542:E543"/>
    <mergeCell ref="F542:G543"/>
    <mergeCell ref="H542:I543"/>
    <mergeCell ref="J542:K543"/>
    <mergeCell ref="B536:C537"/>
    <mergeCell ref="D536:E537"/>
    <mergeCell ref="F536:G537"/>
    <mergeCell ref="H536:I537"/>
    <mergeCell ref="J536:K537"/>
    <mergeCell ref="B538:C539"/>
    <mergeCell ref="D538:E539"/>
    <mergeCell ref="F538:G539"/>
    <mergeCell ref="H538:I539"/>
    <mergeCell ref="J538:K539"/>
    <mergeCell ref="B532:C533"/>
    <mergeCell ref="D532:E533"/>
    <mergeCell ref="F532:G533"/>
    <mergeCell ref="H532:I533"/>
    <mergeCell ref="J532:K533"/>
    <mergeCell ref="B534:C535"/>
    <mergeCell ref="D534:E535"/>
    <mergeCell ref="F534:G535"/>
    <mergeCell ref="H534:I535"/>
    <mergeCell ref="J534:K535"/>
    <mergeCell ref="B528:C529"/>
    <mergeCell ref="D528:E529"/>
    <mergeCell ref="F528:G529"/>
    <mergeCell ref="H528:I529"/>
    <mergeCell ref="J528:K529"/>
    <mergeCell ref="B530:C531"/>
    <mergeCell ref="D530:E531"/>
    <mergeCell ref="F530:G531"/>
    <mergeCell ref="H530:I531"/>
    <mergeCell ref="J530:K531"/>
    <mergeCell ref="B524:C525"/>
    <mergeCell ref="D524:E525"/>
    <mergeCell ref="F524:G525"/>
    <mergeCell ref="H524:I525"/>
    <mergeCell ref="J524:K525"/>
    <mergeCell ref="B526:C527"/>
    <mergeCell ref="D526:E527"/>
    <mergeCell ref="F526:G527"/>
    <mergeCell ref="H526:I527"/>
    <mergeCell ref="J526:K527"/>
    <mergeCell ref="B520:C521"/>
    <mergeCell ref="D520:E521"/>
    <mergeCell ref="F520:G521"/>
    <mergeCell ref="H520:I521"/>
    <mergeCell ref="J520:K521"/>
    <mergeCell ref="B522:C523"/>
    <mergeCell ref="D522:E523"/>
    <mergeCell ref="F522:G523"/>
    <mergeCell ref="H522:I523"/>
    <mergeCell ref="J522:K523"/>
    <mergeCell ref="B516:C517"/>
    <mergeCell ref="D516:E517"/>
    <mergeCell ref="F516:G517"/>
    <mergeCell ref="H516:I517"/>
    <mergeCell ref="J516:K517"/>
    <mergeCell ref="B518:C519"/>
    <mergeCell ref="D518:E519"/>
    <mergeCell ref="F518:G519"/>
    <mergeCell ref="H518:I519"/>
    <mergeCell ref="J518:K519"/>
    <mergeCell ref="B512:C513"/>
    <mergeCell ref="D512:E513"/>
    <mergeCell ref="F512:G513"/>
    <mergeCell ref="H512:I513"/>
    <mergeCell ref="J512:K513"/>
    <mergeCell ref="B514:C515"/>
    <mergeCell ref="D514:E515"/>
    <mergeCell ref="F514:G515"/>
    <mergeCell ref="H514:I515"/>
    <mergeCell ref="J514:K515"/>
    <mergeCell ref="B508:C509"/>
    <mergeCell ref="D508:E509"/>
    <mergeCell ref="F508:G509"/>
    <mergeCell ref="H508:I509"/>
    <mergeCell ref="J508:K509"/>
    <mergeCell ref="B510:C511"/>
    <mergeCell ref="D510:E511"/>
    <mergeCell ref="F510:G511"/>
    <mergeCell ref="H510:I511"/>
    <mergeCell ref="J510:K511"/>
    <mergeCell ref="B504:C505"/>
    <mergeCell ref="D504:E505"/>
    <mergeCell ref="F504:G505"/>
    <mergeCell ref="H504:I505"/>
    <mergeCell ref="J504:K505"/>
    <mergeCell ref="B506:C507"/>
    <mergeCell ref="D506:E507"/>
    <mergeCell ref="F506:G507"/>
    <mergeCell ref="H506:I507"/>
    <mergeCell ref="J506:K507"/>
    <mergeCell ref="B500:C501"/>
    <mergeCell ref="D500:E501"/>
    <mergeCell ref="F500:G501"/>
    <mergeCell ref="H500:I501"/>
    <mergeCell ref="J500:K501"/>
    <mergeCell ref="B502:C503"/>
    <mergeCell ref="D502:E503"/>
    <mergeCell ref="F502:G503"/>
    <mergeCell ref="H502:I503"/>
    <mergeCell ref="J502:K503"/>
    <mergeCell ref="B496:C497"/>
    <mergeCell ref="D496:E497"/>
    <mergeCell ref="F496:G497"/>
    <mergeCell ref="H496:I497"/>
    <mergeCell ref="J496:K497"/>
    <mergeCell ref="B498:C499"/>
    <mergeCell ref="D498:E499"/>
    <mergeCell ref="F498:G499"/>
    <mergeCell ref="H498:I499"/>
    <mergeCell ref="J498:K499"/>
    <mergeCell ref="B492:C493"/>
    <mergeCell ref="D492:E493"/>
    <mergeCell ref="F492:G493"/>
    <mergeCell ref="H492:I493"/>
    <mergeCell ref="J492:K493"/>
    <mergeCell ref="B494:C495"/>
    <mergeCell ref="D494:E495"/>
    <mergeCell ref="F494:G495"/>
    <mergeCell ref="H494:I495"/>
    <mergeCell ref="J494:K495"/>
    <mergeCell ref="B488:C489"/>
    <mergeCell ref="D488:E489"/>
    <mergeCell ref="F488:G489"/>
    <mergeCell ref="H488:I489"/>
    <mergeCell ref="J488:K489"/>
    <mergeCell ref="B490:C491"/>
    <mergeCell ref="D490:E491"/>
    <mergeCell ref="F490:G491"/>
    <mergeCell ref="H490:I491"/>
    <mergeCell ref="J490:K491"/>
    <mergeCell ref="B484:C485"/>
    <mergeCell ref="D484:E485"/>
    <mergeCell ref="F484:G485"/>
    <mergeCell ref="H484:I485"/>
    <mergeCell ref="J484:K485"/>
    <mergeCell ref="B486:C487"/>
    <mergeCell ref="D486:E487"/>
    <mergeCell ref="F486:G487"/>
    <mergeCell ref="H486:I487"/>
    <mergeCell ref="J486:K487"/>
    <mergeCell ref="B480:C481"/>
    <mergeCell ref="D480:E481"/>
    <mergeCell ref="F480:G481"/>
    <mergeCell ref="H480:I481"/>
    <mergeCell ref="J480:K481"/>
    <mergeCell ref="B482:C483"/>
    <mergeCell ref="D482:E483"/>
    <mergeCell ref="F482:G483"/>
    <mergeCell ref="H482:I483"/>
    <mergeCell ref="J482:K483"/>
    <mergeCell ref="B476:C477"/>
    <mergeCell ref="D476:E477"/>
    <mergeCell ref="F476:G477"/>
    <mergeCell ref="H476:I477"/>
    <mergeCell ref="J476:K477"/>
    <mergeCell ref="B478:C479"/>
    <mergeCell ref="D478:E479"/>
    <mergeCell ref="F478:G479"/>
    <mergeCell ref="H478:I479"/>
    <mergeCell ref="J478:K479"/>
    <mergeCell ref="B472:C473"/>
    <mergeCell ref="D472:E473"/>
    <mergeCell ref="F472:G473"/>
    <mergeCell ref="H472:I473"/>
    <mergeCell ref="J472:K473"/>
    <mergeCell ref="B474:C475"/>
    <mergeCell ref="D474:E475"/>
    <mergeCell ref="F474:G475"/>
    <mergeCell ref="H474:I475"/>
    <mergeCell ref="J474:K475"/>
    <mergeCell ref="B468:C469"/>
    <mergeCell ref="D468:E469"/>
    <mergeCell ref="F468:G469"/>
    <mergeCell ref="H468:I469"/>
    <mergeCell ref="J468:K469"/>
    <mergeCell ref="B470:C471"/>
    <mergeCell ref="D470:E471"/>
    <mergeCell ref="F470:G471"/>
    <mergeCell ref="H470:I471"/>
    <mergeCell ref="J470:K471"/>
    <mergeCell ref="B464:C465"/>
    <mergeCell ref="D464:E465"/>
    <mergeCell ref="F464:G465"/>
    <mergeCell ref="H464:I465"/>
    <mergeCell ref="J464:K465"/>
    <mergeCell ref="B466:C467"/>
    <mergeCell ref="D466:E467"/>
    <mergeCell ref="F466:G467"/>
    <mergeCell ref="H466:I467"/>
    <mergeCell ref="J466:K467"/>
    <mergeCell ref="B460:C461"/>
    <mergeCell ref="D460:E461"/>
    <mergeCell ref="F460:G461"/>
    <mergeCell ref="H460:I461"/>
    <mergeCell ref="J460:K461"/>
    <mergeCell ref="B462:C463"/>
    <mergeCell ref="D462:E463"/>
    <mergeCell ref="F462:G463"/>
    <mergeCell ref="H462:I463"/>
    <mergeCell ref="J462:K463"/>
    <mergeCell ref="B456:C457"/>
    <mergeCell ref="D456:E457"/>
    <mergeCell ref="F456:G457"/>
    <mergeCell ref="H456:I457"/>
    <mergeCell ref="J456:K457"/>
    <mergeCell ref="B458:C459"/>
    <mergeCell ref="D458:E459"/>
    <mergeCell ref="F458:G459"/>
    <mergeCell ref="H458:I459"/>
    <mergeCell ref="J458:K459"/>
    <mergeCell ref="B452:C453"/>
    <mergeCell ref="D452:E453"/>
    <mergeCell ref="F452:G453"/>
    <mergeCell ref="H452:I453"/>
    <mergeCell ref="J452:K453"/>
    <mergeCell ref="B454:C455"/>
    <mergeCell ref="D454:E455"/>
    <mergeCell ref="F454:G455"/>
    <mergeCell ref="H454:I455"/>
    <mergeCell ref="J454:K455"/>
    <mergeCell ref="B448:C449"/>
    <mergeCell ref="D448:E449"/>
    <mergeCell ref="F448:G449"/>
    <mergeCell ref="H448:I449"/>
    <mergeCell ref="J448:K449"/>
    <mergeCell ref="B450:C451"/>
    <mergeCell ref="D450:E451"/>
    <mergeCell ref="F450:G451"/>
    <mergeCell ref="H450:I451"/>
    <mergeCell ref="J450:K451"/>
    <mergeCell ref="B444:C445"/>
    <mergeCell ref="D444:E445"/>
    <mergeCell ref="F444:G445"/>
    <mergeCell ref="H444:I445"/>
    <mergeCell ref="J444:K445"/>
    <mergeCell ref="B446:C447"/>
    <mergeCell ref="D446:E447"/>
    <mergeCell ref="F446:G447"/>
    <mergeCell ref="H446:I447"/>
    <mergeCell ref="J446:K447"/>
    <mergeCell ref="B440:C441"/>
    <mergeCell ref="D440:E441"/>
    <mergeCell ref="F440:G441"/>
    <mergeCell ref="H440:I441"/>
    <mergeCell ref="J440:K441"/>
    <mergeCell ref="B442:C443"/>
    <mergeCell ref="D442:E443"/>
    <mergeCell ref="F442:G443"/>
    <mergeCell ref="H442:I443"/>
    <mergeCell ref="J442:K443"/>
    <mergeCell ref="B436:C437"/>
    <mergeCell ref="D436:E437"/>
    <mergeCell ref="F436:G437"/>
    <mergeCell ref="H436:I437"/>
    <mergeCell ref="J436:K437"/>
    <mergeCell ref="B438:C439"/>
    <mergeCell ref="D438:E439"/>
    <mergeCell ref="F438:G439"/>
    <mergeCell ref="H438:I439"/>
    <mergeCell ref="J438:K439"/>
    <mergeCell ref="B432:C433"/>
    <mergeCell ref="D432:E433"/>
    <mergeCell ref="F432:G433"/>
    <mergeCell ref="H432:I433"/>
    <mergeCell ref="J432:K433"/>
    <mergeCell ref="B434:C435"/>
    <mergeCell ref="D434:E435"/>
    <mergeCell ref="F434:G435"/>
    <mergeCell ref="H434:I435"/>
    <mergeCell ref="J434:K435"/>
    <mergeCell ref="B428:C429"/>
    <mergeCell ref="D428:E429"/>
    <mergeCell ref="F428:G429"/>
    <mergeCell ref="H428:I429"/>
    <mergeCell ref="J428:K429"/>
    <mergeCell ref="B430:C431"/>
    <mergeCell ref="D430:E431"/>
    <mergeCell ref="F430:G431"/>
    <mergeCell ref="H430:I431"/>
    <mergeCell ref="J430:K431"/>
    <mergeCell ref="B424:C425"/>
    <mergeCell ref="D424:E425"/>
    <mergeCell ref="F424:G425"/>
    <mergeCell ref="H424:I425"/>
    <mergeCell ref="J424:K425"/>
    <mergeCell ref="B426:C427"/>
    <mergeCell ref="D426:E427"/>
    <mergeCell ref="F426:G427"/>
    <mergeCell ref="H426:I427"/>
    <mergeCell ref="J426:K427"/>
    <mergeCell ref="B420:C421"/>
    <mergeCell ref="D420:E421"/>
    <mergeCell ref="F420:G421"/>
    <mergeCell ref="H420:I421"/>
    <mergeCell ref="J420:K421"/>
    <mergeCell ref="B422:C423"/>
    <mergeCell ref="D422:E423"/>
    <mergeCell ref="F422:G423"/>
    <mergeCell ref="H422:I423"/>
    <mergeCell ref="J422:K423"/>
    <mergeCell ref="B416:C417"/>
    <mergeCell ref="D416:E417"/>
    <mergeCell ref="F416:G417"/>
    <mergeCell ref="H416:I417"/>
    <mergeCell ref="J416:K417"/>
    <mergeCell ref="B418:C419"/>
    <mergeCell ref="D418:E419"/>
    <mergeCell ref="F418:G419"/>
    <mergeCell ref="H418:I419"/>
    <mergeCell ref="J418:K419"/>
    <mergeCell ref="B412:C413"/>
    <mergeCell ref="D412:E413"/>
    <mergeCell ref="F412:G413"/>
    <mergeCell ref="H412:I413"/>
    <mergeCell ref="J412:K413"/>
    <mergeCell ref="B414:C415"/>
    <mergeCell ref="D414:E415"/>
    <mergeCell ref="F414:G415"/>
    <mergeCell ref="H414:I415"/>
    <mergeCell ref="J414:K415"/>
    <mergeCell ref="B408:C409"/>
    <mergeCell ref="D408:E409"/>
    <mergeCell ref="F408:G409"/>
    <mergeCell ref="H408:I409"/>
    <mergeCell ref="J408:K409"/>
    <mergeCell ref="B410:C411"/>
    <mergeCell ref="D410:E411"/>
    <mergeCell ref="F410:G411"/>
    <mergeCell ref="H410:I411"/>
    <mergeCell ref="J410:K411"/>
    <mergeCell ref="B404:C405"/>
    <mergeCell ref="D404:E405"/>
    <mergeCell ref="F404:G405"/>
    <mergeCell ref="H404:I405"/>
    <mergeCell ref="J404:K405"/>
    <mergeCell ref="B406:C407"/>
    <mergeCell ref="D406:E407"/>
    <mergeCell ref="F406:G407"/>
    <mergeCell ref="H406:I407"/>
    <mergeCell ref="J406:K407"/>
    <mergeCell ref="B400:C401"/>
    <mergeCell ref="D400:E401"/>
    <mergeCell ref="F400:G401"/>
    <mergeCell ref="H400:I401"/>
    <mergeCell ref="J400:K401"/>
    <mergeCell ref="B402:C403"/>
    <mergeCell ref="D402:E403"/>
    <mergeCell ref="F402:G403"/>
    <mergeCell ref="H402:I403"/>
    <mergeCell ref="J402:K403"/>
    <mergeCell ref="B396:C397"/>
    <mergeCell ref="D396:E397"/>
    <mergeCell ref="F396:G397"/>
    <mergeCell ref="H396:I397"/>
    <mergeCell ref="J396:K397"/>
    <mergeCell ref="B398:C399"/>
    <mergeCell ref="D398:E399"/>
    <mergeCell ref="F398:G399"/>
    <mergeCell ref="H398:I399"/>
    <mergeCell ref="J398:K399"/>
    <mergeCell ref="B392:C393"/>
    <mergeCell ref="D392:E393"/>
    <mergeCell ref="F392:G393"/>
    <mergeCell ref="H392:I393"/>
    <mergeCell ref="J392:K393"/>
    <mergeCell ref="B394:C395"/>
    <mergeCell ref="D394:E395"/>
    <mergeCell ref="F394:G395"/>
    <mergeCell ref="H394:I395"/>
    <mergeCell ref="J394:K395"/>
    <mergeCell ref="B388:C389"/>
    <mergeCell ref="D388:E389"/>
    <mergeCell ref="F388:G389"/>
    <mergeCell ref="H388:I389"/>
    <mergeCell ref="J388:K389"/>
    <mergeCell ref="B390:C391"/>
    <mergeCell ref="D390:E391"/>
    <mergeCell ref="F390:G391"/>
    <mergeCell ref="H390:I391"/>
    <mergeCell ref="J390:K391"/>
    <mergeCell ref="B384:C385"/>
    <mergeCell ref="D384:E385"/>
    <mergeCell ref="F384:G385"/>
    <mergeCell ref="H384:I385"/>
    <mergeCell ref="J384:K385"/>
    <mergeCell ref="B386:C387"/>
    <mergeCell ref="D386:E387"/>
    <mergeCell ref="F386:G387"/>
    <mergeCell ref="H386:I387"/>
    <mergeCell ref="J386:K387"/>
    <mergeCell ref="B380:C381"/>
    <mergeCell ref="D380:E381"/>
    <mergeCell ref="F380:G381"/>
    <mergeCell ref="H380:I381"/>
    <mergeCell ref="J380:K381"/>
    <mergeCell ref="B382:C383"/>
    <mergeCell ref="D382:E383"/>
    <mergeCell ref="F382:G383"/>
    <mergeCell ref="H382:I383"/>
    <mergeCell ref="J382:K383"/>
    <mergeCell ref="B376:C377"/>
    <mergeCell ref="D376:E377"/>
    <mergeCell ref="F376:G377"/>
    <mergeCell ref="H376:I377"/>
    <mergeCell ref="J376:K377"/>
    <mergeCell ref="B378:C379"/>
    <mergeCell ref="D378:E379"/>
    <mergeCell ref="F378:G379"/>
    <mergeCell ref="H378:I379"/>
    <mergeCell ref="J378:K379"/>
    <mergeCell ref="B372:C373"/>
    <mergeCell ref="D372:E373"/>
    <mergeCell ref="F372:G373"/>
    <mergeCell ref="H372:I373"/>
    <mergeCell ref="J372:K373"/>
    <mergeCell ref="B374:C375"/>
    <mergeCell ref="D374:E375"/>
    <mergeCell ref="F374:G375"/>
    <mergeCell ref="H374:I375"/>
    <mergeCell ref="J374:K375"/>
    <mergeCell ref="B368:C369"/>
    <mergeCell ref="D368:E369"/>
    <mergeCell ref="F368:G369"/>
    <mergeCell ref="H368:I369"/>
    <mergeCell ref="J368:K369"/>
    <mergeCell ref="B370:C371"/>
    <mergeCell ref="D370:E371"/>
    <mergeCell ref="F370:G371"/>
    <mergeCell ref="H370:I371"/>
    <mergeCell ref="J370:K371"/>
    <mergeCell ref="B364:C365"/>
    <mergeCell ref="D364:E365"/>
    <mergeCell ref="F364:G365"/>
    <mergeCell ref="H364:I365"/>
    <mergeCell ref="J364:K365"/>
    <mergeCell ref="B366:C367"/>
    <mergeCell ref="D366:E367"/>
    <mergeCell ref="F366:G367"/>
    <mergeCell ref="H366:I367"/>
    <mergeCell ref="J366:K367"/>
    <mergeCell ref="B360:C361"/>
    <mergeCell ref="D360:E361"/>
    <mergeCell ref="F360:G361"/>
    <mergeCell ref="H360:I361"/>
    <mergeCell ref="J360:K361"/>
    <mergeCell ref="B362:C363"/>
    <mergeCell ref="D362:E363"/>
    <mergeCell ref="F362:G363"/>
    <mergeCell ref="H362:I363"/>
    <mergeCell ref="J362:K363"/>
    <mergeCell ref="B356:C357"/>
    <mergeCell ref="D356:E357"/>
    <mergeCell ref="F356:G357"/>
    <mergeCell ref="H356:I357"/>
    <mergeCell ref="J356:K357"/>
    <mergeCell ref="B358:C359"/>
    <mergeCell ref="D358:E359"/>
    <mergeCell ref="F358:G359"/>
    <mergeCell ref="H358:I359"/>
    <mergeCell ref="J358:K359"/>
    <mergeCell ref="B352:C353"/>
    <mergeCell ref="D352:E353"/>
    <mergeCell ref="F352:G353"/>
    <mergeCell ref="H352:I353"/>
    <mergeCell ref="J352:K353"/>
    <mergeCell ref="B354:C355"/>
    <mergeCell ref="D354:E355"/>
    <mergeCell ref="F354:G355"/>
    <mergeCell ref="H354:I355"/>
    <mergeCell ref="J354:K355"/>
    <mergeCell ref="B348:C349"/>
    <mergeCell ref="D348:E349"/>
    <mergeCell ref="F348:G349"/>
    <mergeCell ref="H348:I349"/>
    <mergeCell ref="J348:K349"/>
    <mergeCell ref="B350:C351"/>
    <mergeCell ref="D350:E351"/>
    <mergeCell ref="F350:G351"/>
    <mergeCell ref="H350:I351"/>
    <mergeCell ref="J350:K351"/>
    <mergeCell ref="B344:C345"/>
    <mergeCell ref="D344:E345"/>
    <mergeCell ref="F344:G345"/>
    <mergeCell ref="H344:I345"/>
    <mergeCell ref="J344:K345"/>
    <mergeCell ref="B346:C347"/>
    <mergeCell ref="D346:E347"/>
    <mergeCell ref="F346:G347"/>
    <mergeCell ref="H346:I347"/>
    <mergeCell ref="J346:K347"/>
    <mergeCell ref="B340:C341"/>
    <mergeCell ref="D340:E341"/>
    <mergeCell ref="F340:G341"/>
    <mergeCell ref="H340:I341"/>
    <mergeCell ref="J340:K341"/>
    <mergeCell ref="B342:C343"/>
    <mergeCell ref="D342:E343"/>
    <mergeCell ref="F342:G343"/>
    <mergeCell ref="H342:I343"/>
    <mergeCell ref="J342:K343"/>
    <mergeCell ref="B336:C337"/>
    <mergeCell ref="D336:E337"/>
    <mergeCell ref="F336:G337"/>
    <mergeCell ref="H336:I337"/>
    <mergeCell ref="J336:K337"/>
    <mergeCell ref="B338:C339"/>
    <mergeCell ref="D338:E339"/>
    <mergeCell ref="F338:G339"/>
    <mergeCell ref="H338:I339"/>
    <mergeCell ref="J338:K339"/>
    <mergeCell ref="B332:C333"/>
    <mergeCell ref="D332:E333"/>
    <mergeCell ref="F332:G333"/>
    <mergeCell ref="H332:I333"/>
    <mergeCell ref="J332:K333"/>
    <mergeCell ref="B334:C335"/>
    <mergeCell ref="D334:E335"/>
    <mergeCell ref="F334:G335"/>
    <mergeCell ref="H334:I335"/>
    <mergeCell ref="J334:K335"/>
    <mergeCell ref="B328:C329"/>
    <mergeCell ref="D328:E329"/>
    <mergeCell ref="F328:G329"/>
    <mergeCell ref="H328:I329"/>
    <mergeCell ref="J328:K329"/>
    <mergeCell ref="B330:C331"/>
    <mergeCell ref="D330:E331"/>
    <mergeCell ref="F330:G331"/>
    <mergeCell ref="H330:I331"/>
    <mergeCell ref="J330:K331"/>
    <mergeCell ref="B324:C325"/>
    <mergeCell ref="D324:E325"/>
    <mergeCell ref="F324:G325"/>
    <mergeCell ref="H324:I325"/>
    <mergeCell ref="J324:K325"/>
    <mergeCell ref="B326:C327"/>
    <mergeCell ref="D326:E327"/>
    <mergeCell ref="F326:G327"/>
    <mergeCell ref="H326:I327"/>
    <mergeCell ref="J326:K327"/>
    <mergeCell ref="B320:C321"/>
    <mergeCell ref="D320:E321"/>
    <mergeCell ref="F320:G321"/>
    <mergeCell ref="H320:I321"/>
    <mergeCell ref="J320:K321"/>
    <mergeCell ref="B322:C323"/>
    <mergeCell ref="D322:E323"/>
    <mergeCell ref="F322:G323"/>
    <mergeCell ref="H322:I323"/>
    <mergeCell ref="J322:K323"/>
    <mergeCell ref="B316:C317"/>
    <mergeCell ref="D316:E317"/>
    <mergeCell ref="F316:G317"/>
    <mergeCell ref="H316:I317"/>
    <mergeCell ref="J316:K317"/>
    <mergeCell ref="B318:C319"/>
    <mergeCell ref="D318:E319"/>
    <mergeCell ref="F318:G319"/>
    <mergeCell ref="H318:I319"/>
    <mergeCell ref="J318:K319"/>
    <mergeCell ref="B312:C313"/>
    <mergeCell ref="D312:E313"/>
    <mergeCell ref="F312:G313"/>
    <mergeCell ref="H312:I313"/>
    <mergeCell ref="J312:K313"/>
    <mergeCell ref="B314:C315"/>
    <mergeCell ref="D314:E315"/>
    <mergeCell ref="F314:G315"/>
    <mergeCell ref="H314:I315"/>
    <mergeCell ref="J314:K315"/>
    <mergeCell ref="B308:C309"/>
    <mergeCell ref="D308:E309"/>
    <mergeCell ref="F308:G309"/>
    <mergeCell ref="H308:I309"/>
    <mergeCell ref="J308:K309"/>
    <mergeCell ref="B310:C311"/>
    <mergeCell ref="D310:E311"/>
    <mergeCell ref="F310:G311"/>
    <mergeCell ref="H310:I311"/>
    <mergeCell ref="J310:K311"/>
    <mergeCell ref="B304:C305"/>
    <mergeCell ref="D304:E305"/>
    <mergeCell ref="F304:G305"/>
    <mergeCell ref="H304:I305"/>
    <mergeCell ref="J304:K305"/>
    <mergeCell ref="B306:C307"/>
    <mergeCell ref="D306:E307"/>
    <mergeCell ref="F306:G307"/>
    <mergeCell ref="H306:I307"/>
    <mergeCell ref="J306:K307"/>
    <mergeCell ref="B300:C301"/>
    <mergeCell ref="D300:E301"/>
    <mergeCell ref="F300:G301"/>
    <mergeCell ref="H300:I301"/>
    <mergeCell ref="J300:K301"/>
    <mergeCell ref="B302:C303"/>
    <mergeCell ref="D302:E303"/>
    <mergeCell ref="F302:G303"/>
    <mergeCell ref="H302:I303"/>
    <mergeCell ref="J302:K303"/>
    <mergeCell ref="B296:C297"/>
    <mergeCell ref="D296:E297"/>
    <mergeCell ref="F296:G297"/>
    <mergeCell ref="H296:I297"/>
    <mergeCell ref="J296:K297"/>
    <mergeCell ref="B298:C299"/>
    <mergeCell ref="D298:E299"/>
    <mergeCell ref="F298:G299"/>
    <mergeCell ref="H298:I299"/>
    <mergeCell ref="J298:K299"/>
    <mergeCell ref="B292:C293"/>
    <mergeCell ref="D292:E293"/>
    <mergeCell ref="F292:G293"/>
    <mergeCell ref="H292:I293"/>
    <mergeCell ref="J292:K293"/>
    <mergeCell ref="B294:C295"/>
    <mergeCell ref="D294:E295"/>
    <mergeCell ref="F294:G295"/>
    <mergeCell ref="H294:I295"/>
    <mergeCell ref="J294:K295"/>
    <mergeCell ref="B288:C289"/>
    <mergeCell ref="D288:E289"/>
    <mergeCell ref="F288:G289"/>
    <mergeCell ref="H288:I289"/>
    <mergeCell ref="J288:K289"/>
    <mergeCell ref="B290:C291"/>
    <mergeCell ref="D290:E291"/>
    <mergeCell ref="F290:G291"/>
    <mergeCell ref="H290:I291"/>
    <mergeCell ref="J290:K291"/>
    <mergeCell ref="B284:C285"/>
    <mergeCell ref="D284:E285"/>
    <mergeCell ref="F284:G285"/>
    <mergeCell ref="H284:I285"/>
    <mergeCell ref="J284:K285"/>
    <mergeCell ref="B286:C287"/>
    <mergeCell ref="D286:E287"/>
    <mergeCell ref="F286:G287"/>
    <mergeCell ref="H286:I287"/>
    <mergeCell ref="J286:K287"/>
    <mergeCell ref="B280:C281"/>
    <mergeCell ref="D280:E281"/>
    <mergeCell ref="F280:G281"/>
    <mergeCell ref="H280:I281"/>
    <mergeCell ref="J280:K281"/>
    <mergeCell ref="B282:C283"/>
    <mergeCell ref="D282:E283"/>
    <mergeCell ref="F282:G283"/>
    <mergeCell ref="H282:I283"/>
    <mergeCell ref="J282:K283"/>
    <mergeCell ref="B276:C277"/>
    <mergeCell ref="D276:E277"/>
    <mergeCell ref="F276:G277"/>
    <mergeCell ref="H276:I277"/>
    <mergeCell ref="J276:K277"/>
    <mergeCell ref="B278:C279"/>
    <mergeCell ref="D278:E279"/>
    <mergeCell ref="F278:G279"/>
    <mergeCell ref="H278:I279"/>
    <mergeCell ref="J278:K279"/>
    <mergeCell ref="B272:C273"/>
    <mergeCell ref="D272:E273"/>
    <mergeCell ref="F272:G273"/>
    <mergeCell ref="H272:I273"/>
    <mergeCell ref="J272:K273"/>
    <mergeCell ref="B274:C275"/>
    <mergeCell ref="D274:E275"/>
    <mergeCell ref="F274:G275"/>
    <mergeCell ref="H274:I275"/>
    <mergeCell ref="J274:K275"/>
    <mergeCell ref="B268:C269"/>
    <mergeCell ref="D268:E269"/>
    <mergeCell ref="F268:G269"/>
    <mergeCell ref="H268:I269"/>
    <mergeCell ref="J268:K269"/>
    <mergeCell ref="B270:C271"/>
    <mergeCell ref="D270:E271"/>
    <mergeCell ref="F270:G271"/>
    <mergeCell ref="H270:I271"/>
    <mergeCell ref="J270:K271"/>
    <mergeCell ref="B264:C265"/>
    <mergeCell ref="D264:E265"/>
    <mergeCell ref="F264:G265"/>
    <mergeCell ref="H264:I265"/>
    <mergeCell ref="J264:K265"/>
    <mergeCell ref="B266:C267"/>
    <mergeCell ref="D266:E267"/>
    <mergeCell ref="F266:G267"/>
    <mergeCell ref="H266:I267"/>
    <mergeCell ref="J266:K267"/>
    <mergeCell ref="B260:C261"/>
    <mergeCell ref="D260:E261"/>
    <mergeCell ref="F260:G261"/>
    <mergeCell ref="H260:I261"/>
    <mergeCell ref="J260:K261"/>
    <mergeCell ref="B262:C263"/>
    <mergeCell ref="D262:E263"/>
    <mergeCell ref="F262:G263"/>
    <mergeCell ref="H262:I263"/>
    <mergeCell ref="J262:K263"/>
    <mergeCell ref="B256:C257"/>
    <mergeCell ref="D256:E257"/>
    <mergeCell ref="F256:G257"/>
    <mergeCell ref="H256:I257"/>
    <mergeCell ref="J256:K257"/>
    <mergeCell ref="B258:C259"/>
    <mergeCell ref="D258:E259"/>
    <mergeCell ref="F258:G259"/>
    <mergeCell ref="H258:I259"/>
    <mergeCell ref="J258:K259"/>
    <mergeCell ref="B252:C253"/>
    <mergeCell ref="D252:E253"/>
    <mergeCell ref="F252:G253"/>
    <mergeCell ref="H252:I253"/>
    <mergeCell ref="J252:K253"/>
    <mergeCell ref="B254:C255"/>
    <mergeCell ref="D254:E255"/>
    <mergeCell ref="F254:G255"/>
    <mergeCell ref="H254:I255"/>
    <mergeCell ref="J254:K255"/>
    <mergeCell ref="B248:C249"/>
    <mergeCell ref="D248:E249"/>
    <mergeCell ref="F248:G249"/>
    <mergeCell ref="H248:I249"/>
    <mergeCell ref="J248:K249"/>
    <mergeCell ref="B250:C251"/>
    <mergeCell ref="D250:E251"/>
    <mergeCell ref="F250:G251"/>
    <mergeCell ref="H250:I251"/>
    <mergeCell ref="J250:K251"/>
    <mergeCell ref="B244:C245"/>
    <mergeCell ref="D244:E245"/>
    <mergeCell ref="F244:G245"/>
    <mergeCell ref="H244:I245"/>
    <mergeCell ref="J244:K245"/>
    <mergeCell ref="B246:C247"/>
    <mergeCell ref="D246:E247"/>
    <mergeCell ref="F246:G247"/>
    <mergeCell ref="H246:I247"/>
    <mergeCell ref="J246:K247"/>
    <mergeCell ref="B240:C241"/>
    <mergeCell ref="D240:E241"/>
    <mergeCell ref="F240:G241"/>
    <mergeCell ref="H240:I241"/>
    <mergeCell ref="J240:K241"/>
    <mergeCell ref="B242:C243"/>
    <mergeCell ref="D242:E243"/>
    <mergeCell ref="F242:G243"/>
    <mergeCell ref="H242:I243"/>
    <mergeCell ref="J242:K243"/>
    <mergeCell ref="B236:C237"/>
    <mergeCell ref="D236:E237"/>
    <mergeCell ref="F236:G237"/>
    <mergeCell ref="H236:I237"/>
    <mergeCell ref="J236:K237"/>
    <mergeCell ref="B238:C239"/>
    <mergeCell ref="D238:E239"/>
    <mergeCell ref="F238:G239"/>
    <mergeCell ref="H238:I239"/>
    <mergeCell ref="J238:K239"/>
    <mergeCell ref="B232:C233"/>
    <mergeCell ref="D232:E233"/>
    <mergeCell ref="F232:G233"/>
    <mergeCell ref="H232:I233"/>
    <mergeCell ref="J232:K233"/>
    <mergeCell ref="B234:C235"/>
    <mergeCell ref="D234:E235"/>
    <mergeCell ref="F234:G235"/>
    <mergeCell ref="H234:I235"/>
    <mergeCell ref="J234:K235"/>
    <mergeCell ref="B228:C229"/>
    <mergeCell ref="D228:E229"/>
    <mergeCell ref="F228:G229"/>
    <mergeCell ref="H228:I229"/>
    <mergeCell ref="J228:K229"/>
    <mergeCell ref="B230:C231"/>
    <mergeCell ref="D230:E231"/>
    <mergeCell ref="F230:G231"/>
    <mergeCell ref="H230:I231"/>
    <mergeCell ref="J230:K231"/>
    <mergeCell ref="B224:C225"/>
    <mergeCell ref="D224:E225"/>
    <mergeCell ref="F224:G225"/>
    <mergeCell ref="H224:I225"/>
    <mergeCell ref="J224:K225"/>
    <mergeCell ref="B226:C227"/>
    <mergeCell ref="D226:E227"/>
    <mergeCell ref="F226:G227"/>
    <mergeCell ref="H226:I227"/>
    <mergeCell ref="J226:K227"/>
    <mergeCell ref="B220:C221"/>
    <mergeCell ref="D220:E221"/>
    <mergeCell ref="F220:G221"/>
    <mergeCell ref="H220:I221"/>
    <mergeCell ref="J220:K221"/>
    <mergeCell ref="B222:C223"/>
    <mergeCell ref="D222:E223"/>
    <mergeCell ref="F222:G223"/>
    <mergeCell ref="H222:I223"/>
    <mergeCell ref="J222:K223"/>
    <mergeCell ref="B216:C217"/>
    <mergeCell ref="D216:E217"/>
    <mergeCell ref="F216:G217"/>
    <mergeCell ref="H216:I217"/>
    <mergeCell ref="J216:K217"/>
    <mergeCell ref="B218:C219"/>
    <mergeCell ref="D218:E219"/>
    <mergeCell ref="F218:G219"/>
    <mergeCell ref="H218:I219"/>
    <mergeCell ref="J218:K219"/>
    <mergeCell ref="B212:C213"/>
    <mergeCell ref="D212:E213"/>
    <mergeCell ref="F212:G213"/>
    <mergeCell ref="H212:I213"/>
    <mergeCell ref="J212:K213"/>
    <mergeCell ref="B214:C215"/>
    <mergeCell ref="D214:E215"/>
    <mergeCell ref="F214:G215"/>
    <mergeCell ref="H214:I215"/>
    <mergeCell ref="J214:K215"/>
    <mergeCell ref="B208:C209"/>
    <mergeCell ref="D208:E209"/>
    <mergeCell ref="F208:G209"/>
    <mergeCell ref="H208:I209"/>
    <mergeCell ref="J208:K209"/>
    <mergeCell ref="B210:C211"/>
    <mergeCell ref="D210:E211"/>
    <mergeCell ref="F210:G211"/>
    <mergeCell ref="H210:I211"/>
    <mergeCell ref="J210:K211"/>
    <mergeCell ref="B204:C205"/>
    <mergeCell ref="D204:E205"/>
    <mergeCell ref="F204:G205"/>
    <mergeCell ref="H204:I205"/>
    <mergeCell ref="J204:K205"/>
    <mergeCell ref="B206:C207"/>
    <mergeCell ref="D206:E207"/>
    <mergeCell ref="F206:G207"/>
    <mergeCell ref="H206:I207"/>
    <mergeCell ref="J206:K207"/>
    <mergeCell ref="B200:C201"/>
    <mergeCell ref="D200:E201"/>
    <mergeCell ref="F200:G201"/>
    <mergeCell ref="H200:I201"/>
    <mergeCell ref="J200:K201"/>
    <mergeCell ref="B202:C203"/>
    <mergeCell ref="D202:E203"/>
    <mergeCell ref="F202:G203"/>
    <mergeCell ref="H202:I203"/>
    <mergeCell ref="J202:K203"/>
    <mergeCell ref="B196:C197"/>
    <mergeCell ref="D196:E197"/>
    <mergeCell ref="F196:G197"/>
    <mergeCell ref="H196:I197"/>
    <mergeCell ref="J196:K197"/>
    <mergeCell ref="B198:C199"/>
    <mergeCell ref="D198:E199"/>
    <mergeCell ref="F198:G199"/>
    <mergeCell ref="H198:I199"/>
    <mergeCell ref="J198:K199"/>
    <mergeCell ref="B192:C193"/>
    <mergeCell ref="D192:E193"/>
    <mergeCell ref="F192:G193"/>
    <mergeCell ref="H192:I193"/>
    <mergeCell ref="J192:K193"/>
    <mergeCell ref="B194:C195"/>
    <mergeCell ref="D194:E195"/>
    <mergeCell ref="F194:G195"/>
    <mergeCell ref="H194:I195"/>
    <mergeCell ref="J194:K195"/>
    <mergeCell ref="B188:C189"/>
    <mergeCell ref="D188:E189"/>
    <mergeCell ref="F188:G189"/>
    <mergeCell ref="H188:I189"/>
    <mergeCell ref="J188:K189"/>
    <mergeCell ref="B190:C191"/>
    <mergeCell ref="D190:E191"/>
    <mergeCell ref="F190:G191"/>
    <mergeCell ref="H190:I191"/>
    <mergeCell ref="J190:K191"/>
    <mergeCell ref="B184:C185"/>
    <mergeCell ref="D184:E185"/>
    <mergeCell ref="F184:G185"/>
    <mergeCell ref="H184:I185"/>
    <mergeCell ref="J184:K185"/>
    <mergeCell ref="B186:C187"/>
    <mergeCell ref="D186:E187"/>
    <mergeCell ref="F186:G187"/>
    <mergeCell ref="H186:I187"/>
    <mergeCell ref="J186:K187"/>
    <mergeCell ref="B180:C181"/>
    <mergeCell ref="D180:E181"/>
    <mergeCell ref="F180:G181"/>
    <mergeCell ref="H180:I181"/>
    <mergeCell ref="J180:K181"/>
    <mergeCell ref="B182:C183"/>
    <mergeCell ref="D182:E183"/>
    <mergeCell ref="F182:G183"/>
    <mergeCell ref="H182:I183"/>
    <mergeCell ref="J182:K183"/>
    <mergeCell ref="B176:C177"/>
    <mergeCell ref="D176:E177"/>
    <mergeCell ref="F176:G177"/>
    <mergeCell ref="H176:I177"/>
    <mergeCell ref="J176:K177"/>
    <mergeCell ref="B178:C179"/>
    <mergeCell ref="D178:E179"/>
    <mergeCell ref="F178:G179"/>
    <mergeCell ref="H178:I179"/>
    <mergeCell ref="J178:K179"/>
    <mergeCell ref="B172:C173"/>
    <mergeCell ref="D172:E173"/>
    <mergeCell ref="F172:G173"/>
    <mergeCell ref="H172:I173"/>
    <mergeCell ref="J172:K173"/>
    <mergeCell ref="B174:C175"/>
    <mergeCell ref="D174:E175"/>
    <mergeCell ref="F174:G175"/>
    <mergeCell ref="H174:I175"/>
    <mergeCell ref="J174:K175"/>
    <mergeCell ref="B168:C169"/>
    <mergeCell ref="D168:E169"/>
    <mergeCell ref="F168:G169"/>
    <mergeCell ref="H168:I169"/>
    <mergeCell ref="J168:K169"/>
    <mergeCell ref="B170:C171"/>
    <mergeCell ref="D170:E171"/>
    <mergeCell ref="F170:G171"/>
    <mergeCell ref="H170:I171"/>
    <mergeCell ref="J170:K171"/>
    <mergeCell ref="B164:C165"/>
    <mergeCell ref="D164:E165"/>
    <mergeCell ref="F164:G165"/>
    <mergeCell ref="H164:I165"/>
    <mergeCell ref="J164:K165"/>
    <mergeCell ref="B166:C167"/>
    <mergeCell ref="D166:E167"/>
    <mergeCell ref="F166:G167"/>
    <mergeCell ref="H166:I167"/>
    <mergeCell ref="J166:K167"/>
    <mergeCell ref="B160:C161"/>
    <mergeCell ref="D160:E161"/>
    <mergeCell ref="F160:G161"/>
    <mergeCell ref="H160:I161"/>
    <mergeCell ref="J160:K161"/>
    <mergeCell ref="B162:C163"/>
    <mergeCell ref="D162:E163"/>
    <mergeCell ref="F162:G163"/>
    <mergeCell ref="H162:I163"/>
    <mergeCell ref="J162:K163"/>
    <mergeCell ref="B156:C157"/>
    <mergeCell ref="D156:E157"/>
    <mergeCell ref="F156:G157"/>
    <mergeCell ref="H156:I157"/>
    <mergeCell ref="J156:K157"/>
    <mergeCell ref="B158:C159"/>
    <mergeCell ref="D158:E159"/>
    <mergeCell ref="F158:G159"/>
    <mergeCell ref="H158:I159"/>
    <mergeCell ref="J158:K159"/>
    <mergeCell ref="B152:C153"/>
    <mergeCell ref="D152:E153"/>
    <mergeCell ref="F152:G153"/>
    <mergeCell ref="H152:I153"/>
    <mergeCell ref="J152:K153"/>
    <mergeCell ref="B154:C155"/>
    <mergeCell ref="D154:E155"/>
    <mergeCell ref="F154:G155"/>
    <mergeCell ref="H154:I155"/>
    <mergeCell ref="J154:K155"/>
    <mergeCell ref="B148:C149"/>
    <mergeCell ref="D148:E149"/>
    <mergeCell ref="F148:G149"/>
    <mergeCell ref="H148:I149"/>
    <mergeCell ref="J148:K149"/>
    <mergeCell ref="B150:C151"/>
    <mergeCell ref="D150:E151"/>
    <mergeCell ref="F150:G151"/>
    <mergeCell ref="H150:I151"/>
    <mergeCell ref="J150:K151"/>
    <mergeCell ref="B144:C145"/>
    <mergeCell ref="D144:E145"/>
    <mergeCell ref="F144:G145"/>
    <mergeCell ref="H144:I145"/>
    <mergeCell ref="J144:K145"/>
    <mergeCell ref="B146:C147"/>
    <mergeCell ref="D146:E147"/>
    <mergeCell ref="F146:G147"/>
    <mergeCell ref="H146:I147"/>
    <mergeCell ref="J146:K147"/>
    <mergeCell ref="B140:C141"/>
    <mergeCell ref="D140:E141"/>
    <mergeCell ref="F140:G141"/>
    <mergeCell ref="H140:I141"/>
    <mergeCell ref="J140:K141"/>
    <mergeCell ref="B142:C143"/>
    <mergeCell ref="D142:E143"/>
    <mergeCell ref="F142:G143"/>
    <mergeCell ref="H142:I143"/>
    <mergeCell ref="J142:K143"/>
    <mergeCell ref="B136:C137"/>
    <mergeCell ref="D136:E137"/>
    <mergeCell ref="F136:G137"/>
    <mergeCell ref="H136:I137"/>
    <mergeCell ref="J136:K137"/>
    <mergeCell ref="B138:C139"/>
    <mergeCell ref="D138:E139"/>
    <mergeCell ref="F138:G139"/>
    <mergeCell ref="H138:I139"/>
    <mergeCell ref="J138:K139"/>
    <mergeCell ref="B132:C133"/>
    <mergeCell ref="D132:E133"/>
    <mergeCell ref="F132:G133"/>
    <mergeCell ref="H132:I133"/>
    <mergeCell ref="J132:K133"/>
    <mergeCell ref="B134:C135"/>
    <mergeCell ref="D134:E135"/>
    <mergeCell ref="F134:G135"/>
    <mergeCell ref="H134:I135"/>
    <mergeCell ref="J134:K135"/>
    <mergeCell ref="B128:C129"/>
    <mergeCell ref="D128:E129"/>
    <mergeCell ref="F128:G129"/>
    <mergeCell ref="H128:I129"/>
    <mergeCell ref="J128:K129"/>
    <mergeCell ref="B130:C131"/>
    <mergeCell ref="D130:E131"/>
    <mergeCell ref="F130:G131"/>
    <mergeCell ref="H130:I131"/>
    <mergeCell ref="J130:K131"/>
    <mergeCell ref="B124:C125"/>
    <mergeCell ref="D124:E125"/>
    <mergeCell ref="F124:G125"/>
    <mergeCell ref="H124:I125"/>
    <mergeCell ref="J124:K125"/>
    <mergeCell ref="B126:C127"/>
    <mergeCell ref="D126:E127"/>
    <mergeCell ref="F126:G127"/>
    <mergeCell ref="H126:I127"/>
    <mergeCell ref="J126:K127"/>
    <mergeCell ref="B120:C121"/>
    <mergeCell ref="D120:E121"/>
    <mergeCell ref="F120:G121"/>
    <mergeCell ref="H120:I121"/>
    <mergeCell ref="J120:K121"/>
    <mergeCell ref="B122:C123"/>
    <mergeCell ref="D122:E123"/>
    <mergeCell ref="F122:G123"/>
    <mergeCell ref="H122:I123"/>
    <mergeCell ref="J122:K123"/>
    <mergeCell ref="B116:C117"/>
    <mergeCell ref="D116:E117"/>
    <mergeCell ref="F116:G117"/>
    <mergeCell ref="H116:I117"/>
    <mergeCell ref="J116:K117"/>
    <mergeCell ref="B118:C119"/>
    <mergeCell ref="D118:E119"/>
    <mergeCell ref="F118:G119"/>
    <mergeCell ref="H118:I119"/>
    <mergeCell ref="J118:K119"/>
    <mergeCell ref="B112:C113"/>
    <mergeCell ref="D112:E113"/>
    <mergeCell ref="F112:G113"/>
    <mergeCell ref="H112:I113"/>
    <mergeCell ref="J112:K113"/>
    <mergeCell ref="B114:C115"/>
    <mergeCell ref="D114:E115"/>
    <mergeCell ref="F114:G115"/>
    <mergeCell ref="H114:I115"/>
    <mergeCell ref="J114:K115"/>
    <mergeCell ref="B108:C109"/>
    <mergeCell ref="D108:E109"/>
    <mergeCell ref="F108:G109"/>
    <mergeCell ref="H108:I109"/>
    <mergeCell ref="J108:K109"/>
    <mergeCell ref="B110:C111"/>
    <mergeCell ref="D110:E111"/>
    <mergeCell ref="F110:G111"/>
    <mergeCell ref="H110:I111"/>
    <mergeCell ref="J110:K111"/>
    <mergeCell ref="B104:C105"/>
    <mergeCell ref="D104:E105"/>
    <mergeCell ref="F104:G105"/>
    <mergeCell ref="H104:I105"/>
    <mergeCell ref="J104:K105"/>
    <mergeCell ref="B106:C107"/>
    <mergeCell ref="D106:E107"/>
    <mergeCell ref="F106:G107"/>
    <mergeCell ref="H106:I107"/>
    <mergeCell ref="J106:K107"/>
    <mergeCell ref="B100:C101"/>
    <mergeCell ref="D100:E101"/>
    <mergeCell ref="F100:G101"/>
    <mergeCell ref="H100:I101"/>
    <mergeCell ref="J100:K101"/>
    <mergeCell ref="B102:C103"/>
    <mergeCell ref="D102:E103"/>
    <mergeCell ref="F102:G103"/>
    <mergeCell ref="H102:I103"/>
    <mergeCell ref="J102:K103"/>
    <mergeCell ref="B96:C97"/>
    <mergeCell ref="D96:E97"/>
    <mergeCell ref="F96:G97"/>
    <mergeCell ref="H96:I97"/>
    <mergeCell ref="J96:K97"/>
    <mergeCell ref="B98:C99"/>
    <mergeCell ref="D98:E99"/>
    <mergeCell ref="F98:G99"/>
    <mergeCell ref="H98:I99"/>
    <mergeCell ref="J98:K99"/>
    <mergeCell ref="B92:C93"/>
    <mergeCell ref="D92:E93"/>
    <mergeCell ref="F92:G93"/>
    <mergeCell ref="H92:I93"/>
    <mergeCell ref="J92:K93"/>
    <mergeCell ref="B94:C95"/>
    <mergeCell ref="D94:E95"/>
    <mergeCell ref="F94:G95"/>
    <mergeCell ref="H94:I95"/>
    <mergeCell ref="J94:K95"/>
    <mergeCell ref="B88:C89"/>
    <mergeCell ref="D88:E89"/>
    <mergeCell ref="F88:G89"/>
    <mergeCell ref="H88:I89"/>
    <mergeCell ref="J88:K89"/>
    <mergeCell ref="B90:C91"/>
    <mergeCell ref="D90:E91"/>
    <mergeCell ref="F90:G91"/>
    <mergeCell ref="H90:I91"/>
    <mergeCell ref="J90:K91"/>
    <mergeCell ref="B84:C85"/>
    <mergeCell ref="D84:E85"/>
    <mergeCell ref="F84:G85"/>
    <mergeCell ref="H84:I85"/>
    <mergeCell ref="J84:K85"/>
    <mergeCell ref="B86:C87"/>
    <mergeCell ref="D86:E87"/>
    <mergeCell ref="F86:G87"/>
    <mergeCell ref="H86:I87"/>
    <mergeCell ref="J86:K87"/>
    <mergeCell ref="B80:C81"/>
    <mergeCell ref="D80:E81"/>
    <mergeCell ref="F80:G81"/>
    <mergeCell ref="H80:I81"/>
    <mergeCell ref="J80:K81"/>
    <mergeCell ref="B82:C83"/>
    <mergeCell ref="D82:E83"/>
    <mergeCell ref="F82:G83"/>
    <mergeCell ref="H82:I83"/>
    <mergeCell ref="J82:K83"/>
    <mergeCell ref="B76:C77"/>
    <mergeCell ref="D76:E77"/>
    <mergeCell ref="F76:G77"/>
    <mergeCell ref="H76:I77"/>
    <mergeCell ref="J76:K77"/>
    <mergeCell ref="B78:C79"/>
    <mergeCell ref="D78:E79"/>
    <mergeCell ref="F78:G79"/>
    <mergeCell ref="H78:I79"/>
    <mergeCell ref="J78:K79"/>
    <mergeCell ref="B72:C73"/>
    <mergeCell ref="D72:E73"/>
    <mergeCell ref="F72:G73"/>
    <mergeCell ref="H72:I73"/>
    <mergeCell ref="J72:K73"/>
    <mergeCell ref="B74:C75"/>
    <mergeCell ref="D74:E75"/>
    <mergeCell ref="F74:G75"/>
    <mergeCell ref="H74:I75"/>
    <mergeCell ref="J74:K75"/>
    <mergeCell ref="B68:C69"/>
    <mergeCell ref="D68:E69"/>
    <mergeCell ref="F68:G69"/>
    <mergeCell ref="H68:I69"/>
    <mergeCell ref="J68:K69"/>
    <mergeCell ref="B70:C71"/>
    <mergeCell ref="D70:E71"/>
    <mergeCell ref="F70:G71"/>
    <mergeCell ref="H70:I71"/>
    <mergeCell ref="J70:K71"/>
    <mergeCell ref="F52:G53"/>
    <mergeCell ref="H52:I53"/>
    <mergeCell ref="J52:K53"/>
    <mergeCell ref="B54:C55"/>
    <mergeCell ref="D54:E55"/>
    <mergeCell ref="F54:G55"/>
    <mergeCell ref="H54:I55"/>
    <mergeCell ref="J54:K55"/>
    <mergeCell ref="B64:C65"/>
    <mergeCell ref="D64:E65"/>
    <mergeCell ref="F64:G65"/>
    <mergeCell ref="H64:I65"/>
    <mergeCell ref="J64:K65"/>
    <mergeCell ref="B66:C67"/>
    <mergeCell ref="D66:E67"/>
    <mergeCell ref="F66:G67"/>
    <mergeCell ref="H66:I67"/>
    <mergeCell ref="J66:K67"/>
    <mergeCell ref="B60:C61"/>
    <mergeCell ref="D60:E61"/>
    <mergeCell ref="F60:G61"/>
    <mergeCell ref="H60:I61"/>
    <mergeCell ref="J60:K61"/>
    <mergeCell ref="B62:C63"/>
    <mergeCell ref="D62:E63"/>
    <mergeCell ref="F62:G63"/>
    <mergeCell ref="H62:I63"/>
    <mergeCell ref="J62:K63"/>
    <mergeCell ref="B1:N2"/>
    <mergeCell ref="B3:N13"/>
    <mergeCell ref="B18:C19"/>
    <mergeCell ref="B20:C21"/>
    <mergeCell ref="B16:C17"/>
    <mergeCell ref="E16:F17"/>
    <mergeCell ref="G16:H17"/>
    <mergeCell ref="B46:C47"/>
    <mergeCell ref="D46:E47"/>
    <mergeCell ref="F46:G47"/>
    <mergeCell ref="H46:I47"/>
    <mergeCell ref="J46:K47"/>
    <mergeCell ref="B40:C41"/>
    <mergeCell ref="D40:E41"/>
    <mergeCell ref="F40:G41"/>
    <mergeCell ref="H40:I41"/>
    <mergeCell ref="J40:K41"/>
    <mergeCell ref="B42:C43"/>
    <mergeCell ref="D42:E43"/>
    <mergeCell ref="F42:G43"/>
    <mergeCell ref="H42:I43"/>
    <mergeCell ref="J42:K43"/>
    <mergeCell ref="B36:C37"/>
    <mergeCell ref="D36:E37"/>
    <mergeCell ref="F36:G37"/>
    <mergeCell ref="H36:I37"/>
    <mergeCell ref="J36:K37"/>
    <mergeCell ref="B38:C39"/>
    <mergeCell ref="D38:E39"/>
    <mergeCell ref="F38:G39"/>
    <mergeCell ref="H38:I39"/>
    <mergeCell ref="J38:K39"/>
    <mergeCell ref="N56:AA57"/>
    <mergeCell ref="N58:Q59"/>
    <mergeCell ref="R58:AA59"/>
    <mergeCell ref="N60:Q61"/>
    <mergeCell ref="R60:AA61"/>
    <mergeCell ref="B30:C31"/>
    <mergeCell ref="D30:E31"/>
    <mergeCell ref="B33:C35"/>
    <mergeCell ref="D33:E35"/>
    <mergeCell ref="F33:G35"/>
    <mergeCell ref="H33:I35"/>
    <mergeCell ref="J33:K35"/>
    <mergeCell ref="E18:F19"/>
    <mergeCell ref="G18:H19"/>
    <mergeCell ref="E20:F21"/>
    <mergeCell ref="G20:H21"/>
    <mergeCell ref="E24:F25"/>
    <mergeCell ref="G24:H25"/>
    <mergeCell ref="E22:F23"/>
    <mergeCell ref="G22:H23"/>
    <mergeCell ref="B56:C57"/>
    <mergeCell ref="D56:E57"/>
    <mergeCell ref="F56:G57"/>
    <mergeCell ref="H56:I57"/>
    <mergeCell ref="J56:K57"/>
    <mergeCell ref="B58:C59"/>
    <mergeCell ref="D58:E59"/>
    <mergeCell ref="F58:G59"/>
    <mergeCell ref="H58:I59"/>
    <mergeCell ref="J58:K59"/>
    <mergeCell ref="B52:C53"/>
    <mergeCell ref="D52:E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0B8F-801F-4C3B-B3EA-0A73A80F7350}">
  <dimension ref="B1:AA637"/>
  <sheetViews>
    <sheetView workbookViewId="0">
      <selection activeCell="D20" sqref="D20"/>
    </sheetView>
  </sheetViews>
  <sheetFormatPr baseColWidth="10" defaultRowHeight="14.4" x14ac:dyDescent="0.3"/>
  <sheetData>
    <row r="1" spans="2:18" ht="15.6" thickTop="1" thickBot="1" x14ac:dyDescent="0.35">
      <c r="B1" s="18" t="s">
        <v>38</v>
      </c>
      <c r="C1" s="19"/>
      <c r="D1" s="19"/>
      <c r="E1" s="19"/>
      <c r="F1" s="19"/>
      <c r="G1" s="19"/>
      <c r="H1" s="19"/>
      <c r="I1" s="19"/>
      <c r="J1" s="19"/>
      <c r="K1" s="19"/>
      <c r="L1" s="19"/>
      <c r="M1" s="19"/>
      <c r="N1" s="20"/>
    </row>
    <row r="2" spans="2:18" ht="15" thickBot="1" x14ac:dyDescent="0.35">
      <c r="B2" s="21"/>
      <c r="C2" s="22"/>
      <c r="D2" s="22"/>
      <c r="E2" s="22"/>
      <c r="F2" s="22"/>
      <c r="G2" s="22"/>
      <c r="H2" s="22"/>
      <c r="I2" s="22"/>
      <c r="J2" s="22"/>
      <c r="K2" s="22"/>
      <c r="L2" s="22"/>
      <c r="M2" s="22"/>
      <c r="N2" s="23"/>
    </row>
    <row r="3" spans="2:18" ht="15" thickBot="1" x14ac:dyDescent="0.35">
      <c r="B3" s="24" t="s">
        <v>22</v>
      </c>
      <c r="C3" s="25"/>
      <c r="D3" s="25"/>
      <c r="E3" s="25"/>
      <c r="F3" s="25"/>
      <c r="G3" s="25"/>
      <c r="H3" s="25"/>
      <c r="I3" s="25"/>
      <c r="J3" s="25"/>
      <c r="K3" s="25"/>
      <c r="L3" s="25"/>
      <c r="M3" s="25"/>
      <c r="N3" s="26"/>
    </row>
    <row r="4" spans="2:18" ht="15" thickBot="1" x14ac:dyDescent="0.35">
      <c r="B4" s="24"/>
      <c r="C4" s="25"/>
      <c r="D4" s="25"/>
      <c r="E4" s="25"/>
      <c r="F4" s="25"/>
      <c r="G4" s="25"/>
      <c r="H4" s="25"/>
      <c r="I4" s="25"/>
      <c r="J4" s="25"/>
      <c r="K4" s="25"/>
      <c r="L4" s="25"/>
      <c r="M4" s="25"/>
      <c r="N4" s="26"/>
    </row>
    <row r="5" spans="2:18" ht="15" thickBot="1" x14ac:dyDescent="0.35">
      <c r="B5" s="24"/>
      <c r="C5" s="25"/>
      <c r="D5" s="25"/>
      <c r="E5" s="25"/>
      <c r="F5" s="25"/>
      <c r="G5" s="25"/>
      <c r="H5" s="25"/>
      <c r="I5" s="25"/>
      <c r="J5" s="25"/>
      <c r="K5" s="25"/>
      <c r="L5" s="25"/>
      <c r="M5" s="25"/>
      <c r="N5" s="26"/>
    </row>
    <row r="6" spans="2:18" ht="15" thickBot="1" x14ac:dyDescent="0.35">
      <c r="B6" s="24"/>
      <c r="C6" s="25"/>
      <c r="D6" s="25"/>
      <c r="E6" s="25"/>
      <c r="F6" s="25"/>
      <c r="G6" s="25"/>
      <c r="H6" s="25"/>
      <c r="I6" s="25"/>
      <c r="J6" s="25"/>
      <c r="K6" s="25"/>
      <c r="L6" s="25"/>
      <c r="M6" s="25"/>
      <c r="N6" s="26"/>
    </row>
    <row r="7" spans="2:18" ht="15" thickBot="1" x14ac:dyDescent="0.35">
      <c r="B7" s="24"/>
      <c r="C7" s="25"/>
      <c r="D7" s="25"/>
      <c r="E7" s="25"/>
      <c r="F7" s="25"/>
      <c r="G7" s="25"/>
      <c r="H7" s="25"/>
      <c r="I7" s="25"/>
      <c r="J7" s="25"/>
      <c r="K7" s="25"/>
      <c r="L7" s="25"/>
      <c r="M7" s="25"/>
      <c r="N7" s="26"/>
    </row>
    <row r="8" spans="2:18" ht="15" thickBot="1" x14ac:dyDescent="0.35">
      <c r="B8" s="24"/>
      <c r="C8" s="25"/>
      <c r="D8" s="25"/>
      <c r="E8" s="25"/>
      <c r="F8" s="25"/>
      <c r="G8" s="25"/>
      <c r="H8" s="25"/>
      <c r="I8" s="25"/>
      <c r="J8" s="25"/>
      <c r="K8" s="25"/>
      <c r="L8" s="25"/>
      <c r="M8" s="25"/>
      <c r="N8" s="26"/>
    </row>
    <row r="9" spans="2:18" ht="15" thickBot="1" x14ac:dyDescent="0.35">
      <c r="B9" s="24"/>
      <c r="C9" s="25"/>
      <c r="D9" s="25"/>
      <c r="E9" s="25"/>
      <c r="F9" s="25"/>
      <c r="G9" s="25"/>
      <c r="H9" s="25"/>
      <c r="I9" s="25"/>
      <c r="J9" s="25"/>
      <c r="K9" s="25"/>
      <c r="L9" s="25"/>
      <c r="M9" s="25"/>
      <c r="N9" s="26"/>
    </row>
    <row r="10" spans="2:18" ht="15" thickBot="1" x14ac:dyDescent="0.35">
      <c r="B10" s="27"/>
      <c r="C10" s="28"/>
      <c r="D10" s="28"/>
      <c r="E10" s="28"/>
      <c r="F10" s="28"/>
      <c r="G10" s="28"/>
      <c r="H10" s="28"/>
      <c r="I10" s="28"/>
      <c r="J10" s="28"/>
      <c r="K10" s="28"/>
      <c r="L10" s="28"/>
      <c r="M10" s="28"/>
      <c r="N10" s="29"/>
    </row>
    <row r="11" spans="2:18" ht="15" thickTop="1" x14ac:dyDescent="0.3"/>
    <row r="12" spans="2:18" ht="15" thickBot="1" x14ac:dyDescent="0.35"/>
    <row r="13" spans="2:18" ht="15.6" thickTop="1" thickBot="1" x14ac:dyDescent="0.35">
      <c r="B13" s="4" t="s">
        <v>1</v>
      </c>
      <c r="C13" s="6"/>
      <c r="E13" s="30" t="s">
        <v>78</v>
      </c>
      <c r="F13" s="31"/>
      <c r="G13" s="108">
        <v>25</v>
      </c>
      <c r="H13" s="109"/>
      <c r="J13" s="30" t="s">
        <v>99</v>
      </c>
      <c r="K13" s="31"/>
      <c r="L13" s="40">
        <v>0.02</v>
      </c>
      <c r="M13" s="36"/>
      <c r="O13" s="32" t="s">
        <v>101</v>
      </c>
      <c r="P13" s="33"/>
      <c r="Q13" s="168">
        <f>PV(G19/12,L19,-D27)</f>
        <v>2912.1661438217157</v>
      </c>
      <c r="R13" s="37"/>
    </row>
    <row r="14" spans="2:18" ht="15" thickBot="1" x14ac:dyDescent="0.35">
      <c r="B14" s="7"/>
      <c r="C14" s="9"/>
      <c r="E14" s="32"/>
      <c r="F14" s="33"/>
      <c r="G14" s="54"/>
      <c r="H14" s="55"/>
      <c r="J14" s="32"/>
      <c r="K14" s="33"/>
      <c r="L14" s="35"/>
      <c r="M14" s="37"/>
      <c r="O14" s="46"/>
      <c r="P14" s="47"/>
      <c r="Q14" s="43"/>
      <c r="R14" s="44"/>
    </row>
    <row r="15" spans="2:18" ht="15.6" customHeight="1" thickTop="1" thickBot="1" x14ac:dyDescent="0.35">
      <c r="B15" s="30" t="s">
        <v>16</v>
      </c>
      <c r="C15" s="31"/>
      <c r="E15" s="32" t="s">
        <v>79</v>
      </c>
      <c r="F15" s="33"/>
      <c r="G15" s="54">
        <f>G13*12</f>
        <v>300</v>
      </c>
      <c r="H15" s="55"/>
      <c r="J15" s="30" t="s">
        <v>102</v>
      </c>
      <c r="K15" s="31"/>
      <c r="L15" s="40">
        <f>L13+0.013</f>
        <v>3.3000000000000002E-2</v>
      </c>
      <c r="M15" s="36"/>
      <c r="O15" s="32" t="s">
        <v>104</v>
      </c>
      <c r="P15" s="33"/>
      <c r="Q15" s="54">
        <f>Q13+L17</f>
        <v>3012.1661438217157</v>
      </c>
      <c r="R15" s="55"/>
    </row>
    <row r="16" spans="2:18" ht="15" thickBot="1" x14ac:dyDescent="0.35">
      <c r="B16" s="32"/>
      <c r="C16" s="33"/>
      <c r="E16" s="32"/>
      <c r="F16" s="33"/>
      <c r="G16" s="54"/>
      <c r="H16" s="55"/>
      <c r="J16" s="32"/>
      <c r="K16" s="33"/>
      <c r="L16" s="35"/>
      <c r="M16" s="37"/>
      <c r="O16" s="32"/>
      <c r="P16" s="33"/>
      <c r="Q16" s="54"/>
      <c r="R16" s="55"/>
    </row>
    <row r="17" spans="2:18" ht="15.6" thickTop="1" thickBot="1" x14ac:dyDescent="0.35">
      <c r="B17" s="41">
        <v>3100</v>
      </c>
      <c r="C17" s="35"/>
      <c r="E17" s="32" t="s">
        <v>81</v>
      </c>
      <c r="F17" s="33"/>
      <c r="G17" s="52">
        <v>0.01</v>
      </c>
      <c r="H17" s="37"/>
      <c r="J17" s="30" t="s">
        <v>103</v>
      </c>
      <c r="K17" s="31"/>
      <c r="L17" s="108">
        <v>100</v>
      </c>
      <c r="M17" s="109"/>
      <c r="O17" s="32"/>
      <c r="P17" s="33"/>
      <c r="Q17" s="54"/>
      <c r="R17" s="55"/>
    </row>
    <row r="18" spans="2:18" ht="15" thickBot="1" x14ac:dyDescent="0.35">
      <c r="B18" s="42"/>
      <c r="C18" s="43"/>
      <c r="E18" s="32"/>
      <c r="F18" s="33"/>
      <c r="G18" s="35"/>
      <c r="H18" s="37"/>
      <c r="J18" s="32"/>
      <c r="K18" s="33"/>
      <c r="L18" s="54"/>
      <c r="M18" s="55"/>
      <c r="O18" s="137" t="s">
        <v>105</v>
      </c>
      <c r="P18" s="138"/>
      <c r="Q18" s="139">
        <f>PMT(L15/12,L19,-Q15)</f>
        <v>15.588640673015377</v>
      </c>
      <c r="R18" s="140"/>
    </row>
    <row r="19" spans="2:18" ht="15.6" thickTop="1" thickBot="1" x14ac:dyDescent="0.35">
      <c r="E19" s="32" t="s">
        <v>80</v>
      </c>
      <c r="F19" s="33"/>
      <c r="G19" s="52">
        <f>G17+0.013</f>
        <v>2.3E-2</v>
      </c>
      <c r="H19" s="37"/>
      <c r="J19" s="32" t="s">
        <v>100</v>
      </c>
      <c r="K19" s="33"/>
      <c r="L19" s="54">
        <f>G15-24</f>
        <v>276</v>
      </c>
      <c r="M19" s="55"/>
      <c r="O19" s="46"/>
      <c r="P19" s="47"/>
      <c r="Q19" s="141"/>
      <c r="R19" s="142"/>
    </row>
    <row r="20" spans="2:18" ht="15.6" thickTop="1" thickBot="1" x14ac:dyDescent="0.35">
      <c r="B20" s="169" t="s">
        <v>126</v>
      </c>
      <c r="C20" s="170"/>
      <c r="E20" s="32"/>
      <c r="F20" s="33"/>
      <c r="G20" s="35"/>
      <c r="H20" s="37"/>
      <c r="J20" s="32"/>
      <c r="K20" s="33"/>
      <c r="L20" s="54"/>
      <c r="M20" s="55"/>
    </row>
    <row r="21" spans="2:18" ht="15" thickBot="1" x14ac:dyDescent="0.35">
      <c r="B21" s="171"/>
      <c r="C21" s="172"/>
      <c r="E21" s="32" t="s">
        <v>82</v>
      </c>
      <c r="F21" s="33"/>
      <c r="G21" s="52">
        <v>2.4E-2</v>
      </c>
      <c r="H21" s="37"/>
      <c r="J21" s="32"/>
      <c r="K21" s="33"/>
      <c r="L21" s="54"/>
      <c r="M21" s="55"/>
    </row>
    <row r="22" spans="2:18" ht="15" thickBot="1" x14ac:dyDescent="0.35">
      <c r="B22" s="171"/>
      <c r="C22" s="172"/>
      <c r="E22" s="46"/>
      <c r="F22" s="47"/>
      <c r="G22" s="43"/>
      <c r="H22" s="44"/>
    </row>
    <row r="23" spans="2:18" ht="15.6" thickTop="1" thickBot="1" x14ac:dyDescent="0.35">
      <c r="B23" s="173"/>
      <c r="C23" s="174"/>
    </row>
    <row r="24" spans="2:18" ht="15.6" thickTop="1" thickBot="1" x14ac:dyDescent="0.35"/>
    <row r="25" spans="2:18" ht="15" thickTop="1" x14ac:dyDescent="0.3">
      <c r="B25" s="4" t="s">
        <v>83</v>
      </c>
      <c r="C25" s="5"/>
      <c r="D25" s="5"/>
      <c r="E25" s="5"/>
      <c r="F25" s="5"/>
      <c r="G25" s="5"/>
      <c r="H25" s="5"/>
      <c r="I25" s="5"/>
      <c r="J25" s="5"/>
      <c r="K25" s="5"/>
      <c r="L25" s="5"/>
      <c r="M25" s="5"/>
      <c r="N25" s="5"/>
      <c r="O25" s="5"/>
      <c r="P25" s="5"/>
      <c r="Q25" s="6"/>
    </row>
    <row r="26" spans="2:18" ht="15" thickBot="1" x14ac:dyDescent="0.35">
      <c r="B26" s="7"/>
      <c r="C26" s="8"/>
      <c r="D26" s="8"/>
      <c r="E26" s="8"/>
      <c r="F26" s="8"/>
      <c r="G26" s="8"/>
      <c r="H26" s="8"/>
      <c r="I26" s="8"/>
      <c r="J26" s="8"/>
      <c r="K26" s="8"/>
      <c r="L26" s="8"/>
      <c r="M26" s="8"/>
      <c r="N26" s="8"/>
      <c r="O26" s="8"/>
      <c r="P26" s="8"/>
      <c r="Q26" s="9"/>
    </row>
    <row r="27" spans="2:18" ht="15.6" thickTop="1" thickBot="1" x14ac:dyDescent="0.35">
      <c r="B27" s="137" t="s">
        <v>84</v>
      </c>
      <c r="C27" s="138"/>
      <c r="D27" s="139">
        <f>PMT(G19/12,G15,-B17)</f>
        <v>13.596946499530036</v>
      </c>
      <c r="E27" s="140"/>
      <c r="H27" s="137" t="s">
        <v>107</v>
      </c>
      <c r="I27" s="138"/>
      <c r="J27" s="156">
        <f>EFFECT(G19,12)</f>
        <v>2.3244014073448005E-2</v>
      </c>
      <c r="K27" s="157"/>
      <c r="N27" s="137" t="s">
        <v>108</v>
      </c>
      <c r="O27" s="138"/>
      <c r="P27" s="156">
        <f>EFFECT(L15,12)</f>
        <v>3.3503728747209749E-2</v>
      </c>
      <c r="Q27" s="157"/>
    </row>
    <row r="28" spans="2:18" ht="15" thickBot="1" x14ac:dyDescent="0.35">
      <c r="B28" s="46"/>
      <c r="C28" s="47"/>
      <c r="D28" s="141"/>
      <c r="E28" s="142"/>
      <c r="H28" s="46"/>
      <c r="I28" s="47"/>
      <c r="J28" s="158"/>
      <c r="K28" s="159"/>
      <c r="N28" s="46"/>
      <c r="O28" s="47"/>
      <c r="P28" s="158"/>
      <c r="Q28" s="159"/>
    </row>
    <row r="29" spans="2:18" ht="15.6" thickTop="1" thickBot="1" x14ac:dyDescent="0.35"/>
    <row r="30" spans="2:18" ht="15.6" thickTop="1" thickBot="1" x14ac:dyDescent="0.35">
      <c r="B30" s="30" t="s">
        <v>113</v>
      </c>
      <c r="C30" s="31"/>
      <c r="D30" s="31" t="s">
        <v>85</v>
      </c>
      <c r="E30" s="31"/>
      <c r="F30" s="31" t="s">
        <v>86</v>
      </c>
      <c r="G30" s="31"/>
      <c r="H30" s="31" t="s">
        <v>87</v>
      </c>
      <c r="I30" s="31"/>
      <c r="J30" s="31" t="s">
        <v>88</v>
      </c>
      <c r="K30" s="49"/>
    </row>
    <row r="31" spans="2:18" ht="15.6" thickTop="1" thickBot="1" x14ac:dyDescent="0.35">
      <c r="B31" s="32"/>
      <c r="C31" s="33"/>
      <c r="D31" s="33"/>
      <c r="E31" s="33"/>
      <c r="F31" s="33"/>
      <c r="G31" s="33"/>
      <c r="H31" s="33"/>
      <c r="I31" s="33"/>
      <c r="J31" s="33"/>
      <c r="K31" s="110"/>
      <c r="N31" s="4" t="s">
        <v>109</v>
      </c>
      <c r="O31" s="5"/>
      <c r="P31" s="5"/>
      <c r="Q31" s="6"/>
    </row>
    <row r="32" spans="2:18" ht="15" thickBot="1" x14ac:dyDescent="0.35">
      <c r="B32" s="46"/>
      <c r="C32" s="47"/>
      <c r="D32" s="47"/>
      <c r="E32" s="47"/>
      <c r="F32" s="47"/>
      <c r="G32" s="47"/>
      <c r="H32" s="47"/>
      <c r="I32" s="47"/>
      <c r="J32" s="47"/>
      <c r="K32" s="50"/>
      <c r="N32" s="7"/>
      <c r="O32" s="8"/>
      <c r="P32" s="8"/>
      <c r="Q32" s="9"/>
    </row>
    <row r="33" spans="2:17" ht="15.6" thickTop="1" thickBot="1" x14ac:dyDescent="0.35">
      <c r="B33" s="117">
        <v>0</v>
      </c>
      <c r="C33" s="118"/>
      <c r="D33" s="120"/>
      <c r="E33" s="120"/>
      <c r="F33" s="120"/>
      <c r="G33" s="120"/>
      <c r="H33" s="120"/>
      <c r="I33" s="120"/>
      <c r="J33" s="120">
        <f>B17</f>
        <v>3100</v>
      </c>
      <c r="K33" s="122"/>
      <c r="N33" s="137" t="s">
        <v>90</v>
      </c>
      <c r="O33" s="138"/>
      <c r="P33" s="139">
        <f>B17*G21</f>
        <v>74.400000000000006</v>
      </c>
      <c r="Q33" s="140"/>
    </row>
    <row r="34" spans="2:17" ht="15" thickBot="1" x14ac:dyDescent="0.35">
      <c r="B34" s="41"/>
      <c r="C34" s="35"/>
      <c r="D34" s="121"/>
      <c r="E34" s="121"/>
      <c r="F34" s="121"/>
      <c r="G34" s="121"/>
      <c r="H34" s="121"/>
      <c r="I34" s="121"/>
      <c r="J34" s="121"/>
      <c r="K34" s="123"/>
      <c r="N34" s="46"/>
      <c r="O34" s="47"/>
      <c r="P34" s="141"/>
      <c r="Q34" s="142"/>
    </row>
    <row r="35" spans="2:17" ht="15" thickBot="1" x14ac:dyDescent="0.35">
      <c r="B35" s="117">
        <v>1</v>
      </c>
      <c r="C35" s="118"/>
      <c r="D35" s="120">
        <f>$D$27</f>
        <v>13.596946499530036</v>
      </c>
      <c r="E35" s="120"/>
      <c r="F35" s="120">
        <f>($G$19/12)*J33</f>
        <v>5.9416666666666664</v>
      </c>
      <c r="G35" s="120"/>
      <c r="H35" s="120">
        <f>D35-F35</f>
        <v>7.6552798328633695</v>
      </c>
      <c r="I35" s="120"/>
      <c r="J35" s="120">
        <f>J33-H35</f>
        <v>3092.3447201671365</v>
      </c>
      <c r="K35" s="122"/>
      <c r="N35" s="137" t="s">
        <v>111</v>
      </c>
      <c r="O35" s="138"/>
      <c r="P35" s="139">
        <f>B17-P33</f>
        <v>3025.6</v>
      </c>
      <c r="Q35" s="140"/>
    </row>
    <row r="36" spans="2:17" ht="15" thickBot="1" x14ac:dyDescent="0.35">
      <c r="B36" s="41"/>
      <c r="C36" s="35"/>
      <c r="D36" s="121"/>
      <c r="E36" s="121"/>
      <c r="F36" s="121"/>
      <c r="G36" s="121"/>
      <c r="H36" s="121"/>
      <c r="I36" s="121"/>
      <c r="J36" s="121"/>
      <c r="K36" s="123"/>
      <c r="N36" s="46"/>
      <c r="O36" s="47"/>
      <c r="P36" s="141"/>
      <c r="Q36" s="142"/>
    </row>
    <row r="37" spans="2:17" ht="15" thickBot="1" x14ac:dyDescent="0.35">
      <c r="B37" s="117">
        <v>2</v>
      </c>
      <c r="C37" s="118"/>
      <c r="D37" s="120">
        <f t="shared" ref="D37" si="0">$D$27</f>
        <v>13.596946499530036</v>
      </c>
      <c r="E37" s="120"/>
      <c r="F37" s="120">
        <f t="shared" ref="F37" si="1">($G$19/12)*J35</f>
        <v>5.9269940469870113</v>
      </c>
      <c r="G37" s="120"/>
      <c r="H37" s="120">
        <f t="shared" ref="H37" si="2">D37-F37</f>
        <v>7.6699524525430247</v>
      </c>
      <c r="I37" s="120"/>
      <c r="J37" s="120">
        <f t="shared" ref="J37" si="3">J35-H37</f>
        <v>3084.6747677145936</v>
      </c>
      <c r="K37" s="122"/>
      <c r="N37" s="137" t="s">
        <v>93</v>
      </c>
      <c r="O37" s="138"/>
      <c r="P37" s="156">
        <f>(RATE(G15,-D27,P35))*12</f>
        <v>2.5154794088390678E-2</v>
      </c>
      <c r="Q37" s="157"/>
    </row>
    <row r="38" spans="2:17" ht="15" thickBot="1" x14ac:dyDescent="0.35">
      <c r="B38" s="41"/>
      <c r="C38" s="35"/>
      <c r="D38" s="121"/>
      <c r="E38" s="121"/>
      <c r="F38" s="121"/>
      <c r="G38" s="121"/>
      <c r="H38" s="121"/>
      <c r="I38" s="121"/>
      <c r="J38" s="121"/>
      <c r="K38" s="123"/>
      <c r="N38" s="46"/>
      <c r="O38" s="47"/>
      <c r="P38" s="158"/>
      <c r="Q38" s="159"/>
    </row>
    <row r="39" spans="2:17" ht="15" thickBot="1" x14ac:dyDescent="0.35">
      <c r="B39" s="117">
        <v>3</v>
      </c>
      <c r="C39" s="118"/>
      <c r="D39" s="120">
        <f t="shared" ref="D39" si="4">$D$27</f>
        <v>13.596946499530036</v>
      </c>
      <c r="E39" s="120"/>
      <c r="F39" s="120">
        <f t="shared" ref="F39" si="5">($G$19/12)*J37</f>
        <v>5.9122933047863038</v>
      </c>
      <c r="G39" s="120"/>
      <c r="H39" s="120">
        <f t="shared" ref="H39" si="6">D39-F39</f>
        <v>7.6846531947437322</v>
      </c>
      <c r="I39" s="120"/>
      <c r="J39" s="120">
        <f t="shared" ref="J39" si="7">J37-H39</f>
        <v>3076.9901145198501</v>
      </c>
      <c r="K39" s="122"/>
    </row>
    <row r="40" spans="2:17" ht="15" thickBot="1" x14ac:dyDescent="0.35">
      <c r="B40" s="41"/>
      <c r="C40" s="35"/>
      <c r="D40" s="121"/>
      <c r="E40" s="121"/>
      <c r="F40" s="121"/>
      <c r="G40" s="121"/>
      <c r="H40" s="121"/>
      <c r="I40" s="121"/>
      <c r="J40" s="121"/>
      <c r="K40" s="123"/>
    </row>
    <row r="41" spans="2:17" ht="15.6" thickTop="1" thickBot="1" x14ac:dyDescent="0.35">
      <c r="B41" s="117">
        <v>4</v>
      </c>
      <c r="C41" s="118"/>
      <c r="D41" s="120">
        <f t="shared" ref="D41" si="8">$D$27</f>
        <v>13.596946499530036</v>
      </c>
      <c r="E41" s="120"/>
      <c r="F41" s="120">
        <f t="shared" ref="F41" si="9">($G$19/12)*J39</f>
        <v>5.8975643861630456</v>
      </c>
      <c r="G41" s="120"/>
      <c r="H41" s="120">
        <f t="shared" ref="H41" si="10">D41-F41</f>
        <v>7.6993821133669904</v>
      </c>
      <c r="I41" s="120"/>
      <c r="J41" s="120">
        <f t="shared" ref="J41" si="11">J39-H41</f>
        <v>3069.2907324064831</v>
      </c>
      <c r="K41" s="122"/>
      <c r="N41" s="125" t="s">
        <v>110</v>
      </c>
      <c r="O41" s="126"/>
      <c r="P41" s="126"/>
      <c r="Q41" s="175"/>
    </row>
    <row r="42" spans="2:17" ht="15" thickBot="1" x14ac:dyDescent="0.35">
      <c r="B42" s="41"/>
      <c r="C42" s="35"/>
      <c r="D42" s="121"/>
      <c r="E42" s="121"/>
      <c r="F42" s="121"/>
      <c r="G42" s="121"/>
      <c r="H42" s="121"/>
      <c r="I42" s="121"/>
      <c r="J42" s="121"/>
      <c r="K42" s="123"/>
      <c r="N42" s="128"/>
      <c r="O42" s="129"/>
      <c r="P42" s="129"/>
      <c r="Q42" s="176"/>
    </row>
    <row r="43" spans="2:17" ht="15" thickBot="1" x14ac:dyDescent="0.35">
      <c r="B43" s="117">
        <v>5</v>
      </c>
      <c r="C43" s="118"/>
      <c r="D43" s="120">
        <f t="shared" ref="D43" si="12">$D$27</f>
        <v>13.596946499530036</v>
      </c>
      <c r="E43" s="120"/>
      <c r="F43" s="120">
        <f t="shared" ref="F43" si="13">($G$19/12)*J41</f>
        <v>5.8828072371124254</v>
      </c>
      <c r="G43" s="120"/>
      <c r="H43" s="120">
        <f t="shared" ref="H43" si="14">D43-F43</f>
        <v>7.7141392624176106</v>
      </c>
      <c r="I43" s="120"/>
      <c r="J43" s="120">
        <f t="shared" ref="J43" si="15">J41-H43</f>
        <v>3061.5765931440656</v>
      </c>
      <c r="K43" s="122"/>
      <c r="N43" s="137" t="s">
        <v>111</v>
      </c>
      <c r="O43" s="138"/>
      <c r="P43" s="139">
        <f>Q15</f>
        <v>3012.1661438217157</v>
      </c>
      <c r="Q43" s="140"/>
    </row>
    <row r="44" spans="2:17" ht="15" thickBot="1" x14ac:dyDescent="0.35">
      <c r="B44" s="41"/>
      <c r="C44" s="35"/>
      <c r="D44" s="121"/>
      <c r="E44" s="121"/>
      <c r="F44" s="121"/>
      <c r="G44" s="121"/>
      <c r="H44" s="121"/>
      <c r="I44" s="121"/>
      <c r="J44" s="121"/>
      <c r="K44" s="123"/>
      <c r="N44" s="46"/>
      <c r="O44" s="47"/>
      <c r="P44" s="141"/>
      <c r="Q44" s="142"/>
    </row>
    <row r="45" spans="2:17" ht="15" thickBot="1" x14ac:dyDescent="0.35">
      <c r="B45" s="117">
        <v>6</v>
      </c>
      <c r="C45" s="118"/>
      <c r="D45" s="120">
        <f t="shared" ref="D45" si="16">$D$27</f>
        <v>13.596946499530036</v>
      </c>
      <c r="E45" s="120"/>
      <c r="F45" s="120">
        <f t="shared" ref="F45" si="17">($G$19/12)*J43</f>
        <v>5.8680218035261253</v>
      </c>
      <c r="G45" s="120"/>
      <c r="H45" s="120">
        <f t="shared" ref="H45" si="18">D45-F45</f>
        <v>7.7289246960039106</v>
      </c>
      <c r="I45" s="120"/>
      <c r="J45" s="120">
        <f t="shared" ref="J45" si="19">J43-H45</f>
        <v>3053.8476684480615</v>
      </c>
      <c r="K45" s="122"/>
      <c r="N45" s="137" t="s">
        <v>93</v>
      </c>
      <c r="O45" s="138"/>
      <c r="P45" s="156">
        <f>(RATE(L19,-Q18,P43))*12</f>
        <v>3.3000000000003402E-2</v>
      </c>
      <c r="Q45" s="157"/>
    </row>
    <row r="46" spans="2:17" ht="15" thickBot="1" x14ac:dyDescent="0.35">
      <c r="B46" s="41"/>
      <c r="C46" s="35"/>
      <c r="D46" s="121"/>
      <c r="E46" s="121"/>
      <c r="F46" s="121"/>
      <c r="G46" s="121"/>
      <c r="H46" s="121"/>
      <c r="I46" s="121"/>
      <c r="J46" s="121"/>
      <c r="K46" s="123"/>
      <c r="N46" s="46"/>
      <c r="O46" s="47"/>
      <c r="P46" s="158"/>
      <c r="Q46" s="159"/>
    </row>
    <row r="47" spans="2:17" ht="15" thickBot="1" x14ac:dyDescent="0.35">
      <c r="B47" s="117">
        <v>7</v>
      </c>
      <c r="C47" s="118"/>
      <c r="D47" s="120">
        <f t="shared" ref="D47" si="20">$D$27</f>
        <v>13.596946499530036</v>
      </c>
      <c r="E47" s="120"/>
      <c r="F47" s="120">
        <f t="shared" ref="F47" si="21">($G$19/12)*J45</f>
        <v>5.8532080311921177</v>
      </c>
      <c r="G47" s="120"/>
      <c r="H47" s="120">
        <f t="shared" ref="H47" si="22">D47-F47</f>
        <v>7.7437384683379182</v>
      </c>
      <c r="I47" s="120"/>
      <c r="J47" s="120">
        <f t="shared" ref="J47" si="23">J45-H47</f>
        <v>3046.1039299797235</v>
      </c>
      <c r="K47" s="122"/>
    </row>
    <row r="48" spans="2:17" ht="15" thickBot="1" x14ac:dyDescent="0.35">
      <c r="B48" s="41"/>
      <c r="C48" s="35"/>
      <c r="D48" s="121"/>
      <c r="E48" s="121"/>
      <c r="F48" s="121"/>
      <c r="G48" s="121"/>
      <c r="H48" s="121"/>
      <c r="I48" s="121"/>
      <c r="J48" s="121"/>
      <c r="K48" s="123"/>
    </row>
    <row r="49" spans="2:17" ht="15.6" thickTop="1" thickBot="1" x14ac:dyDescent="0.35">
      <c r="B49" s="117">
        <v>8</v>
      </c>
      <c r="C49" s="118"/>
      <c r="D49" s="120">
        <f t="shared" ref="D49" si="24">$D$27</f>
        <v>13.596946499530036</v>
      </c>
      <c r="E49" s="120"/>
      <c r="F49" s="120">
        <f t="shared" ref="F49" si="25">($G$19/12)*J47</f>
        <v>5.8383658657944695</v>
      </c>
      <c r="G49" s="120"/>
      <c r="H49" s="120">
        <f t="shared" ref="H49" si="26">D49-F49</f>
        <v>7.7585806337355665</v>
      </c>
      <c r="I49" s="120"/>
      <c r="J49" s="120">
        <f t="shared" ref="J49" si="27">J47-H49</f>
        <v>3038.3453493459879</v>
      </c>
      <c r="K49" s="122"/>
      <c r="N49" s="4" t="s">
        <v>97</v>
      </c>
      <c r="O49" s="5"/>
      <c r="P49" s="5"/>
      <c r="Q49" s="6"/>
    </row>
    <row r="50" spans="2:17" ht="15" thickBot="1" x14ac:dyDescent="0.35">
      <c r="B50" s="41"/>
      <c r="C50" s="35"/>
      <c r="D50" s="121"/>
      <c r="E50" s="121"/>
      <c r="F50" s="121"/>
      <c r="G50" s="121"/>
      <c r="H50" s="121"/>
      <c r="I50" s="121"/>
      <c r="J50" s="121"/>
      <c r="K50" s="123"/>
      <c r="N50" s="7"/>
      <c r="O50" s="8"/>
      <c r="P50" s="8"/>
      <c r="Q50" s="9"/>
    </row>
    <row r="51" spans="2:17" ht="15.6" thickTop="1" thickBot="1" x14ac:dyDescent="0.35">
      <c r="B51" s="117">
        <v>9</v>
      </c>
      <c r="C51" s="118"/>
      <c r="D51" s="120">
        <f t="shared" ref="D51" si="28">$D$27</f>
        <v>13.596946499530036</v>
      </c>
      <c r="E51" s="120"/>
      <c r="F51" s="120">
        <f t="shared" ref="F51" si="29">($G$19/12)*J49</f>
        <v>5.8234952529131432</v>
      </c>
      <c r="G51" s="120"/>
      <c r="H51" s="120">
        <f t="shared" ref="H51" si="30">D51-F51</f>
        <v>7.7734512466168928</v>
      </c>
      <c r="I51" s="120"/>
      <c r="J51" s="120">
        <f t="shared" ref="J51" si="31">J49-H51</f>
        <v>3030.5718980993711</v>
      </c>
      <c r="K51" s="122"/>
      <c r="N51" s="30" t="s">
        <v>94</v>
      </c>
      <c r="O51" s="31"/>
      <c r="P51" s="145">
        <f>(D27*24)+(Q18*L19)</f>
        <v>4628.7915417409649</v>
      </c>
      <c r="Q51" s="146"/>
    </row>
    <row r="52" spans="2:17" ht="15" thickBot="1" x14ac:dyDescent="0.35">
      <c r="B52" s="41"/>
      <c r="C52" s="35"/>
      <c r="D52" s="121"/>
      <c r="E52" s="121"/>
      <c r="F52" s="121"/>
      <c r="G52" s="121"/>
      <c r="H52" s="121"/>
      <c r="I52" s="121"/>
      <c r="J52" s="121"/>
      <c r="K52" s="123"/>
      <c r="N52" s="46"/>
      <c r="O52" s="47"/>
      <c r="P52" s="141"/>
      <c r="Q52" s="142"/>
    </row>
    <row r="53" spans="2:17" ht="15.6" thickTop="1" thickBot="1" x14ac:dyDescent="0.35">
      <c r="B53" s="117">
        <v>10</v>
      </c>
      <c r="C53" s="118"/>
      <c r="D53" s="120">
        <f t="shared" ref="D53" si="32">$D$27</f>
        <v>13.596946499530036</v>
      </c>
      <c r="E53" s="120"/>
      <c r="F53" s="120">
        <f t="shared" ref="F53" si="33">($G$19/12)*J51</f>
        <v>5.8085961380237938</v>
      </c>
      <c r="G53" s="120"/>
      <c r="H53" s="120">
        <f t="shared" ref="H53" si="34">D53-F53</f>
        <v>7.7883503615062422</v>
      </c>
      <c r="I53" s="120"/>
      <c r="J53" s="120">
        <f t="shared" ref="J53" si="35">J51-H53</f>
        <v>3022.7835477378649</v>
      </c>
      <c r="K53" s="122"/>
      <c r="N53" s="30" t="s">
        <v>95</v>
      </c>
      <c r="O53" s="31"/>
      <c r="P53" s="145">
        <f>P51-B17</f>
        <v>1528.7915417409649</v>
      </c>
      <c r="Q53" s="146"/>
    </row>
    <row r="54" spans="2:17" ht="15" thickBot="1" x14ac:dyDescent="0.35">
      <c r="B54" s="41"/>
      <c r="C54" s="35"/>
      <c r="D54" s="121"/>
      <c r="E54" s="121"/>
      <c r="F54" s="121"/>
      <c r="G54" s="121"/>
      <c r="H54" s="121"/>
      <c r="I54" s="121"/>
      <c r="J54" s="121"/>
      <c r="K54" s="123"/>
      <c r="N54" s="46"/>
      <c r="O54" s="47"/>
      <c r="P54" s="141"/>
      <c r="Q54" s="142"/>
    </row>
    <row r="55" spans="2:17" ht="15" thickBot="1" x14ac:dyDescent="0.35">
      <c r="B55" s="117">
        <v>11</v>
      </c>
      <c r="C55" s="118"/>
      <c r="D55" s="120">
        <f t="shared" ref="D55" si="36">$D$27</f>
        <v>13.596946499530036</v>
      </c>
      <c r="E55" s="120"/>
      <c r="F55" s="120">
        <f t="shared" ref="F55" si="37">($G$19/12)*J53</f>
        <v>5.7936684664975742</v>
      </c>
      <c r="G55" s="120"/>
      <c r="H55" s="120">
        <f t="shared" ref="H55" si="38">D55-F55</f>
        <v>7.8032780330324618</v>
      </c>
      <c r="I55" s="120"/>
      <c r="J55" s="120">
        <f t="shared" ref="J55" si="39">J53-H55</f>
        <v>3014.9802697048326</v>
      </c>
      <c r="K55" s="122"/>
    </row>
    <row r="56" spans="2:17" ht="15" thickBot="1" x14ac:dyDescent="0.35">
      <c r="B56" s="41"/>
      <c r="C56" s="35"/>
      <c r="D56" s="121"/>
      <c r="E56" s="121"/>
      <c r="F56" s="121"/>
      <c r="G56" s="121"/>
      <c r="H56" s="121"/>
      <c r="I56" s="121"/>
      <c r="J56" s="121"/>
      <c r="K56" s="123"/>
    </row>
    <row r="57" spans="2:17" ht="15.6" thickTop="1" thickBot="1" x14ac:dyDescent="0.35">
      <c r="B57" s="117">
        <v>12</v>
      </c>
      <c r="C57" s="118"/>
      <c r="D57" s="120">
        <f t="shared" ref="D57" si="40">$D$27</f>
        <v>13.596946499530036</v>
      </c>
      <c r="E57" s="120"/>
      <c r="F57" s="120">
        <f t="shared" ref="F57" si="41">($G$19/12)*J55</f>
        <v>5.7787121836009288</v>
      </c>
      <c r="G57" s="120"/>
      <c r="H57" s="120">
        <f t="shared" ref="H57" si="42">D57-F57</f>
        <v>7.8182343159291072</v>
      </c>
      <c r="I57" s="120"/>
      <c r="J57" s="120">
        <f t="shared" ref="J57" si="43">J55-H57</f>
        <v>3007.1620353889034</v>
      </c>
      <c r="K57" s="122"/>
      <c r="N57" s="4" t="s">
        <v>98</v>
      </c>
      <c r="O57" s="5"/>
      <c r="P57" s="5"/>
      <c r="Q57" s="6"/>
    </row>
    <row r="58" spans="2:17" ht="15" thickBot="1" x14ac:dyDescent="0.35">
      <c r="B58" s="41"/>
      <c r="C58" s="35"/>
      <c r="D58" s="121"/>
      <c r="E58" s="121"/>
      <c r="F58" s="121"/>
      <c r="G58" s="121"/>
      <c r="H58" s="121"/>
      <c r="I58" s="121"/>
      <c r="J58" s="121"/>
      <c r="K58" s="123"/>
      <c r="N58" s="7"/>
      <c r="O58" s="8"/>
      <c r="P58" s="8"/>
      <c r="Q58" s="9"/>
    </row>
    <row r="59" spans="2:17" ht="15.6" customHeight="1" thickTop="1" thickBot="1" x14ac:dyDescent="0.35">
      <c r="B59" s="117">
        <v>13</v>
      </c>
      <c r="C59" s="118"/>
      <c r="D59" s="120">
        <f t="shared" ref="D59" si="44">$D$27</f>
        <v>13.596946499530036</v>
      </c>
      <c r="E59" s="120"/>
      <c r="F59" s="120">
        <f t="shared" ref="F59" si="45">($G$19/12)*J57</f>
        <v>5.7637272344953976</v>
      </c>
      <c r="G59" s="120"/>
      <c r="H59" s="120">
        <f t="shared" ref="H59" si="46">D59-F59</f>
        <v>7.8332192650346384</v>
      </c>
      <c r="I59" s="120"/>
      <c r="J59" s="120">
        <f t="shared" ref="J59" si="47">J57-H59</f>
        <v>2999.3288161238688</v>
      </c>
      <c r="K59" s="122"/>
      <c r="N59" s="147" t="s">
        <v>112</v>
      </c>
      <c r="O59" s="148"/>
      <c r="P59" s="148"/>
      <c r="Q59" s="149"/>
    </row>
    <row r="60" spans="2:17" ht="15" thickBot="1" x14ac:dyDescent="0.35">
      <c r="B60" s="41"/>
      <c r="C60" s="35"/>
      <c r="D60" s="121"/>
      <c r="E60" s="121"/>
      <c r="F60" s="121"/>
      <c r="G60" s="121"/>
      <c r="H60" s="121"/>
      <c r="I60" s="121"/>
      <c r="J60" s="121"/>
      <c r="K60" s="123"/>
      <c r="N60" s="150"/>
      <c r="O60" s="151"/>
      <c r="P60" s="151"/>
      <c r="Q60" s="152"/>
    </row>
    <row r="61" spans="2:17" ht="15" thickBot="1" x14ac:dyDescent="0.35">
      <c r="B61" s="117">
        <v>14</v>
      </c>
      <c r="C61" s="118"/>
      <c r="D61" s="120">
        <f t="shared" ref="D61" si="48">$D$27</f>
        <v>13.596946499530036</v>
      </c>
      <c r="E61" s="120"/>
      <c r="F61" s="120">
        <f t="shared" ref="F61" si="49">($G$19/12)*J59</f>
        <v>5.7487135642374145</v>
      </c>
      <c r="G61" s="120"/>
      <c r="H61" s="120">
        <f t="shared" ref="H61" si="50">D61-F61</f>
        <v>7.8482329352926214</v>
      </c>
      <c r="I61" s="120"/>
      <c r="J61" s="120">
        <f t="shared" ref="J61" si="51">J59-H61</f>
        <v>2991.480583188576</v>
      </c>
      <c r="K61" s="122"/>
      <c r="N61" s="150"/>
      <c r="O61" s="151"/>
      <c r="P61" s="151"/>
      <c r="Q61" s="152"/>
    </row>
    <row r="62" spans="2:17" ht="15" thickBot="1" x14ac:dyDescent="0.35">
      <c r="B62" s="41"/>
      <c r="C62" s="35"/>
      <c r="D62" s="121"/>
      <c r="E62" s="121"/>
      <c r="F62" s="121"/>
      <c r="G62" s="121"/>
      <c r="H62" s="121"/>
      <c r="I62" s="121"/>
      <c r="J62" s="121"/>
      <c r="K62" s="123"/>
      <c r="N62" s="150"/>
      <c r="O62" s="151"/>
      <c r="P62" s="151"/>
      <c r="Q62" s="152"/>
    </row>
    <row r="63" spans="2:17" ht="15" thickBot="1" x14ac:dyDescent="0.35">
      <c r="B63" s="117">
        <v>15</v>
      </c>
      <c r="C63" s="118"/>
      <c r="D63" s="120">
        <f t="shared" ref="D63" si="52">$D$27</f>
        <v>13.596946499530036</v>
      </c>
      <c r="E63" s="120"/>
      <c r="F63" s="120">
        <f t="shared" ref="F63" si="53">($G$19/12)*J61</f>
        <v>5.7336711177781039</v>
      </c>
      <c r="G63" s="120"/>
      <c r="H63" s="120">
        <f t="shared" ref="H63" si="54">D63-F63</f>
        <v>7.8632753817519321</v>
      </c>
      <c r="I63" s="120"/>
      <c r="J63" s="120">
        <f t="shared" ref="J63" si="55">J61-H63</f>
        <v>2983.6173078068241</v>
      </c>
      <c r="K63" s="122"/>
      <c r="N63" s="150"/>
      <c r="O63" s="151"/>
      <c r="P63" s="151"/>
      <c r="Q63" s="152"/>
    </row>
    <row r="64" spans="2:17" ht="15" thickBot="1" x14ac:dyDescent="0.35">
      <c r="B64" s="41"/>
      <c r="C64" s="35"/>
      <c r="D64" s="121"/>
      <c r="E64" s="121"/>
      <c r="F64" s="121"/>
      <c r="G64" s="121"/>
      <c r="H64" s="121"/>
      <c r="I64" s="121"/>
      <c r="J64" s="121"/>
      <c r="K64" s="123"/>
      <c r="N64" s="150"/>
      <c r="O64" s="151"/>
      <c r="P64" s="151"/>
      <c r="Q64" s="152"/>
    </row>
    <row r="65" spans="2:27" ht="15" thickBot="1" x14ac:dyDescent="0.35">
      <c r="B65" s="117">
        <v>16</v>
      </c>
      <c r="C65" s="118"/>
      <c r="D65" s="120">
        <f t="shared" ref="D65" si="56">$D$27</f>
        <v>13.596946499530036</v>
      </c>
      <c r="E65" s="120"/>
      <c r="F65" s="120">
        <f t="shared" ref="F65" si="57">($G$19/12)*J63</f>
        <v>5.7185998399630789</v>
      </c>
      <c r="G65" s="120"/>
      <c r="H65" s="120">
        <f t="shared" ref="H65" si="58">D65-F65</f>
        <v>7.8783466595669571</v>
      </c>
      <c r="I65" s="120"/>
      <c r="J65" s="120">
        <f t="shared" ref="J65" si="59">J63-H65</f>
        <v>2975.7389611472572</v>
      </c>
      <c r="K65" s="122"/>
      <c r="N65" s="150"/>
      <c r="O65" s="151"/>
      <c r="P65" s="151"/>
      <c r="Q65" s="152"/>
    </row>
    <row r="66" spans="2:27" ht="15" thickBot="1" x14ac:dyDescent="0.35">
      <c r="B66" s="41"/>
      <c r="C66" s="35"/>
      <c r="D66" s="121"/>
      <c r="E66" s="121"/>
      <c r="F66" s="121"/>
      <c r="G66" s="121"/>
      <c r="H66" s="121"/>
      <c r="I66" s="121"/>
      <c r="J66" s="121"/>
      <c r="K66" s="123"/>
      <c r="N66" s="153"/>
      <c r="O66" s="154"/>
      <c r="P66" s="154"/>
      <c r="Q66" s="155"/>
    </row>
    <row r="67" spans="2:27" ht="15" thickBot="1" x14ac:dyDescent="0.35">
      <c r="B67" s="117">
        <v>17</v>
      </c>
      <c r="C67" s="118"/>
      <c r="D67" s="120">
        <f t="shared" ref="D67" si="60">$D$27</f>
        <v>13.596946499530036</v>
      </c>
      <c r="E67" s="120"/>
      <c r="F67" s="120">
        <f t="shared" ref="F67" si="61">($G$19/12)*J65</f>
        <v>5.7034996755322425</v>
      </c>
      <c r="G67" s="120"/>
      <c r="H67" s="120">
        <f t="shared" ref="H67" si="62">D67-F67</f>
        <v>7.8934468239977935</v>
      </c>
      <c r="I67" s="120"/>
      <c r="J67" s="120">
        <f t="shared" ref="J67" si="63">J65-H67</f>
        <v>2967.8455143232595</v>
      </c>
      <c r="K67" s="122"/>
    </row>
    <row r="68" spans="2:27" ht="15" thickBot="1" x14ac:dyDescent="0.35">
      <c r="B68" s="41"/>
      <c r="C68" s="35"/>
      <c r="D68" s="121"/>
      <c r="E68" s="121"/>
      <c r="F68" s="121"/>
      <c r="G68" s="121"/>
      <c r="H68" s="121"/>
      <c r="I68" s="121"/>
      <c r="J68" s="121"/>
      <c r="K68" s="123"/>
    </row>
    <row r="69" spans="2:27" ht="15.6" thickTop="1" thickBot="1" x14ac:dyDescent="0.35">
      <c r="B69" s="117">
        <v>18</v>
      </c>
      <c r="C69" s="118"/>
      <c r="D69" s="120">
        <f t="shared" ref="D69" si="64">$D$27</f>
        <v>13.596946499530036</v>
      </c>
      <c r="E69" s="120"/>
      <c r="F69" s="120">
        <f t="shared" ref="F69" si="65">($G$19/12)*J67</f>
        <v>5.6883705691195807</v>
      </c>
      <c r="G69" s="120"/>
      <c r="H69" s="120">
        <f t="shared" ref="H69" si="66">D69-F69</f>
        <v>7.9085759304104553</v>
      </c>
      <c r="I69" s="120"/>
      <c r="J69" s="120">
        <f t="shared" ref="J69" si="67">J67-H69</f>
        <v>2959.9369383928492</v>
      </c>
      <c r="K69" s="122"/>
      <c r="N69" s="4" t="s">
        <v>128</v>
      </c>
      <c r="O69" s="5"/>
      <c r="P69" s="5"/>
      <c r="Q69" s="5"/>
      <c r="R69" s="5"/>
      <c r="S69" s="5"/>
      <c r="T69" s="5"/>
      <c r="U69" s="5"/>
      <c r="V69" s="5"/>
      <c r="W69" s="5"/>
      <c r="X69" s="5"/>
      <c r="Y69" s="5"/>
      <c r="Z69" s="5"/>
      <c r="AA69" s="6"/>
    </row>
    <row r="70" spans="2:27" ht="15" thickBot="1" x14ac:dyDescent="0.35">
      <c r="B70" s="41"/>
      <c r="C70" s="35"/>
      <c r="D70" s="121"/>
      <c r="E70" s="121"/>
      <c r="F70" s="121"/>
      <c r="G70" s="121"/>
      <c r="H70" s="121"/>
      <c r="I70" s="121"/>
      <c r="J70" s="121"/>
      <c r="K70" s="123"/>
      <c r="N70" s="7"/>
      <c r="O70" s="8"/>
      <c r="P70" s="8"/>
      <c r="Q70" s="8"/>
      <c r="R70" s="8"/>
      <c r="S70" s="8"/>
      <c r="T70" s="8"/>
      <c r="U70" s="8"/>
      <c r="V70" s="8"/>
      <c r="W70" s="8"/>
      <c r="X70" s="8"/>
      <c r="Y70" s="8"/>
      <c r="Z70" s="8"/>
      <c r="AA70" s="9"/>
    </row>
    <row r="71" spans="2:27" ht="15.6" thickTop="1" thickBot="1" x14ac:dyDescent="0.35">
      <c r="B71" s="117">
        <v>19</v>
      </c>
      <c r="C71" s="118"/>
      <c r="D71" s="120">
        <f t="shared" ref="D71" si="68">$D$27</f>
        <v>13.596946499530036</v>
      </c>
      <c r="E71" s="120"/>
      <c r="F71" s="120">
        <f t="shared" ref="F71" si="69">($G$19/12)*J69</f>
        <v>5.673212465252961</v>
      </c>
      <c r="G71" s="120"/>
      <c r="H71" s="120">
        <f t="shared" ref="H71" si="70">D71-F71</f>
        <v>7.923734034277075</v>
      </c>
      <c r="I71" s="120"/>
      <c r="J71" s="120">
        <f t="shared" ref="J71" si="71">J69-H71</f>
        <v>2952.0132043585722</v>
      </c>
      <c r="K71" s="122"/>
      <c r="N71" s="30" t="s">
        <v>134</v>
      </c>
      <c r="O71" s="31"/>
      <c r="P71" s="31"/>
      <c r="Q71" s="31"/>
      <c r="R71" s="131" t="s">
        <v>139</v>
      </c>
      <c r="S71" s="131"/>
      <c r="T71" s="131"/>
      <c r="U71" s="131"/>
      <c r="V71" s="131"/>
      <c r="W71" s="131"/>
      <c r="X71" s="131"/>
      <c r="Y71" s="131"/>
      <c r="Z71" s="131"/>
      <c r="AA71" s="132"/>
    </row>
    <row r="72" spans="2:27" ht="15" thickBot="1" x14ac:dyDescent="0.35">
      <c r="B72" s="41"/>
      <c r="C72" s="35"/>
      <c r="D72" s="121"/>
      <c r="E72" s="121"/>
      <c r="F72" s="121"/>
      <c r="G72" s="121"/>
      <c r="H72" s="121"/>
      <c r="I72" s="121"/>
      <c r="J72" s="121"/>
      <c r="K72" s="123"/>
      <c r="N72" s="32"/>
      <c r="O72" s="33"/>
      <c r="P72" s="33"/>
      <c r="Q72" s="33"/>
      <c r="R72" s="133"/>
      <c r="S72" s="133"/>
      <c r="T72" s="133"/>
      <c r="U72" s="133"/>
      <c r="V72" s="133"/>
      <c r="W72" s="133"/>
      <c r="X72" s="133"/>
      <c r="Y72" s="133"/>
      <c r="Z72" s="133"/>
      <c r="AA72" s="134"/>
    </row>
    <row r="73" spans="2:27" ht="15" thickBot="1" x14ac:dyDescent="0.35">
      <c r="B73" s="117">
        <v>20</v>
      </c>
      <c r="C73" s="118"/>
      <c r="D73" s="120">
        <f t="shared" ref="D73" si="72">$D$27</f>
        <v>13.596946499530036</v>
      </c>
      <c r="E73" s="120"/>
      <c r="F73" s="120">
        <f t="shared" ref="F73" si="73">($G$19/12)*J71</f>
        <v>5.6580253083539302</v>
      </c>
      <c r="G73" s="120"/>
      <c r="H73" s="120">
        <f t="shared" ref="H73" si="74">D73-F73</f>
        <v>7.9389211911761057</v>
      </c>
      <c r="I73" s="120"/>
      <c r="J73" s="120">
        <f t="shared" ref="J73" si="75">J71-H73</f>
        <v>2944.0742831673961</v>
      </c>
      <c r="K73" s="122"/>
      <c r="N73" s="32" t="s">
        <v>131</v>
      </c>
      <c r="O73" s="33"/>
      <c r="P73" s="33"/>
      <c r="Q73" s="33"/>
      <c r="R73" s="133" t="s">
        <v>138</v>
      </c>
      <c r="S73" s="133"/>
      <c r="T73" s="133"/>
      <c r="U73" s="133"/>
      <c r="V73" s="133"/>
      <c r="W73" s="133"/>
      <c r="X73" s="133"/>
      <c r="Y73" s="133"/>
      <c r="Z73" s="133"/>
      <c r="AA73" s="134"/>
    </row>
    <row r="74" spans="2:27" ht="15" thickBot="1" x14ac:dyDescent="0.35">
      <c r="B74" s="41"/>
      <c r="C74" s="35"/>
      <c r="D74" s="121"/>
      <c r="E74" s="121"/>
      <c r="F74" s="121"/>
      <c r="G74" s="121"/>
      <c r="H74" s="121"/>
      <c r="I74" s="121"/>
      <c r="J74" s="121"/>
      <c r="K74" s="123"/>
      <c r="N74" s="32"/>
      <c r="O74" s="33"/>
      <c r="P74" s="33"/>
      <c r="Q74" s="33"/>
      <c r="R74" s="133"/>
      <c r="S74" s="133"/>
      <c r="T74" s="133"/>
      <c r="U74" s="133"/>
      <c r="V74" s="133"/>
      <c r="W74" s="133"/>
      <c r="X74" s="133"/>
      <c r="Y74" s="133"/>
      <c r="Z74" s="133"/>
      <c r="AA74" s="134"/>
    </row>
    <row r="75" spans="2:27" ht="15" thickBot="1" x14ac:dyDescent="0.35">
      <c r="B75" s="117">
        <v>21</v>
      </c>
      <c r="C75" s="118"/>
      <c r="D75" s="120">
        <f t="shared" ref="D75" si="76">$D$27</f>
        <v>13.596946499530036</v>
      </c>
      <c r="E75" s="120"/>
      <c r="F75" s="120">
        <f t="shared" ref="F75" si="77">($G$19/12)*J73</f>
        <v>5.6428090427375084</v>
      </c>
      <c r="G75" s="120"/>
      <c r="H75" s="120">
        <f t="shared" ref="H75" si="78">D75-F75</f>
        <v>7.9541374567925276</v>
      </c>
      <c r="I75" s="120"/>
      <c r="J75" s="120">
        <f t="shared" ref="J75" si="79">J73-H75</f>
        <v>2936.1201457106035</v>
      </c>
      <c r="K75" s="122"/>
      <c r="N75" s="32" t="s">
        <v>136</v>
      </c>
      <c r="O75" s="33"/>
      <c r="P75" s="33"/>
      <c r="Q75" s="33"/>
      <c r="R75" s="133" t="s">
        <v>137</v>
      </c>
      <c r="S75" s="133"/>
      <c r="T75" s="133"/>
      <c r="U75" s="133"/>
      <c r="V75" s="133"/>
      <c r="W75" s="133"/>
      <c r="X75" s="133"/>
      <c r="Y75" s="133"/>
      <c r="Z75" s="133"/>
      <c r="AA75" s="134"/>
    </row>
    <row r="76" spans="2:27" ht="15" thickBot="1" x14ac:dyDescent="0.35">
      <c r="B76" s="41"/>
      <c r="C76" s="35"/>
      <c r="D76" s="121"/>
      <c r="E76" s="121"/>
      <c r="F76" s="121"/>
      <c r="G76" s="121"/>
      <c r="H76" s="121"/>
      <c r="I76" s="121"/>
      <c r="J76" s="121"/>
      <c r="K76" s="123"/>
      <c r="N76" s="46"/>
      <c r="O76" s="47"/>
      <c r="P76" s="47"/>
      <c r="Q76" s="47"/>
      <c r="R76" s="135"/>
      <c r="S76" s="135"/>
      <c r="T76" s="135"/>
      <c r="U76" s="135"/>
      <c r="V76" s="135"/>
      <c r="W76" s="135"/>
      <c r="X76" s="135"/>
      <c r="Y76" s="135"/>
      <c r="Z76" s="135"/>
      <c r="AA76" s="136"/>
    </row>
    <row r="77" spans="2:27" ht="15" thickBot="1" x14ac:dyDescent="0.35">
      <c r="B77" s="117">
        <v>22</v>
      </c>
      <c r="C77" s="118"/>
      <c r="D77" s="120">
        <f t="shared" ref="D77" si="80">$D$27</f>
        <v>13.596946499530036</v>
      </c>
      <c r="E77" s="120"/>
      <c r="F77" s="120">
        <f t="shared" ref="F77" si="81">($G$19/12)*J75</f>
        <v>5.6275636126119899</v>
      </c>
      <c r="G77" s="120"/>
      <c r="H77" s="120">
        <f t="shared" ref="H77" si="82">D77-F77</f>
        <v>7.9693828869180461</v>
      </c>
      <c r="I77" s="120"/>
      <c r="J77" s="120">
        <f t="shared" ref="J77" si="83">J75-H77</f>
        <v>2928.1507628236855</v>
      </c>
      <c r="K77" s="122"/>
    </row>
    <row r="78" spans="2:27" ht="15" thickBot="1" x14ac:dyDescent="0.35">
      <c r="B78" s="41"/>
      <c r="C78" s="35"/>
      <c r="D78" s="121"/>
      <c r="E78" s="121"/>
      <c r="F78" s="121"/>
      <c r="G78" s="121"/>
      <c r="H78" s="121"/>
      <c r="I78" s="121"/>
      <c r="J78" s="121"/>
      <c r="K78" s="123"/>
    </row>
    <row r="79" spans="2:27" ht="15" thickBot="1" x14ac:dyDescent="0.35">
      <c r="B79" s="117">
        <v>23</v>
      </c>
      <c r="C79" s="118"/>
      <c r="D79" s="120">
        <f t="shared" ref="D79" si="84">$D$27</f>
        <v>13.596946499530036</v>
      </c>
      <c r="E79" s="120"/>
      <c r="F79" s="120">
        <f t="shared" ref="F79" si="85">($G$19/12)*J77</f>
        <v>5.61228896207873</v>
      </c>
      <c r="G79" s="120"/>
      <c r="H79" s="120">
        <f t="shared" ref="H79" si="86">D79-F79</f>
        <v>7.984657537451306</v>
      </c>
      <c r="I79" s="120"/>
      <c r="J79" s="120">
        <f t="shared" ref="J79" si="87">J77-H79</f>
        <v>2920.1661052862341</v>
      </c>
      <c r="K79" s="122"/>
    </row>
    <row r="80" spans="2:27" ht="15" thickBot="1" x14ac:dyDescent="0.35">
      <c r="B80" s="41"/>
      <c r="C80" s="35"/>
      <c r="D80" s="121"/>
      <c r="E80" s="121"/>
      <c r="F80" s="121"/>
      <c r="G80" s="121"/>
      <c r="H80" s="121"/>
      <c r="I80" s="121"/>
      <c r="J80" s="121"/>
      <c r="K80" s="123"/>
    </row>
    <row r="81" spans="2:11" ht="15" thickBot="1" x14ac:dyDescent="0.35">
      <c r="B81" s="117">
        <v>24</v>
      </c>
      <c r="C81" s="118"/>
      <c r="D81" s="120">
        <f t="shared" ref="D81" si="88">$D$27</f>
        <v>13.596946499530036</v>
      </c>
      <c r="E81" s="120"/>
      <c r="F81" s="120">
        <f t="shared" ref="F81" si="89">($G$19/12)*J79</f>
        <v>5.5969850351319481</v>
      </c>
      <c r="G81" s="120"/>
      <c r="H81" s="120">
        <f t="shared" ref="H81" si="90">D81-F81</f>
        <v>7.9999614643980879</v>
      </c>
      <c r="I81" s="120"/>
      <c r="J81" s="120">
        <f t="shared" ref="J81" si="91">J79-H81</f>
        <v>2912.1661438218362</v>
      </c>
      <c r="K81" s="122"/>
    </row>
    <row r="82" spans="2:11" ht="15" thickBot="1" x14ac:dyDescent="0.35">
      <c r="B82" s="164"/>
      <c r="C82" s="165"/>
      <c r="D82" s="166"/>
      <c r="E82" s="166"/>
      <c r="F82" s="166"/>
      <c r="G82" s="166"/>
      <c r="H82" s="166"/>
      <c r="I82" s="166"/>
      <c r="J82" s="166"/>
      <c r="K82" s="167"/>
    </row>
    <row r="83" spans="2:11" ht="15" thickTop="1" x14ac:dyDescent="0.3">
      <c r="B83" s="4" t="s">
        <v>106</v>
      </c>
      <c r="C83" s="5"/>
      <c r="D83" s="5"/>
      <c r="E83" s="5"/>
      <c r="F83" s="5"/>
      <c r="G83" s="5"/>
      <c r="H83" s="5"/>
      <c r="I83" s="5"/>
      <c r="J83" s="5"/>
      <c r="K83" s="6"/>
    </row>
    <row r="84" spans="2:11" ht="15" thickBot="1" x14ac:dyDescent="0.35">
      <c r="B84" s="7"/>
      <c r="C84" s="8"/>
      <c r="D84" s="8"/>
      <c r="E84" s="8"/>
      <c r="F84" s="8"/>
      <c r="G84" s="8"/>
      <c r="H84" s="8"/>
      <c r="I84" s="8"/>
      <c r="J84" s="8"/>
      <c r="K84" s="9"/>
    </row>
    <row r="85" spans="2:11" ht="15.6" thickTop="1" thickBot="1" x14ac:dyDescent="0.35">
      <c r="B85" s="117">
        <v>25</v>
      </c>
      <c r="C85" s="118"/>
      <c r="D85" s="120">
        <f>$Q$18</f>
        <v>15.588640673015377</v>
      </c>
      <c r="E85" s="120"/>
      <c r="F85" s="120">
        <f>($L$15/12)*Q15</f>
        <v>8.283456895509719</v>
      </c>
      <c r="G85" s="120"/>
      <c r="H85" s="120">
        <f t="shared" ref="H85" si="92">D85-F85</f>
        <v>7.3051837775056576</v>
      </c>
      <c r="I85" s="120"/>
      <c r="J85" s="120">
        <f>Q15-H85</f>
        <v>3004.8609600442101</v>
      </c>
      <c r="K85" s="122"/>
    </row>
    <row r="86" spans="2:11" ht="15" thickBot="1" x14ac:dyDescent="0.35">
      <c r="B86" s="41"/>
      <c r="C86" s="35"/>
      <c r="D86" s="121"/>
      <c r="E86" s="121"/>
      <c r="F86" s="121"/>
      <c r="G86" s="121"/>
      <c r="H86" s="121"/>
      <c r="I86" s="121"/>
      <c r="J86" s="121"/>
      <c r="K86" s="123"/>
    </row>
    <row r="87" spans="2:11" ht="15" thickBot="1" x14ac:dyDescent="0.35">
      <c r="B87" s="117">
        <v>26</v>
      </c>
      <c r="C87" s="118"/>
      <c r="D87" s="120">
        <f t="shared" ref="D87" si="93">$Q$18</f>
        <v>15.588640673015377</v>
      </c>
      <c r="E87" s="120"/>
      <c r="F87" s="120">
        <f>($L$15/12)*J85</f>
        <v>8.2633676401215777</v>
      </c>
      <c r="G87" s="120"/>
      <c r="H87" s="120">
        <f t="shared" ref="H87" si="94">D87-F87</f>
        <v>7.3252730328937989</v>
      </c>
      <c r="I87" s="120"/>
      <c r="J87" s="160">
        <f t="shared" ref="J87" si="95">J85-H87</f>
        <v>2997.5356870113164</v>
      </c>
      <c r="K87" s="161"/>
    </row>
    <row r="88" spans="2:11" ht="15" thickBot="1" x14ac:dyDescent="0.35">
      <c r="B88" s="41"/>
      <c r="C88" s="35"/>
      <c r="D88" s="121"/>
      <c r="E88" s="121"/>
      <c r="F88" s="121"/>
      <c r="G88" s="121"/>
      <c r="H88" s="121"/>
      <c r="I88" s="121"/>
      <c r="J88" s="162"/>
      <c r="K88" s="163"/>
    </row>
    <row r="89" spans="2:11" ht="15" thickBot="1" x14ac:dyDescent="0.35">
      <c r="B89" s="117">
        <v>27</v>
      </c>
      <c r="C89" s="118"/>
      <c r="D89" s="120">
        <f t="shared" ref="D89" si="96">$Q$18</f>
        <v>15.588640673015377</v>
      </c>
      <c r="E89" s="120"/>
      <c r="F89" s="120">
        <f t="shared" ref="F89" si="97">($L$15/12)*J87</f>
        <v>8.2432231392811204</v>
      </c>
      <c r="G89" s="120"/>
      <c r="H89" s="120">
        <f t="shared" ref="H89" si="98">D89-F89</f>
        <v>7.3454175337342562</v>
      </c>
      <c r="I89" s="120"/>
      <c r="J89" s="160">
        <f t="shared" ref="J89" si="99">J87-H89</f>
        <v>2990.1902694775822</v>
      </c>
      <c r="K89" s="161"/>
    </row>
    <row r="90" spans="2:11" ht="15" thickBot="1" x14ac:dyDescent="0.35">
      <c r="B90" s="41"/>
      <c r="C90" s="35"/>
      <c r="D90" s="121"/>
      <c r="E90" s="121"/>
      <c r="F90" s="121"/>
      <c r="G90" s="121"/>
      <c r="H90" s="121"/>
      <c r="I90" s="121"/>
      <c r="J90" s="162"/>
      <c r="K90" s="163"/>
    </row>
    <row r="91" spans="2:11" ht="15" thickBot="1" x14ac:dyDescent="0.35">
      <c r="B91" s="117">
        <v>28</v>
      </c>
      <c r="C91" s="118"/>
      <c r="D91" s="120">
        <f t="shared" ref="D91" si="100">$Q$18</f>
        <v>15.588640673015377</v>
      </c>
      <c r="E91" s="120"/>
      <c r="F91" s="120">
        <f t="shared" ref="F91" si="101">($L$15/12)*J89</f>
        <v>8.2230232410633519</v>
      </c>
      <c r="G91" s="120"/>
      <c r="H91" s="120">
        <f t="shared" ref="H91" si="102">D91-F91</f>
        <v>7.3656174319520247</v>
      </c>
      <c r="I91" s="120"/>
      <c r="J91" s="160">
        <f t="shared" ref="J91" si="103">J89-H91</f>
        <v>2982.82465204563</v>
      </c>
      <c r="K91" s="161"/>
    </row>
    <row r="92" spans="2:11" ht="15" thickBot="1" x14ac:dyDescent="0.35">
      <c r="B92" s="41"/>
      <c r="C92" s="35"/>
      <c r="D92" s="121"/>
      <c r="E92" s="121"/>
      <c r="F92" s="121"/>
      <c r="G92" s="121"/>
      <c r="H92" s="121"/>
      <c r="I92" s="121"/>
      <c r="J92" s="162"/>
      <c r="K92" s="163"/>
    </row>
    <row r="93" spans="2:11" ht="15" thickBot="1" x14ac:dyDescent="0.35">
      <c r="B93" s="117">
        <v>29</v>
      </c>
      <c r="C93" s="118"/>
      <c r="D93" s="120">
        <f t="shared" ref="D93" si="104">$Q$18</f>
        <v>15.588640673015377</v>
      </c>
      <c r="E93" s="120"/>
      <c r="F93" s="120">
        <f t="shared" ref="F93" si="105">($L$15/12)*J91</f>
        <v>8.2027677931254832</v>
      </c>
      <c r="G93" s="120"/>
      <c r="H93" s="120">
        <f t="shared" ref="H93" si="106">D93-F93</f>
        <v>7.3858728798898934</v>
      </c>
      <c r="I93" s="120"/>
      <c r="J93" s="160">
        <f t="shared" ref="J93" si="107">J91-H93</f>
        <v>2975.43877916574</v>
      </c>
      <c r="K93" s="161"/>
    </row>
    <row r="94" spans="2:11" ht="15" thickBot="1" x14ac:dyDescent="0.35">
      <c r="B94" s="41"/>
      <c r="C94" s="35"/>
      <c r="D94" s="121"/>
      <c r="E94" s="121"/>
      <c r="F94" s="121"/>
      <c r="G94" s="121"/>
      <c r="H94" s="121"/>
      <c r="I94" s="121"/>
      <c r="J94" s="162"/>
      <c r="K94" s="163"/>
    </row>
    <row r="95" spans="2:11" ht="15" thickBot="1" x14ac:dyDescent="0.35">
      <c r="B95" s="117">
        <v>30</v>
      </c>
      <c r="C95" s="118"/>
      <c r="D95" s="120">
        <f t="shared" ref="D95" si="108">$Q$18</f>
        <v>15.588640673015377</v>
      </c>
      <c r="E95" s="120"/>
      <c r="F95" s="120">
        <f t="shared" ref="F95" si="109">($L$15/12)*J93</f>
        <v>8.1824566427057857</v>
      </c>
      <c r="G95" s="120"/>
      <c r="H95" s="120">
        <f t="shared" ref="H95" si="110">D95-F95</f>
        <v>7.4061840303095909</v>
      </c>
      <c r="I95" s="120"/>
      <c r="J95" s="160">
        <f t="shared" ref="J95" si="111">J93-H95</f>
        <v>2968.0325951354303</v>
      </c>
      <c r="K95" s="161"/>
    </row>
    <row r="96" spans="2:11" ht="15" thickBot="1" x14ac:dyDescent="0.35">
      <c r="B96" s="41"/>
      <c r="C96" s="35"/>
      <c r="D96" s="121"/>
      <c r="E96" s="121"/>
      <c r="F96" s="121"/>
      <c r="G96" s="121"/>
      <c r="H96" s="121"/>
      <c r="I96" s="121"/>
      <c r="J96" s="162"/>
      <c r="K96" s="163"/>
    </row>
    <row r="97" spans="2:11" ht="15" thickBot="1" x14ac:dyDescent="0.35">
      <c r="B97" s="117">
        <v>31</v>
      </c>
      <c r="C97" s="118"/>
      <c r="D97" s="120">
        <f t="shared" ref="D97" si="112">$Q$18</f>
        <v>15.588640673015377</v>
      </c>
      <c r="E97" s="120"/>
      <c r="F97" s="120">
        <f t="shared" ref="F97" si="113">($L$15/12)*J95</f>
        <v>8.1620896366224347</v>
      </c>
      <c r="G97" s="120"/>
      <c r="H97" s="120">
        <f t="shared" ref="H97" si="114">D97-F97</f>
        <v>7.4265510363929419</v>
      </c>
      <c r="I97" s="120"/>
      <c r="J97" s="160">
        <f t="shared" ref="J97" si="115">J95-H97</f>
        <v>2960.6060440990373</v>
      </c>
      <c r="K97" s="161"/>
    </row>
    <row r="98" spans="2:11" ht="15" thickBot="1" x14ac:dyDescent="0.35">
      <c r="B98" s="41"/>
      <c r="C98" s="35"/>
      <c r="D98" s="121"/>
      <c r="E98" s="121"/>
      <c r="F98" s="121"/>
      <c r="G98" s="121"/>
      <c r="H98" s="121"/>
      <c r="I98" s="121"/>
      <c r="J98" s="162"/>
      <c r="K98" s="163"/>
    </row>
    <row r="99" spans="2:11" ht="15" thickBot="1" x14ac:dyDescent="0.35">
      <c r="B99" s="117">
        <v>32</v>
      </c>
      <c r="C99" s="118"/>
      <c r="D99" s="120">
        <f t="shared" ref="D99" si="116">$Q$18</f>
        <v>15.588640673015377</v>
      </c>
      <c r="E99" s="120"/>
      <c r="F99" s="120">
        <f t="shared" ref="F99" si="117">($L$15/12)*J97</f>
        <v>8.1416666212723534</v>
      </c>
      <c r="G99" s="120"/>
      <c r="H99" s="120">
        <f t="shared" ref="H99" si="118">D99-F99</f>
        <v>7.4469740517430232</v>
      </c>
      <c r="I99" s="120"/>
      <c r="J99" s="160">
        <f t="shared" ref="J99" si="119">J97-H99</f>
        <v>2953.1590700472943</v>
      </c>
      <c r="K99" s="161"/>
    </row>
    <row r="100" spans="2:11" ht="15" thickBot="1" x14ac:dyDescent="0.35">
      <c r="B100" s="41"/>
      <c r="C100" s="35"/>
      <c r="D100" s="121"/>
      <c r="E100" s="121"/>
      <c r="F100" s="121"/>
      <c r="G100" s="121"/>
      <c r="H100" s="121"/>
      <c r="I100" s="121"/>
      <c r="J100" s="162"/>
      <c r="K100" s="163"/>
    </row>
    <row r="101" spans="2:11" ht="15" thickBot="1" x14ac:dyDescent="0.35">
      <c r="B101" s="117">
        <v>33</v>
      </c>
      <c r="C101" s="118"/>
      <c r="D101" s="120">
        <f t="shared" ref="D101" si="120">$Q$18</f>
        <v>15.588640673015377</v>
      </c>
      <c r="E101" s="120"/>
      <c r="F101" s="120">
        <f t="shared" ref="F101" si="121">($L$15/12)*J99</f>
        <v>8.1211874426300596</v>
      </c>
      <c r="G101" s="120"/>
      <c r="H101" s="120">
        <f t="shared" ref="H101" si="122">D101-F101</f>
        <v>7.4674532303853169</v>
      </c>
      <c r="I101" s="120"/>
      <c r="J101" s="160">
        <f t="shared" ref="J101" si="123">J99-H101</f>
        <v>2945.6916168169091</v>
      </c>
      <c r="K101" s="161"/>
    </row>
    <row r="102" spans="2:11" ht="15" thickBot="1" x14ac:dyDescent="0.35">
      <c r="B102" s="41"/>
      <c r="C102" s="35"/>
      <c r="D102" s="121"/>
      <c r="E102" s="121"/>
      <c r="F102" s="121"/>
      <c r="G102" s="121"/>
      <c r="H102" s="121"/>
      <c r="I102" s="121"/>
      <c r="J102" s="162"/>
      <c r="K102" s="163"/>
    </row>
    <row r="103" spans="2:11" ht="15" thickBot="1" x14ac:dyDescent="0.35">
      <c r="B103" s="117">
        <v>34</v>
      </c>
      <c r="C103" s="118"/>
      <c r="D103" s="120">
        <f t="shared" ref="D103" si="124">$Q$18</f>
        <v>15.588640673015377</v>
      </c>
      <c r="E103" s="120"/>
      <c r="F103" s="120">
        <f t="shared" ref="F103" si="125">($L$15/12)*J101</f>
        <v>8.1006519462465008</v>
      </c>
      <c r="G103" s="120"/>
      <c r="H103" s="120">
        <f t="shared" ref="H103" si="126">D103-F103</f>
        <v>7.4879887267688758</v>
      </c>
      <c r="I103" s="120"/>
      <c r="J103" s="160">
        <f t="shared" ref="J103" si="127">J101-H103</f>
        <v>2938.2036280901402</v>
      </c>
      <c r="K103" s="161"/>
    </row>
    <row r="104" spans="2:11" ht="15" thickBot="1" x14ac:dyDescent="0.35">
      <c r="B104" s="41"/>
      <c r="C104" s="35"/>
      <c r="D104" s="121"/>
      <c r="E104" s="121"/>
      <c r="F104" s="121"/>
      <c r="G104" s="121"/>
      <c r="H104" s="121"/>
      <c r="I104" s="121"/>
      <c r="J104" s="162"/>
      <c r="K104" s="163"/>
    </row>
    <row r="105" spans="2:11" ht="15" thickBot="1" x14ac:dyDescent="0.35">
      <c r="B105" s="117">
        <v>35</v>
      </c>
      <c r="C105" s="118"/>
      <c r="D105" s="120">
        <f t="shared" ref="D105" si="128">$Q$18</f>
        <v>15.588640673015377</v>
      </c>
      <c r="E105" s="120"/>
      <c r="F105" s="120">
        <f t="shared" ref="F105" si="129">($L$15/12)*J103</f>
        <v>8.0800599772478865</v>
      </c>
      <c r="G105" s="120"/>
      <c r="H105" s="120">
        <f t="shared" ref="H105" si="130">D105-F105</f>
        <v>7.5085806957674901</v>
      </c>
      <c r="I105" s="120"/>
      <c r="J105" s="160">
        <f t="shared" ref="J105" si="131">J103-H105</f>
        <v>2930.6950473943725</v>
      </c>
      <c r="K105" s="161"/>
    </row>
    <row r="106" spans="2:11" ht="15" thickBot="1" x14ac:dyDescent="0.35">
      <c r="B106" s="41"/>
      <c r="C106" s="35"/>
      <c r="D106" s="121"/>
      <c r="E106" s="121"/>
      <c r="F106" s="121"/>
      <c r="G106" s="121"/>
      <c r="H106" s="121"/>
      <c r="I106" s="121"/>
      <c r="J106" s="162"/>
      <c r="K106" s="163"/>
    </row>
    <row r="107" spans="2:11" ht="15" thickBot="1" x14ac:dyDescent="0.35">
      <c r="B107" s="117">
        <v>36</v>
      </c>
      <c r="C107" s="118"/>
      <c r="D107" s="120">
        <f t="shared" ref="D107" si="132">$Q$18</f>
        <v>15.588640673015377</v>
      </c>
      <c r="E107" s="120"/>
      <c r="F107" s="120">
        <f t="shared" ref="F107" si="133">($L$15/12)*J105</f>
        <v>8.0594113803345255</v>
      </c>
      <c r="G107" s="120"/>
      <c r="H107" s="120">
        <f t="shared" ref="H107" si="134">D107-F107</f>
        <v>7.5292292926808511</v>
      </c>
      <c r="I107" s="120"/>
      <c r="J107" s="160">
        <f t="shared" ref="J107" si="135">J105-H107</f>
        <v>2923.1658181016915</v>
      </c>
      <c r="K107" s="161"/>
    </row>
    <row r="108" spans="2:11" ht="15" thickBot="1" x14ac:dyDescent="0.35">
      <c r="B108" s="41"/>
      <c r="C108" s="35"/>
      <c r="D108" s="121"/>
      <c r="E108" s="121"/>
      <c r="F108" s="121"/>
      <c r="G108" s="121"/>
      <c r="H108" s="121"/>
      <c r="I108" s="121"/>
      <c r="J108" s="162"/>
      <c r="K108" s="163"/>
    </row>
    <row r="109" spans="2:11" ht="15" thickBot="1" x14ac:dyDescent="0.35">
      <c r="B109" s="117">
        <v>37</v>
      </c>
      <c r="C109" s="118"/>
      <c r="D109" s="120">
        <f t="shared" ref="D109" si="136">$Q$18</f>
        <v>15.588640673015377</v>
      </c>
      <c r="E109" s="120"/>
      <c r="F109" s="120">
        <f t="shared" ref="F109" si="137">($L$15/12)*J107</f>
        <v>8.0387059997796531</v>
      </c>
      <c r="G109" s="120"/>
      <c r="H109" s="120">
        <f t="shared" ref="H109" si="138">D109-F109</f>
        <v>7.5499346732357235</v>
      </c>
      <c r="I109" s="120"/>
      <c r="J109" s="160">
        <f t="shared" ref="J109" si="139">J107-H109</f>
        <v>2915.6158834284556</v>
      </c>
      <c r="K109" s="161"/>
    </row>
    <row r="110" spans="2:11" ht="15" thickBot="1" x14ac:dyDescent="0.35">
      <c r="B110" s="41"/>
      <c r="C110" s="35"/>
      <c r="D110" s="121"/>
      <c r="E110" s="121"/>
      <c r="F110" s="121"/>
      <c r="G110" s="121"/>
      <c r="H110" s="121"/>
      <c r="I110" s="121"/>
      <c r="J110" s="162"/>
      <c r="K110" s="163"/>
    </row>
    <row r="111" spans="2:11" ht="15" thickBot="1" x14ac:dyDescent="0.35">
      <c r="B111" s="117">
        <v>38</v>
      </c>
      <c r="C111" s="118"/>
      <c r="D111" s="120">
        <f t="shared" ref="D111" si="140">$Q$18</f>
        <v>15.588640673015377</v>
      </c>
      <c r="E111" s="120"/>
      <c r="F111" s="120">
        <f t="shared" ref="F111" si="141">($L$15/12)*J109</f>
        <v>8.017943679428253</v>
      </c>
      <c r="G111" s="120"/>
      <c r="H111" s="120">
        <f t="shared" ref="H111" si="142">D111-F111</f>
        <v>7.5706969935871236</v>
      </c>
      <c r="I111" s="120"/>
      <c r="J111" s="160">
        <f t="shared" ref="J111" si="143">J109-H111</f>
        <v>2908.0451864348684</v>
      </c>
      <c r="K111" s="161"/>
    </row>
    <row r="112" spans="2:11" ht="15" thickBot="1" x14ac:dyDescent="0.35">
      <c r="B112" s="41"/>
      <c r="C112" s="35"/>
      <c r="D112" s="121"/>
      <c r="E112" s="121"/>
      <c r="F112" s="121"/>
      <c r="G112" s="121"/>
      <c r="H112" s="121"/>
      <c r="I112" s="121"/>
      <c r="J112" s="162"/>
      <c r="K112" s="163"/>
    </row>
    <row r="113" spans="2:11" ht="15" thickBot="1" x14ac:dyDescent="0.35">
      <c r="B113" s="117">
        <v>39</v>
      </c>
      <c r="C113" s="118"/>
      <c r="D113" s="120">
        <f t="shared" ref="D113" si="144">$Q$18</f>
        <v>15.588640673015377</v>
      </c>
      <c r="E113" s="120"/>
      <c r="F113" s="120">
        <f t="shared" ref="F113" si="145">($L$15/12)*J111</f>
        <v>7.9971242626958885</v>
      </c>
      <c r="G113" s="120"/>
      <c r="H113" s="120">
        <f t="shared" ref="H113" si="146">D113-F113</f>
        <v>7.5915164103194881</v>
      </c>
      <c r="I113" s="120"/>
      <c r="J113" s="160">
        <f t="shared" ref="J113" si="147">J111-H113</f>
        <v>2900.453670024549</v>
      </c>
      <c r="K113" s="161"/>
    </row>
    <row r="114" spans="2:11" ht="15" thickBot="1" x14ac:dyDescent="0.35">
      <c r="B114" s="41"/>
      <c r="C114" s="35"/>
      <c r="D114" s="121"/>
      <c r="E114" s="121"/>
      <c r="F114" s="121"/>
      <c r="G114" s="121"/>
      <c r="H114" s="121"/>
      <c r="I114" s="121"/>
      <c r="J114" s="162"/>
      <c r="K114" s="163"/>
    </row>
    <row r="115" spans="2:11" ht="15" thickBot="1" x14ac:dyDescent="0.35">
      <c r="B115" s="117">
        <v>40</v>
      </c>
      <c r="C115" s="118"/>
      <c r="D115" s="120">
        <f t="shared" ref="D115" si="148">$Q$18</f>
        <v>15.588640673015377</v>
      </c>
      <c r="E115" s="120"/>
      <c r="F115" s="120">
        <f t="shared" ref="F115" si="149">($L$15/12)*J113</f>
        <v>7.9762475925675105</v>
      </c>
      <c r="G115" s="120"/>
      <c r="H115" s="120">
        <f t="shared" ref="H115" si="150">D115-F115</f>
        <v>7.6123930804478661</v>
      </c>
      <c r="I115" s="120"/>
      <c r="J115" s="160">
        <f t="shared" ref="J115" si="151">J113-H115</f>
        <v>2892.8412769441011</v>
      </c>
      <c r="K115" s="161"/>
    </row>
    <row r="116" spans="2:11" ht="15" thickBot="1" x14ac:dyDescent="0.35">
      <c r="B116" s="41"/>
      <c r="C116" s="35"/>
      <c r="D116" s="121"/>
      <c r="E116" s="121"/>
      <c r="F116" s="121"/>
      <c r="G116" s="121"/>
      <c r="H116" s="121"/>
      <c r="I116" s="121"/>
      <c r="J116" s="162"/>
      <c r="K116" s="163"/>
    </row>
    <row r="117" spans="2:11" ht="15" thickBot="1" x14ac:dyDescent="0.35">
      <c r="B117" s="117">
        <v>41</v>
      </c>
      <c r="C117" s="118"/>
      <c r="D117" s="120">
        <f t="shared" ref="D117" si="152">$Q$18</f>
        <v>15.588640673015377</v>
      </c>
      <c r="E117" s="120"/>
      <c r="F117" s="120">
        <f t="shared" ref="F117" si="153">($L$15/12)*J115</f>
        <v>7.9553135115962785</v>
      </c>
      <c r="G117" s="120"/>
      <c r="H117" s="120">
        <f t="shared" ref="H117" si="154">D117-F117</f>
        <v>7.6333271614190981</v>
      </c>
      <c r="I117" s="120"/>
      <c r="J117" s="160">
        <f t="shared" ref="J117" si="155">J115-H117</f>
        <v>2885.2079497826821</v>
      </c>
      <c r="K117" s="161"/>
    </row>
    <row r="118" spans="2:11" ht="15" thickBot="1" x14ac:dyDescent="0.35">
      <c r="B118" s="41"/>
      <c r="C118" s="35"/>
      <c r="D118" s="121"/>
      <c r="E118" s="121"/>
      <c r="F118" s="121"/>
      <c r="G118" s="121"/>
      <c r="H118" s="121"/>
      <c r="I118" s="121"/>
      <c r="J118" s="162"/>
      <c r="K118" s="163"/>
    </row>
    <row r="119" spans="2:11" ht="15" thickBot="1" x14ac:dyDescent="0.35">
      <c r="B119" s="117">
        <v>42</v>
      </c>
      <c r="C119" s="118"/>
      <c r="D119" s="120">
        <f t="shared" ref="D119" si="156">$Q$18</f>
        <v>15.588640673015377</v>
      </c>
      <c r="E119" s="120"/>
      <c r="F119" s="120">
        <f t="shared" ref="F119" si="157">($L$15/12)*J117</f>
        <v>7.9343218619023768</v>
      </c>
      <c r="G119" s="120"/>
      <c r="H119" s="120">
        <f t="shared" ref="H119" si="158">D119-F119</f>
        <v>7.6543188111129998</v>
      </c>
      <c r="I119" s="120"/>
      <c r="J119" s="160">
        <f t="shared" ref="J119" si="159">J117-H119</f>
        <v>2877.553630971569</v>
      </c>
      <c r="K119" s="161"/>
    </row>
    <row r="120" spans="2:11" ht="15" thickBot="1" x14ac:dyDescent="0.35">
      <c r="B120" s="41"/>
      <c r="C120" s="35"/>
      <c r="D120" s="121"/>
      <c r="E120" s="121"/>
      <c r="F120" s="121"/>
      <c r="G120" s="121"/>
      <c r="H120" s="121"/>
      <c r="I120" s="121"/>
      <c r="J120" s="162"/>
      <c r="K120" s="163"/>
    </row>
    <row r="121" spans="2:11" ht="15" thickBot="1" x14ac:dyDescent="0.35">
      <c r="B121" s="117">
        <v>43</v>
      </c>
      <c r="C121" s="118"/>
      <c r="D121" s="120">
        <f t="shared" ref="D121" si="160">$Q$18</f>
        <v>15.588640673015377</v>
      </c>
      <c r="E121" s="120"/>
      <c r="F121" s="120">
        <f t="shared" ref="F121" si="161">($L$15/12)*J119</f>
        <v>7.9132724851718157</v>
      </c>
      <c r="G121" s="120"/>
      <c r="H121" s="120">
        <f t="shared" ref="H121" si="162">D121-F121</f>
        <v>7.6753681878435609</v>
      </c>
      <c r="I121" s="120"/>
      <c r="J121" s="160">
        <f t="shared" ref="J121" si="163">J119-H121</f>
        <v>2869.8782627837254</v>
      </c>
      <c r="K121" s="161"/>
    </row>
    <row r="122" spans="2:11" ht="15" thickBot="1" x14ac:dyDescent="0.35">
      <c r="B122" s="41"/>
      <c r="C122" s="35"/>
      <c r="D122" s="121"/>
      <c r="E122" s="121"/>
      <c r="F122" s="121"/>
      <c r="G122" s="121"/>
      <c r="H122" s="121"/>
      <c r="I122" s="121"/>
      <c r="J122" s="162"/>
      <c r="K122" s="163"/>
    </row>
    <row r="123" spans="2:11" ht="15" thickBot="1" x14ac:dyDescent="0.35">
      <c r="B123" s="117">
        <v>44</v>
      </c>
      <c r="C123" s="118"/>
      <c r="D123" s="120">
        <f t="shared" ref="D123" si="164">$Q$18</f>
        <v>15.588640673015377</v>
      </c>
      <c r="E123" s="120"/>
      <c r="F123" s="120">
        <f t="shared" ref="F123" si="165">($L$15/12)*J121</f>
        <v>7.8921652226552457</v>
      </c>
      <c r="G123" s="120"/>
      <c r="H123" s="120">
        <f t="shared" ref="H123" si="166">D123-F123</f>
        <v>7.6964754503601309</v>
      </c>
      <c r="I123" s="120"/>
      <c r="J123" s="160">
        <f t="shared" ref="J123" si="167">J121-H123</f>
        <v>2862.1817873333653</v>
      </c>
      <c r="K123" s="161"/>
    </row>
    <row r="124" spans="2:11" ht="15" thickBot="1" x14ac:dyDescent="0.35">
      <c r="B124" s="41"/>
      <c r="C124" s="35"/>
      <c r="D124" s="121"/>
      <c r="E124" s="121"/>
      <c r="F124" s="121"/>
      <c r="G124" s="121"/>
      <c r="H124" s="121"/>
      <c r="I124" s="121"/>
      <c r="J124" s="162"/>
      <c r="K124" s="163"/>
    </row>
    <row r="125" spans="2:11" ht="15" thickBot="1" x14ac:dyDescent="0.35">
      <c r="B125" s="117">
        <v>45</v>
      </c>
      <c r="C125" s="118"/>
      <c r="D125" s="120">
        <f t="shared" ref="D125" si="168">$Q$18</f>
        <v>15.588640673015377</v>
      </c>
      <c r="E125" s="120"/>
      <c r="F125" s="120">
        <f t="shared" ref="F125" si="169">($L$15/12)*J123</f>
        <v>7.8709999151667551</v>
      </c>
      <c r="G125" s="120"/>
      <c r="H125" s="120">
        <f t="shared" ref="H125" si="170">D125-F125</f>
        <v>7.7176407578486215</v>
      </c>
      <c r="I125" s="120"/>
      <c r="J125" s="160">
        <f t="shared" ref="J125" si="171">J123-H125</f>
        <v>2854.4641465755167</v>
      </c>
      <c r="K125" s="161"/>
    </row>
    <row r="126" spans="2:11" ht="15" thickBot="1" x14ac:dyDescent="0.35">
      <c r="B126" s="41"/>
      <c r="C126" s="35"/>
      <c r="D126" s="121"/>
      <c r="E126" s="121"/>
      <c r="F126" s="121"/>
      <c r="G126" s="121"/>
      <c r="H126" s="121"/>
      <c r="I126" s="121"/>
      <c r="J126" s="162"/>
      <c r="K126" s="163"/>
    </row>
    <row r="127" spans="2:11" ht="15" thickBot="1" x14ac:dyDescent="0.35">
      <c r="B127" s="117">
        <v>46</v>
      </c>
      <c r="C127" s="118"/>
      <c r="D127" s="120">
        <f t="shared" ref="D127" si="172">$Q$18</f>
        <v>15.588640673015377</v>
      </c>
      <c r="E127" s="120"/>
      <c r="F127" s="120">
        <f t="shared" ref="F127" si="173">($L$15/12)*J125</f>
        <v>7.8497764030826715</v>
      </c>
      <c r="G127" s="120"/>
      <c r="H127" s="120">
        <f t="shared" ref="H127" si="174">D127-F127</f>
        <v>7.738864269932705</v>
      </c>
      <c r="I127" s="120"/>
      <c r="J127" s="160">
        <f t="shared" ref="J127" si="175">J125-H127</f>
        <v>2846.7252823055842</v>
      </c>
      <c r="K127" s="161"/>
    </row>
    <row r="128" spans="2:11" ht="15" thickBot="1" x14ac:dyDescent="0.35">
      <c r="B128" s="41"/>
      <c r="C128" s="35"/>
      <c r="D128" s="121"/>
      <c r="E128" s="121"/>
      <c r="F128" s="121"/>
      <c r="G128" s="121"/>
      <c r="H128" s="121"/>
      <c r="I128" s="121"/>
      <c r="J128" s="162"/>
      <c r="K128" s="163"/>
    </row>
    <row r="129" spans="2:11" ht="15" thickBot="1" x14ac:dyDescent="0.35">
      <c r="B129" s="117">
        <v>47</v>
      </c>
      <c r="C129" s="118"/>
      <c r="D129" s="120">
        <f t="shared" ref="D129" si="176">$Q$18</f>
        <v>15.588640673015377</v>
      </c>
      <c r="E129" s="120"/>
      <c r="F129" s="120">
        <f t="shared" ref="F129" si="177">($L$15/12)*J127</f>
        <v>7.8284945263403571</v>
      </c>
      <c r="G129" s="120"/>
      <c r="H129" s="120">
        <f t="shared" ref="H129" si="178">D129-F129</f>
        <v>7.7601461466750195</v>
      </c>
      <c r="I129" s="120"/>
      <c r="J129" s="160">
        <f t="shared" ref="J129" si="179">J127-H129</f>
        <v>2838.965136158909</v>
      </c>
      <c r="K129" s="161"/>
    </row>
    <row r="130" spans="2:11" ht="15" thickBot="1" x14ac:dyDescent="0.35">
      <c r="B130" s="41"/>
      <c r="C130" s="35"/>
      <c r="D130" s="121"/>
      <c r="E130" s="121"/>
      <c r="F130" s="121"/>
      <c r="G130" s="121"/>
      <c r="H130" s="121"/>
      <c r="I130" s="121"/>
      <c r="J130" s="162"/>
      <c r="K130" s="163"/>
    </row>
    <row r="131" spans="2:11" ht="15" thickBot="1" x14ac:dyDescent="0.35">
      <c r="B131" s="117">
        <v>48</v>
      </c>
      <c r="C131" s="118"/>
      <c r="D131" s="120">
        <f t="shared" ref="D131" si="180">$Q$18</f>
        <v>15.588640673015377</v>
      </c>
      <c r="E131" s="120"/>
      <c r="F131" s="120">
        <f t="shared" ref="F131" si="181">($L$15/12)*J129</f>
        <v>7.8071541244370009</v>
      </c>
      <c r="G131" s="120"/>
      <c r="H131" s="120">
        <f t="shared" ref="H131" si="182">D131-F131</f>
        <v>7.7814865485783757</v>
      </c>
      <c r="I131" s="120"/>
      <c r="J131" s="160">
        <f t="shared" ref="J131" si="183">J129-H131</f>
        <v>2831.1836496103306</v>
      </c>
      <c r="K131" s="161"/>
    </row>
    <row r="132" spans="2:11" ht="15" thickBot="1" x14ac:dyDescent="0.35">
      <c r="B132" s="41"/>
      <c r="C132" s="35"/>
      <c r="D132" s="121"/>
      <c r="E132" s="121"/>
      <c r="F132" s="121"/>
      <c r="G132" s="121"/>
      <c r="H132" s="121"/>
      <c r="I132" s="121"/>
      <c r="J132" s="162"/>
      <c r="K132" s="163"/>
    </row>
    <row r="133" spans="2:11" ht="15" thickBot="1" x14ac:dyDescent="0.35">
      <c r="B133" s="117">
        <v>49</v>
      </c>
      <c r="C133" s="118"/>
      <c r="D133" s="120">
        <f t="shared" ref="D133" si="184">$Q$18</f>
        <v>15.588640673015377</v>
      </c>
      <c r="E133" s="120"/>
      <c r="F133" s="120">
        <f t="shared" ref="F133" si="185">($L$15/12)*J131</f>
        <v>7.7857550364284096</v>
      </c>
      <c r="G133" s="120"/>
      <c r="H133" s="120">
        <f t="shared" ref="H133" si="186">D133-F133</f>
        <v>7.802885636586967</v>
      </c>
      <c r="I133" s="120"/>
      <c r="J133" s="160">
        <f t="shared" ref="J133" si="187">J131-H133</f>
        <v>2823.3807639737438</v>
      </c>
      <c r="K133" s="161"/>
    </row>
    <row r="134" spans="2:11" ht="15" thickBot="1" x14ac:dyDescent="0.35">
      <c r="B134" s="41"/>
      <c r="C134" s="35"/>
      <c r="D134" s="121"/>
      <c r="E134" s="121"/>
      <c r="F134" s="121"/>
      <c r="G134" s="121"/>
      <c r="H134" s="121"/>
      <c r="I134" s="121"/>
      <c r="J134" s="162"/>
      <c r="K134" s="163"/>
    </row>
    <row r="135" spans="2:11" ht="15" thickBot="1" x14ac:dyDescent="0.35">
      <c r="B135" s="117">
        <v>50</v>
      </c>
      <c r="C135" s="118"/>
      <c r="D135" s="120">
        <f t="shared" ref="D135" si="188">$Q$18</f>
        <v>15.588640673015377</v>
      </c>
      <c r="E135" s="120"/>
      <c r="F135" s="120">
        <f t="shared" ref="F135" si="189">($L$15/12)*J133</f>
        <v>7.7642971009277959</v>
      </c>
      <c r="G135" s="120"/>
      <c r="H135" s="120">
        <f t="shared" ref="H135" si="190">D135-F135</f>
        <v>7.8243435720875807</v>
      </c>
      <c r="I135" s="120"/>
      <c r="J135" s="160">
        <f t="shared" ref="J135" si="191">J133-H135</f>
        <v>2815.5564204016564</v>
      </c>
      <c r="K135" s="161"/>
    </row>
    <row r="136" spans="2:11" ht="15" thickBot="1" x14ac:dyDescent="0.35">
      <c r="B136" s="41"/>
      <c r="C136" s="35"/>
      <c r="D136" s="121"/>
      <c r="E136" s="121"/>
      <c r="F136" s="121"/>
      <c r="G136" s="121"/>
      <c r="H136" s="121"/>
      <c r="I136" s="121"/>
      <c r="J136" s="162"/>
      <c r="K136" s="163"/>
    </row>
    <row r="137" spans="2:11" ht="15" thickBot="1" x14ac:dyDescent="0.35">
      <c r="B137" s="117">
        <v>51</v>
      </c>
      <c r="C137" s="118"/>
      <c r="D137" s="120">
        <f t="shared" ref="D137" si="192">$Q$18</f>
        <v>15.588640673015377</v>
      </c>
      <c r="E137" s="120"/>
      <c r="F137" s="120">
        <f t="shared" ref="F137" si="193">($L$15/12)*J135</f>
        <v>7.7427801561045557</v>
      </c>
      <c r="G137" s="120"/>
      <c r="H137" s="120">
        <f t="shared" ref="H137" si="194">D137-F137</f>
        <v>7.8458605169108209</v>
      </c>
      <c r="I137" s="120"/>
      <c r="J137" s="160">
        <f t="shared" ref="J137" si="195">J135-H137</f>
        <v>2807.7105598847456</v>
      </c>
      <c r="K137" s="161"/>
    </row>
    <row r="138" spans="2:11" ht="15" thickBot="1" x14ac:dyDescent="0.35">
      <c r="B138" s="41"/>
      <c r="C138" s="35"/>
      <c r="D138" s="121"/>
      <c r="E138" s="121"/>
      <c r="F138" s="121"/>
      <c r="G138" s="121"/>
      <c r="H138" s="121"/>
      <c r="I138" s="121"/>
      <c r="J138" s="162"/>
      <c r="K138" s="163"/>
    </row>
    <row r="139" spans="2:11" ht="15" thickBot="1" x14ac:dyDescent="0.35">
      <c r="B139" s="117">
        <v>52</v>
      </c>
      <c r="C139" s="118"/>
      <c r="D139" s="120">
        <f t="shared" ref="D139" si="196">$Q$18</f>
        <v>15.588640673015377</v>
      </c>
      <c r="E139" s="120"/>
      <c r="F139" s="120">
        <f t="shared" ref="F139" si="197">($L$15/12)*J137</f>
        <v>7.7212040396830517</v>
      </c>
      <c r="G139" s="120"/>
      <c r="H139" s="120">
        <f t="shared" ref="H139" si="198">D139-F139</f>
        <v>7.8674366333323249</v>
      </c>
      <c r="I139" s="120"/>
      <c r="J139" s="160">
        <f t="shared" ref="J139" si="199">J137-H139</f>
        <v>2799.8431232514131</v>
      </c>
      <c r="K139" s="161"/>
    </row>
    <row r="140" spans="2:11" ht="15" thickBot="1" x14ac:dyDescent="0.35">
      <c r="B140" s="41"/>
      <c r="C140" s="35"/>
      <c r="D140" s="121"/>
      <c r="E140" s="121"/>
      <c r="F140" s="121"/>
      <c r="G140" s="121"/>
      <c r="H140" s="121"/>
      <c r="I140" s="121"/>
      <c r="J140" s="162"/>
      <c r="K140" s="163"/>
    </row>
    <row r="141" spans="2:11" ht="15" thickBot="1" x14ac:dyDescent="0.35">
      <c r="B141" s="117">
        <v>53</v>
      </c>
      <c r="C141" s="118"/>
      <c r="D141" s="120">
        <f t="shared" ref="D141" si="200">$Q$18</f>
        <v>15.588640673015377</v>
      </c>
      <c r="E141" s="120"/>
      <c r="F141" s="120">
        <f t="shared" ref="F141" si="201">($L$15/12)*J139</f>
        <v>7.6995685889413865</v>
      </c>
      <c r="G141" s="120"/>
      <c r="H141" s="120">
        <f t="shared" ref="H141" si="202">D141-F141</f>
        <v>7.8890720840739901</v>
      </c>
      <c r="I141" s="120"/>
      <c r="J141" s="160">
        <f t="shared" ref="J141" si="203">J139-H141</f>
        <v>2791.954051167339</v>
      </c>
      <c r="K141" s="161"/>
    </row>
    <row r="142" spans="2:11" ht="15" thickBot="1" x14ac:dyDescent="0.35">
      <c r="B142" s="41"/>
      <c r="C142" s="35"/>
      <c r="D142" s="121"/>
      <c r="E142" s="121"/>
      <c r="F142" s="121"/>
      <c r="G142" s="121"/>
      <c r="H142" s="121"/>
      <c r="I142" s="121"/>
      <c r="J142" s="162"/>
      <c r="K142" s="163"/>
    </row>
    <row r="143" spans="2:11" ht="15" thickBot="1" x14ac:dyDescent="0.35">
      <c r="B143" s="117">
        <v>54</v>
      </c>
      <c r="C143" s="118"/>
      <c r="D143" s="120">
        <f t="shared" ref="D143" si="204">$Q$18</f>
        <v>15.588640673015377</v>
      </c>
      <c r="E143" s="120"/>
      <c r="F143" s="120">
        <f t="shared" ref="F143" si="205">($L$15/12)*J141</f>
        <v>7.6778736407101826</v>
      </c>
      <c r="G143" s="120"/>
      <c r="H143" s="120">
        <f t="shared" ref="H143" si="206">D143-F143</f>
        <v>7.910767032305194</v>
      </c>
      <c r="I143" s="120"/>
      <c r="J143" s="160">
        <f t="shared" ref="J143" si="207">J141-H143</f>
        <v>2784.0432841350339</v>
      </c>
      <c r="K143" s="161"/>
    </row>
    <row r="144" spans="2:11" ht="15" thickBot="1" x14ac:dyDescent="0.35">
      <c r="B144" s="41"/>
      <c r="C144" s="35"/>
      <c r="D144" s="121"/>
      <c r="E144" s="121"/>
      <c r="F144" s="121"/>
      <c r="G144" s="121"/>
      <c r="H144" s="121"/>
      <c r="I144" s="121"/>
      <c r="J144" s="162"/>
      <c r="K144" s="163"/>
    </row>
    <row r="145" spans="2:11" ht="15" thickBot="1" x14ac:dyDescent="0.35">
      <c r="B145" s="117">
        <v>55</v>
      </c>
      <c r="C145" s="118"/>
      <c r="D145" s="120">
        <f t="shared" ref="D145" si="208">$Q$18</f>
        <v>15.588640673015377</v>
      </c>
      <c r="E145" s="120"/>
      <c r="F145" s="120">
        <f t="shared" ref="F145" si="209">($L$15/12)*J143</f>
        <v>7.6561190313713441</v>
      </c>
      <c r="G145" s="120"/>
      <c r="H145" s="120">
        <f t="shared" ref="H145" si="210">D145-F145</f>
        <v>7.9325216416440325</v>
      </c>
      <c r="I145" s="120"/>
      <c r="J145" s="160">
        <f t="shared" ref="J145" si="211">J143-H145</f>
        <v>2776.1107624933898</v>
      </c>
      <c r="K145" s="161"/>
    </row>
    <row r="146" spans="2:11" ht="15" thickBot="1" x14ac:dyDescent="0.35">
      <c r="B146" s="41"/>
      <c r="C146" s="35"/>
      <c r="D146" s="121"/>
      <c r="E146" s="121"/>
      <c r="F146" s="121"/>
      <c r="G146" s="121"/>
      <c r="H146" s="121"/>
      <c r="I146" s="121"/>
      <c r="J146" s="162"/>
      <c r="K146" s="163"/>
    </row>
    <row r="147" spans="2:11" ht="15" thickBot="1" x14ac:dyDescent="0.35">
      <c r="B147" s="117">
        <v>56</v>
      </c>
      <c r="C147" s="118"/>
      <c r="D147" s="120">
        <f t="shared" ref="D147" si="212">$Q$18</f>
        <v>15.588640673015377</v>
      </c>
      <c r="E147" s="120"/>
      <c r="F147" s="120">
        <f t="shared" ref="F147" si="213">($L$15/12)*J145</f>
        <v>7.6343045968568228</v>
      </c>
      <c r="G147" s="120"/>
      <c r="H147" s="120">
        <f t="shared" ref="H147" si="214">D147-F147</f>
        <v>7.9543360761585538</v>
      </c>
      <c r="I147" s="120"/>
      <c r="J147" s="160">
        <f t="shared" ref="J147" si="215">J145-H147</f>
        <v>2768.1564264172312</v>
      </c>
      <c r="K147" s="161"/>
    </row>
    <row r="148" spans="2:11" ht="15" thickBot="1" x14ac:dyDescent="0.35">
      <c r="B148" s="41"/>
      <c r="C148" s="35"/>
      <c r="D148" s="121"/>
      <c r="E148" s="121"/>
      <c r="F148" s="121"/>
      <c r="G148" s="121"/>
      <c r="H148" s="121"/>
      <c r="I148" s="121"/>
      <c r="J148" s="162"/>
      <c r="K148" s="163"/>
    </row>
    <row r="149" spans="2:11" ht="15" thickBot="1" x14ac:dyDescent="0.35">
      <c r="B149" s="117">
        <v>57</v>
      </c>
      <c r="C149" s="118"/>
      <c r="D149" s="120">
        <f t="shared" ref="D149" si="216">$Q$18</f>
        <v>15.588640673015377</v>
      </c>
      <c r="E149" s="120"/>
      <c r="F149" s="120">
        <f t="shared" ref="F149" si="217">($L$15/12)*J147</f>
        <v>7.6124301726473869</v>
      </c>
      <c r="G149" s="120"/>
      <c r="H149" s="120">
        <f t="shared" ref="H149" si="218">D149-F149</f>
        <v>7.9762105003679897</v>
      </c>
      <c r="I149" s="120"/>
      <c r="J149" s="160">
        <f t="shared" ref="J149" si="219">J147-H149</f>
        <v>2760.1802159168633</v>
      </c>
      <c r="K149" s="161"/>
    </row>
    <row r="150" spans="2:11" ht="15" thickBot="1" x14ac:dyDescent="0.35">
      <c r="B150" s="41"/>
      <c r="C150" s="35"/>
      <c r="D150" s="121"/>
      <c r="E150" s="121"/>
      <c r="F150" s="121"/>
      <c r="G150" s="121"/>
      <c r="H150" s="121"/>
      <c r="I150" s="121"/>
      <c r="J150" s="162"/>
      <c r="K150" s="163"/>
    </row>
    <row r="151" spans="2:11" ht="15" thickBot="1" x14ac:dyDescent="0.35">
      <c r="B151" s="117">
        <v>58</v>
      </c>
      <c r="C151" s="118"/>
      <c r="D151" s="120">
        <f t="shared" ref="D151" si="220">$Q$18</f>
        <v>15.588640673015377</v>
      </c>
      <c r="E151" s="120"/>
      <c r="F151" s="120">
        <f t="shared" ref="F151" si="221">($L$15/12)*J149</f>
        <v>7.5904955937713749</v>
      </c>
      <c r="G151" s="120"/>
      <c r="H151" s="120">
        <f t="shared" ref="H151" si="222">D151-F151</f>
        <v>7.9981450792440016</v>
      </c>
      <c r="I151" s="120"/>
      <c r="J151" s="160">
        <f t="shared" ref="J151" si="223">J149-H151</f>
        <v>2752.1820708376194</v>
      </c>
      <c r="K151" s="161"/>
    </row>
    <row r="152" spans="2:11" ht="15" thickBot="1" x14ac:dyDescent="0.35">
      <c r="B152" s="41"/>
      <c r="C152" s="35"/>
      <c r="D152" s="121"/>
      <c r="E152" s="121"/>
      <c r="F152" s="121"/>
      <c r="G152" s="121"/>
      <c r="H152" s="121"/>
      <c r="I152" s="121"/>
      <c r="J152" s="162"/>
      <c r="K152" s="163"/>
    </row>
    <row r="153" spans="2:11" ht="15" thickBot="1" x14ac:dyDescent="0.35">
      <c r="B153" s="117">
        <v>59</v>
      </c>
      <c r="C153" s="118"/>
      <c r="D153" s="120">
        <f t="shared" ref="D153" si="224">$Q$18</f>
        <v>15.588640673015377</v>
      </c>
      <c r="E153" s="120"/>
      <c r="F153" s="120">
        <f t="shared" ref="F153" si="225">($L$15/12)*J151</f>
        <v>7.5685006948034541</v>
      </c>
      <c r="G153" s="120"/>
      <c r="H153" s="120">
        <f t="shared" ref="H153" si="226">D153-F153</f>
        <v>8.0201399782119225</v>
      </c>
      <c r="I153" s="120"/>
      <c r="J153" s="160">
        <f t="shared" ref="J153" si="227">J151-H153</f>
        <v>2744.1619308594077</v>
      </c>
      <c r="K153" s="161"/>
    </row>
    <row r="154" spans="2:11" ht="15" thickBot="1" x14ac:dyDescent="0.35">
      <c r="B154" s="41"/>
      <c r="C154" s="35"/>
      <c r="D154" s="121"/>
      <c r="E154" s="121"/>
      <c r="F154" s="121"/>
      <c r="G154" s="121"/>
      <c r="H154" s="121"/>
      <c r="I154" s="121"/>
      <c r="J154" s="162"/>
      <c r="K154" s="163"/>
    </row>
    <row r="155" spans="2:11" ht="15" thickBot="1" x14ac:dyDescent="0.35">
      <c r="B155" s="117">
        <v>60</v>
      </c>
      <c r="C155" s="118"/>
      <c r="D155" s="120">
        <f t="shared" ref="D155" si="228">$Q$18</f>
        <v>15.588640673015377</v>
      </c>
      <c r="E155" s="120"/>
      <c r="F155" s="120">
        <f t="shared" ref="F155" si="229">($L$15/12)*J153</f>
        <v>7.5464453098633717</v>
      </c>
      <c r="G155" s="120"/>
      <c r="H155" s="120">
        <f t="shared" ref="H155" si="230">D155-F155</f>
        <v>8.042195363152004</v>
      </c>
      <c r="I155" s="120"/>
      <c r="J155" s="160">
        <f t="shared" ref="J155" si="231">J153-H155</f>
        <v>2736.1197354962555</v>
      </c>
      <c r="K155" s="161"/>
    </row>
    <row r="156" spans="2:11" ht="15" thickBot="1" x14ac:dyDescent="0.35">
      <c r="B156" s="41"/>
      <c r="C156" s="35"/>
      <c r="D156" s="121"/>
      <c r="E156" s="121"/>
      <c r="F156" s="121"/>
      <c r="G156" s="121"/>
      <c r="H156" s="121"/>
      <c r="I156" s="121"/>
      <c r="J156" s="162"/>
      <c r="K156" s="163"/>
    </row>
    <row r="157" spans="2:11" ht="15" thickBot="1" x14ac:dyDescent="0.35">
      <c r="B157" s="117">
        <v>61</v>
      </c>
      <c r="C157" s="118"/>
      <c r="D157" s="120">
        <f t="shared" ref="D157" si="232">$Q$18</f>
        <v>15.588640673015377</v>
      </c>
      <c r="E157" s="120"/>
      <c r="F157" s="120">
        <f t="shared" ref="F157" si="233">($L$15/12)*J155</f>
        <v>7.5243292726147031</v>
      </c>
      <c r="G157" s="120"/>
      <c r="H157" s="120">
        <f t="shared" ref="H157" si="234">D157-F157</f>
        <v>8.0643114004006726</v>
      </c>
      <c r="I157" s="120"/>
      <c r="J157" s="160">
        <f t="shared" ref="J157" si="235">J155-H157</f>
        <v>2728.055424095855</v>
      </c>
      <c r="K157" s="161"/>
    </row>
    <row r="158" spans="2:11" ht="15" thickBot="1" x14ac:dyDescent="0.35">
      <c r="B158" s="41"/>
      <c r="C158" s="35"/>
      <c r="D158" s="121"/>
      <c r="E158" s="121"/>
      <c r="F158" s="121"/>
      <c r="G158" s="121"/>
      <c r="H158" s="121"/>
      <c r="I158" s="121"/>
      <c r="J158" s="162"/>
      <c r="K158" s="163"/>
    </row>
    <row r="159" spans="2:11" ht="15" thickBot="1" x14ac:dyDescent="0.35">
      <c r="B159" s="117">
        <v>62</v>
      </c>
      <c r="C159" s="118"/>
      <c r="D159" s="120">
        <f t="shared" ref="D159" si="236">$Q$18</f>
        <v>15.588640673015377</v>
      </c>
      <c r="E159" s="120"/>
      <c r="F159" s="120">
        <f t="shared" ref="F159" si="237">($L$15/12)*J157</f>
        <v>7.502152416263602</v>
      </c>
      <c r="G159" s="120"/>
      <c r="H159" s="120">
        <f t="shared" ref="H159" si="238">D159-F159</f>
        <v>8.0864882567517746</v>
      </c>
      <c r="I159" s="120"/>
      <c r="J159" s="160">
        <f t="shared" ref="J159" si="239">J157-H159</f>
        <v>2719.9689358391033</v>
      </c>
      <c r="K159" s="161"/>
    </row>
    <row r="160" spans="2:11" ht="15" thickBot="1" x14ac:dyDescent="0.35">
      <c r="B160" s="41"/>
      <c r="C160" s="35"/>
      <c r="D160" s="121"/>
      <c r="E160" s="121"/>
      <c r="F160" s="121"/>
      <c r="G160" s="121"/>
      <c r="H160" s="121"/>
      <c r="I160" s="121"/>
      <c r="J160" s="162"/>
      <c r="K160" s="163"/>
    </row>
    <row r="161" spans="2:11" ht="15" thickBot="1" x14ac:dyDescent="0.35">
      <c r="B161" s="117">
        <v>63</v>
      </c>
      <c r="C161" s="118"/>
      <c r="D161" s="120">
        <f t="shared" ref="D161" si="240">$Q$18</f>
        <v>15.588640673015377</v>
      </c>
      <c r="E161" s="120"/>
      <c r="F161" s="120">
        <f t="shared" ref="F161" si="241">($L$15/12)*J159</f>
        <v>7.4799145735575348</v>
      </c>
      <c r="G161" s="120"/>
      <c r="H161" s="120">
        <f t="shared" ref="H161" si="242">D161-F161</f>
        <v>8.1087260994578418</v>
      </c>
      <c r="I161" s="120"/>
      <c r="J161" s="160">
        <f t="shared" ref="J161" si="243">J159-H161</f>
        <v>2711.8602097396456</v>
      </c>
      <c r="K161" s="161"/>
    </row>
    <row r="162" spans="2:11" ht="15" thickBot="1" x14ac:dyDescent="0.35">
      <c r="B162" s="41"/>
      <c r="C162" s="35"/>
      <c r="D162" s="121"/>
      <c r="E162" s="121"/>
      <c r="F162" s="121"/>
      <c r="G162" s="121"/>
      <c r="H162" s="121"/>
      <c r="I162" s="121"/>
      <c r="J162" s="162"/>
      <c r="K162" s="163"/>
    </row>
    <row r="163" spans="2:11" ht="15" thickBot="1" x14ac:dyDescent="0.35">
      <c r="B163" s="117">
        <v>64</v>
      </c>
      <c r="C163" s="118"/>
      <c r="D163" s="120">
        <f t="shared" ref="D163" si="244">$Q$18</f>
        <v>15.588640673015377</v>
      </c>
      <c r="E163" s="120"/>
      <c r="F163" s="120">
        <f t="shared" ref="F163" si="245">($L$15/12)*J161</f>
        <v>7.4576155767840264</v>
      </c>
      <c r="G163" s="120"/>
      <c r="H163" s="120">
        <f t="shared" ref="H163" si="246">D163-F163</f>
        <v>8.1310250962313511</v>
      </c>
      <c r="I163" s="120"/>
      <c r="J163" s="160">
        <f t="shared" ref="J163" si="247">J161-H163</f>
        <v>2703.7291846434141</v>
      </c>
      <c r="K163" s="161"/>
    </row>
    <row r="164" spans="2:11" ht="15" thickBot="1" x14ac:dyDescent="0.35">
      <c r="B164" s="41"/>
      <c r="C164" s="35"/>
      <c r="D164" s="121"/>
      <c r="E164" s="121"/>
      <c r="F164" s="121"/>
      <c r="G164" s="121"/>
      <c r="H164" s="121"/>
      <c r="I164" s="121"/>
      <c r="J164" s="162"/>
      <c r="K164" s="163"/>
    </row>
    <row r="165" spans="2:11" ht="15" thickBot="1" x14ac:dyDescent="0.35">
      <c r="B165" s="117">
        <v>65</v>
      </c>
      <c r="C165" s="118"/>
      <c r="D165" s="120">
        <f t="shared" ref="D165" si="248">$Q$18</f>
        <v>15.588640673015377</v>
      </c>
      <c r="E165" s="120"/>
      <c r="F165" s="120">
        <f t="shared" ref="F165" si="249">($L$15/12)*J163</f>
        <v>7.4352552577693896</v>
      </c>
      <c r="G165" s="120"/>
      <c r="H165" s="120">
        <f t="shared" ref="H165" si="250">D165-F165</f>
        <v>8.153385415245987</v>
      </c>
      <c r="I165" s="120"/>
      <c r="J165" s="160">
        <f t="shared" ref="J165" si="251">J163-H165</f>
        <v>2695.5757992281683</v>
      </c>
      <c r="K165" s="161"/>
    </row>
    <row r="166" spans="2:11" ht="15" thickBot="1" x14ac:dyDescent="0.35">
      <c r="B166" s="41"/>
      <c r="C166" s="35"/>
      <c r="D166" s="121"/>
      <c r="E166" s="121"/>
      <c r="F166" s="121"/>
      <c r="G166" s="121"/>
      <c r="H166" s="121"/>
      <c r="I166" s="121"/>
      <c r="J166" s="162"/>
      <c r="K166" s="163"/>
    </row>
    <row r="167" spans="2:11" ht="15" thickBot="1" x14ac:dyDescent="0.35">
      <c r="B167" s="117">
        <v>66</v>
      </c>
      <c r="C167" s="118"/>
      <c r="D167" s="120">
        <f t="shared" ref="D167" si="252">$Q$18</f>
        <v>15.588640673015377</v>
      </c>
      <c r="E167" s="120"/>
      <c r="F167" s="120">
        <f t="shared" ref="F167" si="253">($L$15/12)*J165</f>
        <v>7.412833447877464</v>
      </c>
      <c r="G167" s="120"/>
      <c r="H167" s="120">
        <f t="shared" ref="H167" si="254">D167-F167</f>
        <v>8.1758072251379126</v>
      </c>
      <c r="I167" s="120"/>
      <c r="J167" s="160">
        <f t="shared" ref="J167" si="255">J165-H167</f>
        <v>2687.3999920030305</v>
      </c>
      <c r="K167" s="161"/>
    </row>
    <row r="168" spans="2:11" ht="15" thickBot="1" x14ac:dyDescent="0.35">
      <c r="B168" s="41"/>
      <c r="C168" s="35"/>
      <c r="D168" s="121"/>
      <c r="E168" s="121"/>
      <c r="F168" s="121"/>
      <c r="G168" s="121"/>
      <c r="H168" s="121"/>
      <c r="I168" s="121"/>
      <c r="J168" s="162"/>
      <c r="K168" s="163"/>
    </row>
    <row r="169" spans="2:11" ht="15" thickBot="1" x14ac:dyDescent="0.35">
      <c r="B169" s="117">
        <v>67</v>
      </c>
      <c r="C169" s="118"/>
      <c r="D169" s="120">
        <f t="shared" ref="D169" si="256">$Q$18</f>
        <v>15.588640673015377</v>
      </c>
      <c r="E169" s="120"/>
      <c r="F169" s="120">
        <f t="shared" ref="F169" si="257">($L$15/12)*J167</f>
        <v>7.3903499780083344</v>
      </c>
      <c r="G169" s="120"/>
      <c r="H169" s="120">
        <f t="shared" ref="H169" si="258">D169-F169</f>
        <v>8.1982906950070422</v>
      </c>
      <c r="I169" s="120"/>
      <c r="J169" s="160">
        <f t="shared" ref="J169" si="259">J167-H169</f>
        <v>2679.2017013080235</v>
      </c>
      <c r="K169" s="161"/>
    </row>
    <row r="170" spans="2:11" ht="15" thickBot="1" x14ac:dyDescent="0.35">
      <c r="B170" s="41"/>
      <c r="C170" s="35"/>
      <c r="D170" s="121"/>
      <c r="E170" s="121"/>
      <c r="F170" s="121"/>
      <c r="G170" s="121"/>
      <c r="H170" s="121"/>
      <c r="I170" s="121"/>
      <c r="J170" s="162"/>
      <c r="K170" s="163"/>
    </row>
    <row r="171" spans="2:11" ht="15" thickBot="1" x14ac:dyDescent="0.35">
      <c r="B171" s="117">
        <v>68</v>
      </c>
      <c r="C171" s="118"/>
      <c r="D171" s="120">
        <f t="shared" ref="D171" si="260">$Q$18</f>
        <v>15.588640673015377</v>
      </c>
      <c r="E171" s="120"/>
      <c r="F171" s="120">
        <f t="shared" ref="F171" si="261">($L$15/12)*J169</f>
        <v>7.3678046785970652</v>
      </c>
      <c r="G171" s="120"/>
      <c r="H171" s="120">
        <f t="shared" ref="H171" si="262">D171-F171</f>
        <v>8.2208359944183123</v>
      </c>
      <c r="I171" s="120"/>
      <c r="J171" s="160">
        <f t="shared" ref="J171" si="263">J169-H171</f>
        <v>2670.9808653136051</v>
      </c>
      <c r="K171" s="161"/>
    </row>
    <row r="172" spans="2:11" ht="15" thickBot="1" x14ac:dyDescent="0.35">
      <c r="B172" s="41"/>
      <c r="C172" s="35"/>
      <c r="D172" s="121"/>
      <c r="E172" s="121"/>
      <c r="F172" s="121"/>
      <c r="G172" s="121"/>
      <c r="H172" s="121"/>
      <c r="I172" s="121"/>
      <c r="J172" s="162"/>
      <c r="K172" s="163"/>
    </row>
    <row r="173" spans="2:11" ht="15" thickBot="1" x14ac:dyDescent="0.35">
      <c r="B173" s="117">
        <v>69</v>
      </c>
      <c r="C173" s="118"/>
      <c r="D173" s="120">
        <f t="shared" ref="D173" si="264">$Q$18</f>
        <v>15.588640673015377</v>
      </c>
      <c r="E173" s="120"/>
      <c r="F173" s="120">
        <f t="shared" ref="F173" si="265">($L$15/12)*J171</f>
        <v>7.345197379612415</v>
      </c>
      <c r="G173" s="120"/>
      <c r="H173" s="120">
        <f t="shared" ref="H173" si="266">D173-F173</f>
        <v>8.2434432934029616</v>
      </c>
      <c r="I173" s="120"/>
      <c r="J173" s="160">
        <f t="shared" ref="J173" si="267">J171-H173</f>
        <v>2662.7374220202023</v>
      </c>
      <c r="K173" s="161"/>
    </row>
    <row r="174" spans="2:11" ht="15" thickBot="1" x14ac:dyDescent="0.35">
      <c r="B174" s="41"/>
      <c r="C174" s="35"/>
      <c r="D174" s="121"/>
      <c r="E174" s="121"/>
      <c r="F174" s="121"/>
      <c r="G174" s="121"/>
      <c r="H174" s="121"/>
      <c r="I174" s="121"/>
      <c r="J174" s="162"/>
      <c r="K174" s="163"/>
    </row>
    <row r="175" spans="2:11" ht="15" thickBot="1" x14ac:dyDescent="0.35">
      <c r="B175" s="117">
        <v>70</v>
      </c>
      <c r="C175" s="118"/>
      <c r="D175" s="120">
        <f t="shared" ref="D175" si="268">$Q$18</f>
        <v>15.588640673015377</v>
      </c>
      <c r="E175" s="120"/>
      <c r="F175" s="120">
        <f t="shared" ref="F175" si="269">($L$15/12)*J173</f>
        <v>7.3225279105555572</v>
      </c>
      <c r="G175" s="120"/>
      <c r="H175" s="120">
        <f t="shared" ref="H175" si="270">D175-F175</f>
        <v>8.2661127624598194</v>
      </c>
      <c r="I175" s="120"/>
      <c r="J175" s="160">
        <f t="shared" ref="J175" si="271">J173-H175</f>
        <v>2654.4713092577426</v>
      </c>
      <c r="K175" s="161"/>
    </row>
    <row r="176" spans="2:11" ht="15" thickBot="1" x14ac:dyDescent="0.35">
      <c r="B176" s="41"/>
      <c r="C176" s="35"/>
      <c r="D176" s="121"/>
      <c r="E176" s="121"/>
      <c r="F176" s="121"/>
      <c r="G176" s="121"/>
      <c r="H176" s="121"/>
      <c r="I176" s="121"/>
      <c r="J176" s="162"/>
      <c r="K176" s="163"/>
    </row>
    <row r="177" spans="2:11" ht="15" thickBot="1" x14ac:dyDescent="0.35">
      <c r="B177" s="117">
        <v>71</v>
      </c>
      <c r="C177" s="118"/>
      <c r="D177" s="120">
        <f t="shared" ref="D177" si="272">$Q$18</f>
        <v>15.588640673015377</v>
      </c>
      <c r="E177" s="120"/>
      <c r="F177" s="120">
        <f t="shared" ref="F177" si="273">($L$15/12)*J175</f>
        <v>7.299796100458793</v>
      </c>
      <c r="G177" s="120"/>
      <c r="H177" s="120">
        <f t="shared" ref="H177" si="274">D177-F177</f>
        <v>8.2888445725565845</v>
      </c>
      <c r="I177" s="120"/>
      <c r="J177" s="160">
        <f t="shared" ref="J177" si="275">J175-H177</f>
        <v>2646.182464685186</v>
      </c>
      <c r="K177" s="161"/>
    </row>
    <row r="178" spans="2:11" ht="15" thickBot="1" x14ac:dyDescent="0.35">
      <c r="B178" s="41"/>
      <c r="C178" s="35"/>
      <c r="D178" s="121"/>
      <c r="E178" s="121"/>
      <c r="F178" s="121"/>
      <c r="G178" s="121"/>
      <c r="H178" s="121"/>
      <c r="I178" s="121"/>
      <c r="J178" s="162"/>
      <c r="K178" s="163"/>
    </row>
    <row r="179" spans="2:11" ht="15" thickBot="1" x14ac:dyDescent="0.35">
      <c r="B179" s="117">
        <v>72</v>
      </c>
      <c r="C179" s="118"/>
      <c r="D179" s="120">
        <f t="shared" ref="D179" si="276">$Q$18</f>
        <v>15.588640673015377</v>
      </c>
      <c r="E179" s="120"/>
      <c r="F179" s="120">
        <f t="shared" ref="F179" si="277">($L$15/12)*J177</f>
        <v>7.2770017778842622</v>
      </c>
      <c r="G179" s="120"/>
      <c r="H179" s="120">
        <f t="shared" ref="H179" si="278">D179-F179</f>
        <v>8.3116388951311144</v>
      </c>
      <c r="I179" s="120"/>
      <c r="J179" s="160">
        <f t="shared" ref="J179" si="279">J177-H179</f>
        <v>2637.8708257900548</v>
      </c>
      <c r="K179" s="161"/>
    </row>
    <row r="180" spans="2:11" ht="15" thickBot="1" x14ac:dyDescent="0.35">
      <c r="B180" s="41"/>
      <c r="C180" s="35"/>
      <c r="D180" s="121"/>
      <c r="E180" s="121"/>
      <c r="F180" s="121"/>
      <c r="G180" s="121"/>
      <c r="H180" s="121"/>
      <c r="I180" s="121"/>
      <c r="J180" s="162"/>
      <c r="K180" s="163"/>
    </row>
    <row r="181" spans="2:11" ht="15" thickBot="1" x14ac:dyDescent="0.35">
      <c r="B181" s="117">
        <v>73</v>
      </c>
      <c r="C181" s="118"/>
      <c r="D181" s="120">
        <f t="shared" ref="D181" si="280">$Q$18</f>
        <v>15.588640673015377</v>
      </c>
      <c r="E181" s="120"/>
      <c r="F181" s="120">
        <f t="shared" ref="F181" si="281">($L$15/12)*J179</f>
        <v>7.2541447709226512</v>
      </c>
      <c r="G181" s="120"/>
      <c r="H181" s="120">
        <f t="shared" ref="H181" si="282">D181-F181</f>
        <v>8.3344959020927263</v>
      </c>
      <c r="I181" s="120"/>
      <c r="J181" s="160">
        <f t="shared" ref="J181" si="283">J179-H181</f>
        <v>2629.536329887962</v>
      </c>
      <c r="K181" s="161"/>
    </row>
    <row r="182" spans="2:11" ht="15" thickBot="1" x14ac:dyDescent="0.35">
      <c r="B182" s="41"/>
      <c r="C182" s="35"/>
      <c r="D182" s="121"/>
      <c r="E182" s="121"/>
      <c r="F182" s="121"/>
      <c r="G182" s="121"/>
      <c r="H182" s="121"/>
      <c r="I182" s="121"/>
      <c r="J182" s="162"/>
      <c r="K182" s="163"/>
    </row>
    <row r="183" spans="2:11" ht="15" thickBot="1" x14ac:dyDescent="0.35">
      <c r="B183" s="117">
        <v>74</v>
      </c>
      <c r="C183" s="118"/>
      <c r="D183" s="120">
        <f t="shared" ref="D183" si="284">$Q$18</f>
        <v>15.588640673015377</v>
      </c>
      <c r="E183" s="120"/>
      <c r="F183" s="120">
        <f t="shared" ref="F183" si="285">($L$15/12)*J181</f>
        <v>7.2312249071918959</v>
      </c>
      <c r="G183" s="120"/>
      <c r="H183" s="120">
        <f t="shared" ref="H183" si="286">D183-F183</f>
        <v>8.3574157658234807</v>
      </c>
      <c r="I183" s="120"/>
      <c r="J183" s="160">
        <f t="shared" ref="J183" si="287">J181-H183</f>
        <v>2621.1789141221384</v>
      </c>
      <c r="K183" s="161"/>
    </row>
    <row r="184" spans="2:11" ht="15" thickBot="1" x14ac:dyDescent="0.35">
      <c r="B184" s="41"/>
      <c r="C184" s="35"/>
      <c r="D184" s="121"/>
      <c r="E184" s="121"/>
      <c r="F184" s="121"/>
      <c r="G184" s="121"/>
      <c r="H184" s="121"/>
      <c r="I184" s="121"/>
      <c r="J184" s="162"/>
      <c r="K184" s="163"/>
    </row>
    <row r="185" spans="2:11" ht="15" thickBot="1" x14ac:dyDescent="0.35">
      <c r="B185" s="117">
        <v>75</v>
      </c>
      <c r="C185" s="118"/>
      <c r="D185" s="120">
        <f t="shared" ref="D185" si="288">$Q$18</f>
        <v>15.588640673015377</v>
      </c>
      <c r="E185" s="120"/>
      <c r="F185" s="120">
        <f t="shared" ref="F185" si="289">($L$15/12)*J183</f>
        <v>7.2082420138358811</v>
      </c>
      <c r="G185" s="120"/>
      <c r="H185" s="120">
        <f t="shared" ref="H185" si="290">D185-F185</f>
        <v>8.3803986591794946</v>
      </c>
      <c r="I185" s="120"/>
      <c r="J185" s="120">
        <f t="shared" ref="J185" si="291">J183-H185</f>
        <v>2612.7985154629587</v>
      </c>
      <c r="K185" s="122"/>
    </row>
    <row r="186" spans="2:11" ht="15" thickBot="1" x14ac:dyDescent="0.35">
      <c r="B186" s="41"/>
      <c r="C186" s="35"/>
      <c r="D186" s="121"/>
      <c r="E186" s="121"/>
      <c r="F186" s="121"/>
      <c r="G186" s="121"/>
      <c r="H186" s="121"/>
      <c r="I186" s="121"/>
      <c r="J186" s="121"/>
      <c r="K186" s="123"/>
    </row>
    <row r="187" spans="2:11" ht="15" thickBot="1" x14ac:dyDescent="0.35">
      <c r="B187" s="117">
        <v>76</v>
      </c>
      <c r="C187" s="118"/>
      <c r="D187" s="120">
        <f t="shared" ref="D187" si="292">$Q$18</f>
        <v>15.588640673015377</v>
      </c>
      <c r="E187" s="120"/>
      <c r="F187" s="120">
        <f t="shared" ref="F187" si="293">($L$15/12)*J185</f>
        <v>7.1851959175231368</v>
      </c>
      <c r="G187" s="120"/>
      <c r="H187" s="120">
        <f t="shared" ref="H187" si="294">D187-F187</f>
        <v>8.4034447554922398</v>
      </c>
      <c r="I187" s="120"/>
      <c r="J187" s="120">
        <f t="shared" ref="J187" si="295">J185-H187</f>
        <v>2604.3950707074664</v>
      </c>
      <c r="K187" s="122"/>
    </row>
    <row r="188" spans="2:11" ht="15" thickBot="1" x14ac:dyDescent="0.35">
      <c r="B188" s="41"/>
      <c r="C188" s="35"/>
      <c r="D188" s="121"/>
      <c r="E188" s="121"/>
      <c r="F188" s="121"/>
      <c r="G188" s="121"/>
      <c r="H188" s="121"/>
      <c r="I188" s="121"/>
      <c r="J188" s="121"/>
      <c r="K188" s="123"/>
    </row>
    <row r="189" spans="2:11" ht="15" thickBot="1" x14ac:dyDescent="0.35">
      <c r="B189" s="117">
        <v>77</v>
      </c>
      <c r="C189" s="118"/>
      <c r="D189" s="120">
        <f t="shared" ref="D189" si="296">$Q$18</f>
        <v>15.588640673015377</v>
      </c>
      <c r="E189" s="120"/>
      <c r="F189" s="120">
        <f t="shared" ref="F189" si="297">($L$15/12)*J187</f>
        <v>7.1620864444455332</v>
      </c>
      <c r="G189" s="120"/>
      <c r="H189" s="120">
        <f t="shared" ref="H189" si="298">D189-F189</f>
        <v>8.4265542285698434</v>
      </c>
      <c r="I189" s="120"/>
      <c r="J189" s="120">
        <f t="shared" ref="J189" si="299">J187-H189</f>
        <v>2595.9685164788966</v>
      </c>
      <c r="K189" s="122"/>
    </row>
    <row r="190" spans="2:11" ht="15" thickBot="1" x14ac:dyDescent="0.35">
      <c r="B190" s="41"/>
      <c r="C190" s="35"/>
      <c r="D190" s="121"/>
      <c r="E190" s="121"/>
      <c r="F190" s="121"/>
      <c r="G190" s="121"/>
      <c r="H190" s="121"/>
      <c r="I190" s="121"/>
      <c r="J190" s="121"/>
      <c r="K190" s="123"/>
    </row>
    <row r="191" spans="2:11" ht="15" thickBot="1" x14ac:dyDescent="0.35">
      <c r="B191" s="117">
        <v>78</v>
      </c>
      <c r="C191" s="118"/>
      <c r="D191" s="120">
        <f t="shared" ref="D191" si="300">$Q$18</f>
        <v>15.588640673015377</v>
      </c>
      <c r="E191" s="120"/>
      <c r="F191" s="120">
        <f t="shared" ref="F191" si="301">($L$15/12)*J189</f>
        <v>7.1389134203169666</v>
      </c>
      <c r="G191" s="120"/>
      <c r="H191" s="120">
        <f t="shared" ref="H191" si="302">D191-F191</f>
        <v>8.4497272526984091</v>
      </c>
      <c r="I191" s="120"/>
      <c r="J191" s="120">
        <f t="shared" ref="J191" si="303">J189-H191</f>
        <v>2587.5187892261984</v>
      </c>
      <c r="K191" s="122"/>
    </row>
    <row r="192" spans="2:11" ht="15" thickBot="1" x14ac:dyDescent="0.35">
      <c r="B192" s="41"/>
      <c r="C192" s="35"/>
      <c r="D192" s="121"/>
      <c r="E192" s="121"/>
      <c r="F192" s="121"/>
      <c r="G192" s="121"/>
      <c r="H192" s="121"/>
      <c r="I192" s="121"/>
      <c r="J192" s="121"/>
      <c r="K192" s="123"/>
    </row>
    <row r="193" spans="2:11" ht="15" thickBot="1" x14ac:dyDescent="0.35">
      <c r="B193" s="117">
        <v>79</v>
      </c>
      <c r="C193" s="118"/>
      <c r="D193" s="120">
        <f t="shared" ref="D193" si="304">$Q$18</f>
        <v>15.588640673015377</v>
      </c>
      <c r="E193" s="120"/>
      <c r="F193" s="120">
        <f t="shared" ref="F193" si="305">($L$15/12)*J191</f>
        <v>7.1156766703720464</v>
      </c>
      <c r="G193" s="120"/>
      <c r="H193" s="120">
        <f t="shared" ref="H193" si="306">D193-F193</f>
        <v>8.4729640026433302</v>
      </c>
      <c r="I193" s="120"/>
      <c r="J193" s="120">
        <f t="shared" ref="J193" si="307">J191-H193</f>
        <v>2579.0458252235549</v>
      </c>
      <c r="K193" s="122"/>
    </row>
    <row r="194" spans="2:11" ht="15" thickBot="1" x14ac:dyDescent="0.35">
      <c r="B194" s="41"/>
      <c r="C194" s="35"/>
      <c r="D194" s="121"/>
      <c r="E194" s="121"/>
      <c r="F194" s="121"/>
      <c r="G194" s="121"/>
      <c r="H194" s="121"/>
      <c r="I194" s="121"/>
      <c r="J194" s="121"/>
      <c r="K194" s="123"/>
    </row>
    <row r="195" spans="2:11" ht="15" thickBot="1" x14ac:dyDescent="0.35">
      <c r="B195" s="117">
        <v>80</v>
      </c>
      <c r="C195" s="118"/>
      <c r="D195" s="120">
        <f t="shared" ref="D195" si="308">$Q$18</f>
        <v>15.588640673015377</v>
      </c>
      <c r="E195" s="120"/>
      <c r="F195" s="120">
        <f t="shared" ref="F195" si="309">($L$15/12)*J193</f>
        <v>7.0923760193647762</v>
      </c>
      <c r="G195" s="120"/>
      <c r="H195" s="120">
        <f t="shared" ref="H195" si="310">D195-F195</f>
        <v>8.4962646536506004</v>
      </c>
      <c r="I195" s="120"/>
      <c r="J195" s="120">
        <f t="shared" ref="J195" si="311">J193-H195</f>
        <v>2570.5495605699043</v>
      </c>
      <c r="K195" s="122"/>
    </row>
    <row r="196" spans="2:11" ht="15" thickBot="1" x14ac:dyDescent="0.35">
      <c r="B196" s="41"/>
      <c r="C196" s="35"/>
      <c r="D196" s="121"/>
      <c r="E196" s="121"/>
      <c r="F196" s="121"/>
      <c r="G196" s="121"/>
      <c r="H196" s="121"/>
      <c r="I196" s="121"/>
      <c r="J196" s="121"/>
      <c r="K196" s="123"/>
    </row>
    <row r="197" spans="2:11" ht="15" thickBot="1" x14ac:dyDescent="0.35">
      <c r="B197" s="117">
        <v>81</v>
      </c>
      <c r="C197" s="118"/>
      <c r="D197" s="120">
        <f t="shared" ref="D197" si="312">$Q$18</f>
        <v>15.588640673015377</v>
      </c>
      <c r="E197" s="120"/>
      <c r="F197" s="120">
        <f t="shared" ref="F197" si="313">($L$15/12)*J195</f>
        <v>7.0690112915672376</v>
      </c>
      <c r="G197" s="120"/>
      <c r="H197" s="120">
        <f t="shared" ref="H197" si="314">D197-F197</f>
        <v>8.519629381448139</v>
      </c>
      <c r="I197" s="120"/>
      <c r="J197" s="120">
        <f t="shared" ref="J197" si="315">J195-H197</f>
        <v>2562.029931188456</v>
      </c>
      <c r="K197" s="122"/>
    </row>
    <row r="198" spans="2:11" ht="15" thickBot="1" x14ac:dyDescent="0.35">
      <c r="B198" s="41"/>
      <c r="C198" s="35"/>
      <c r="D198" s="121"/>
      <c r="E198" s="121"/>
      <c r="F198" s="121"/>
      <c r="G198" s="121"/>
      <c r="H198" s="121"/>
      <c r="I198" s="121"/>
      <c r="J198" s="121"/>
      <c r="K198" s="123"/>
    </row>
    <row r="199" spans="2:11" ht="15" thickBot="1" x14ac:dyDescent="0.35">
      <c r="B199" s="117">
        <v>82</v>
      </c>
      <c r="C199" s="118"/>
      <c r="D199" s="120">
        <f t="shared" ref="D199" si="316">$Q$18</f>
        <v>15.588640673015377</v>
      </c>
      <c r="E199" s="120"/>
      <c r="F199" s="120">
        <f t="shared" ref="F199" si="317">($L$15/12)*J197</f>
        <v>7.0455823107682543</v>
      </c>
      <c r="G199" s="120"/>
      <c r="H199" s="120">
        <f t="shared" ref="H199" si="318">D199-F199</f>
        <v>8.5430583622471232</v>
      </c>
      <c r="I199" s="120"/>
      <c r="J199" s="120">
        <f t="shared" ref="J199" si="319">J197-H199</f>
        <v>2553.486872826209</v>
      </c>
      <c r="K199" s="122"/>
    </row>
    <row r="200" spans="2:11" ht="15" thickBot="1" x14ac:dyDescent="0.35">
      <c r="B200" s="41"/>
      <c r="C200" s="35"/>
      <c r="D200" s="121"/>
      <c r="E200" s="121"/>
      <c r="F200" s="121"/>
      <c r="G200" s="121"/>
      <c r="H200" s="121"/>
      <c r="I200" s="121"/>
      <c r="J200" s="121"/>
      <c r="K200" s="123"/>
    </row>
    <row r="201" spans="2:11" ht="15" thickBot="1" x14ac:dyDescent="0.35">
      <c r="B201" s="117">
        <v>83</v>
      </c>
      <c r="C201" s="118"/>
      <c r="D201" s="120">
        <f t="shared" ref="D201" si="320">$Q$18</f>
        <v>15.588640673015377</v>
      </c>
      <c r="E201" s="120"/>
      <c r="F201" s="120">
        <f t="shared" ref="F201" si="321">($L$15/12)*J199</f>
        <v>7.0220889002720757</v>
      </c>
      <c r="G201" s="120"/>
      <c r="H201" s="120">
        <f t="shared" ref="H201" si="322">D201-F201</f>
        <v>8.5665517727433009</v>
      </c>
      <c r="I201" s="120"/>
      <c r="J201" s="120">
        <f t="shared" ref="J201" si="323">J199-H201</f>
        <v>2544.9203210534656</v>
      </c>
      <c r="K201" s="122"/>
    </row>
    <row r="202" spans="2:11" ht="15" thickBot="1" x14ac:dyDescent="0.35">
      <c r="B202" s="41"/>
      <c r="C202" s="35"/>
      <c r="D202" s="121"/>
      <c r="E202" s="121"/>
      <c r="F202" s="121"/>
      <c r="G202" s="121"/>
      <c r="H202" s="121"/>
      <c r="I202" s="121"/>
      <c r="J202" s="121"/>
      <c r="K202" s="123"/>
    </row>
    <row r="203" spans="2:11" ht="15" thickBot="1" x14ac:dyDescent="0.35">
      <c r="B203" s="117">
        <v>84</v>
      </c>
      <c r="C203" s="118"/>
      <c r="D203" s="120">
        <f t="shared" ref="D203" si="324">$Q$18</f>
        <v>15.588640673015377</v>
      </c>
      <c r="E203" s="120"/>
      <c r="F203" s="120">
        <f t="shared" ref="F203" si="325">($L$15/12)*J201</f>
        <v>6.9985308828970307</v>
      </c>
      <c r="G203" s="120"/>
      <c r="H203" s="120">
        <f t="shared" ref="H203" si="326">D203-F203</f>
        <v>8.5901097901183459</v>
      </c>
      <c r="I203" s="120"/>
      <c r="J203" s="120">
        <f t="shared" ref="J203" si="327">J201-H203</f>
        <v>2536.3302112633473</v>
      </c>
      <c r="K203" s="122"/>
    </row>
    <row r="204" spans="2:11" ht="15" thickBot="1" x14ac:dyDescent="0.35">
      <c r="B204" s="41"/>
      <c r="C204" s="35"/>
      <c r="D204" s="121"/>
      <c r="E204" s="121"/>
      <c r="F204" s="121"/>
      <c r="G204" s="121"/>
      <c r="H204" s="121"/>
      <c r="I204" s="121"/>
      <c r="J204" s="121"/>
      <c r="K204" s="123"/>
    </row>
    <row r="205" spans="2:11" ht="15" thickBot="1" x14ac:dyDescent="0.35">
      <c r="B205" s="117">
        <v>85</v>
      </c>
      <c r="C205" s="118"/>
      <c r="D205" s="120">
        <f t="shared" ref="D205" si="328">$Q$18</f>
        <v>15.588640673015377</v>
      </c>
      <c r="E205" s="120"/>
      <c r="F205" s="120">
        <f t="shared" ref="F205" si="329">($L$15/12)*J203</f>
        <v>6.9749080809742061</v>
      </c>
      <c r="G205" s="120"/>
      <c r="H205" s="120">
        <f t="shared" ref="H205" si="330">D205-F205</f>
        <v>8.6137325920411705</v>
      </c>
      <c r="I205" s="120"/>
      <c r="J205" s="120">
        <f t="shared" ref="J205" si="331">J203-H205</f>
        <v>2527.716478671306</v>
      </c>
      <c r="K205" s="122"/>
    </row>
    <row r="206" spans="2:11" ht="15" thickBot="1" x14ac:dyDescent="0.35">
      <c r="B206" s="41"/>
      <c r="C206" s="35"/>
      <c r="D206" s="121"/>
      <c r="E206" s="121"/>
      <c r="F206" s="121"/>
      <c r="G206" s="121"/>
      <c r="H206" s="121"/>
      <c r="I206" s="121"/>
      <c r="J206" s="121"/>
      <c r="K206" s="123"/>
    </row>
    <row r="207" spans="2:11" ht="15" thickBot="1" x14ac:dyDescent="0.35">
      <c r="B207" s="117">
        <v>86</v>
      </c>
      <c r="C207" s="118"/>
      <c r="D207" s="120">
        <f t="shared" ref="D207" si="332">$Q$18</f>
        <v>15.588640673015377</v>
      </c>
      <c r="E207" s="120"/>
      <c r="F207" s="120">
        <f t="shared" ref="F207" si="333">($L$15/12)*J205</f>
        <v>6.9512203163460926</v>
      </c>
      <c r="G207" s="120"/>
      <c r="H207" s="120">
        <f t="shared" ref="H207" si="334">D207-F207</f>
        <v>8.6374203566692849</v>
      </c>
      <c r="I207" s="120"/>
      <c r="J207" s="120">
        <f t="shared" ref="J207" si="335">J205-H207</f>
        <v>2519.0790583146368</v>
      </c>
      <c r="K207" s="122"/>
    </row>
    <row r="208" spans="2:11" ht="15" thickBot="1" x14ac:dyDescent="0.35">
      <c r="B208" s="41"/>
      <c r="C208" s="35"/>
      <c r="D208" s="121"/>
      <c r="E208" s="121"/>
      <c r="F208" s="121"/>
      <c r="G208" s="121"/>
      <c r="H208" s="121"/>
      <c r="I208" s="121"/>
      <c r="J208" s="121"/>
      <c r="K208" s="123"/>
    </row>
    <row r="209" spans="2:11" ht="15" thickBot="1" x14ac:dyDescent="0.35">
      <c r="B209" s="117">
        <v>87</v>
      </c>
      <c r="C209" s="118"/>
      <c r="D209" s="120">
        <f t="shared" ref="D209" si="336">$Q$18</f>
        <v>15.588640673015377</v>
      </c>
      <c r="E209" s="120"/>
      <c r="F209" s="120">
        <f t="shared" ref="F209" si="337">($L$15/12)*J207</f>
        <v>6.927467410365252</v>
      </c>
      <c r="G209" s="120"/>
      <c r="H209" s="120">
        <f t="shared" ref="H209" si="338">D209-F209</f>
        <v>8.6611732626501237</v>
      </c>
      <c r="I209" s="120"/>
      <c r="J209" s="120">
        <f t="shared" ref="J209" si="339">J207-H209</f>
        <v>2510.4178850519866</v>
      </c>
      <c r="K209" s="122"/>
    </row>
    <row r="210" spans="2:11" ht="15" thickBot="1" x14ac:dyDescent="0.35">
      <c r="B210" s="41"/>
      <c r="C210" s="35"/>
      <c r="D210" s="121"/>
      <c r="E210" s="121"/>
      <c r="F210" s="121"/>
      <c r="G210" s="121"/>
      <c r="H210" s="121"/>
      <c r="I210" s="121"/>
      <c r="J210" s="121"/>
      <c r="K210" s="123"/>
    </row>
    <row r="211" spans="2:11" ht="15" thickBot="1" x14ac:dyDescent="0.35">
      <c r="B211" s="117">
        <v>88</v>
      </c>
      <c r="C211" s="118"/>
      <c r="D211" s="120">
        <f t="shared" ref="D211" si="340">$Q$18</f>
        <v>15.588640673015377</v>
      </c>
      <c r="E211" s="120"/>
      <c r="F211" s="120">
        <f t="shared" ref="F211" si="341">($L$15/12)*J209</f>
        <v>6.9036491838929637</v>
      </c>
      <c r="G211" s="120"/>
      <c r="H211" s="120">
        <f t="shared" ref="H211" si="342">D211-F211</f>
        <v>8.6849914891224138</v>
      </c>
      <c r="I211" s="120"/>
      <c r="J211" s="120">
        <f t="shared" ref="J211" si="343">J209-H211</f>
        <v>2501.7328935628643</v>
      </c>
      <c r="K211" s="122"/>
    </row>
    <row r="212" spans="2:11" ht="15" thickBot="1" x14ac:dyDescent="0.35">
      <c r="B212" s="41"/>
      <c r="C212" s="35"/>
      <c r="D212" s="121"/>
      <c r="E212" s="121"/>
      <c r="F212" s="121"/>
      <c r="G212" s="121"/>
      <c r="H212" s="121"/>
      <c r="I212" s="121"/>
      <c r="J212" s="121"/>
      <c r="K212" s="123"/>
    </row>
    <row r="213" spans="2:11" ht="15" thickBot="1" x14ac:dyDescent="0.35">
      <c r="B213" s="117">
        <v>89</v>
      </c>
      <c r="C213" s="118"/>
      <c r="D213" s="120">
        <f t="shared" ref="D213" si="344">$Q$18</f>
        <v>15.588640673015377</v>
      </c>
      <c r="E213" s="120"/>
      <c r="F213" s="120">
        <f t="shared" ref="F213" si="345">($L$15/12)*J211</f>
        <v>6.8797654572978777</v>
      </c>
      <c r="G213" s="120"/>
      <c r="H213" s="120">
        <f t="shared" ref="H213" si="346">D213-F213</f>
        <v>8.708875215717498</v>
      </c>
      <c r="I213" s="120"/>
      <c r="J213" s="120">
        <f t="shared" ref="J213" si="347">J211-H213</f>
        <v>2493.0240183471469</v>
      </c>
      <c r="K213" s="122"/>
    </row>
    <row r="214" spans="2:11" ht="15" thickBot="1" x14ac:dyDescent="0.35">
      <c r="B214" s="41"/>
      <c r="C214" s="35"/>
      <c r="D214" s="121"/>
      <c r="E214" s="121"/>
      <c r="F214" s="121"/>
      <c r="G214" s="121"/>
      <c r="H214" s="121"/>
      <c r="I214" s="121"/>
      <c r="J214" s="121"/>
      <c r="K214" s="123"/>
    </row>
    <row r="215" spans="2:11" ht="15" thickBot="1" x14ac:dyDescent="0.35">
      <c r="B215" s="117">
        <v>90</v>
      </c>
      <c r="C215" s="118"/>
      <c r="D215" s="120">
        <f t="shared" ref="D215" si="348">$Q$18</f>
        <v>15.588640673015377</v>
      </c>
      <c r="E215" s="120"/>
      <c r="F215" s="120">
        <f t="shared" ref="F215" si="349">($L$15/12)*J213</f>
        <v>6.8558160504546546</v>
      </c>
      <c r="G215" s="120"/>
      <c r="H215" s="120">
        <f t="shared" ref="H215" si="350">D215-F215</f>
        <v>8.732824622560722</v>
      </c>
      <c r="I215" s="120"/>
      <c r="J215" s="120">
        <f t="shared" ref="J215" si="351">J213-H215</f>
        <v>2484.2911937245863</v>
      </c>
      <c r="K215" s="122"/>
    </row>
    <row r="216" spans="2:11" ht="15" thickBot="1" x14ac:dyDescent="0.35">
      <c r="B216" s="41"/>
      <c r="C216" s="35"/>
      <c r="D216" s="121"/>
      <c r="E216" s="121"/>
      <c r="F216" s="121"/>
      <c r="G216" s="121"/>
      <c r="H216" s="121"/>
      <c r="I216" s="121"/>
      <c r="J216" s="121"/>
      <c r="K216" s="123"/>
    </row>
    <row r="217" spans="2:11" ht="15" thickBot="1" x14ac:dyDescent="0.35">
      <c r="B217" s="117">
        <v>91</v>
      </c>
      <c r="C217" s="118"/>
      <c r="D217" s="120">
        <f t="shared" ref="D217" si="352">$Q$18</f>
        <v>15.588640673015377</v>
      </c>
      <c r="E217" s="120"/>
      <c r="F217" s="120">
        <f t="shared" ref="F217" si="353">($L$15/12)*J215</f>
        <v>6.8318007827426133</v>
      </c>
      <c r="G217" s="120"/>
      <c r="H217" s="120">
        <f t="shared" ref="H217" si="354">D217-F217</f>
        <v>8.7568398902727633</v>
      </c>
      <c r="I217" s="120"/>
      <c r="J217" s="120">
        <f t="shared" ref="J217" si="355">J215-H217</f>
        <v>2475.5343538343136</v>
      </c>
      <c r="K217" s="122"/>
    </row>
    <row r="218" spans="2:11" ht="15" thickBot="1" x14ac:dyDescent="0.35">
      <c r="B218" s="41"/>
      <c r="C218" s="35"/>
      <c r="D218" s="121"/>
      <c r="E218" s="121"/>
      <c r="F218" s="121"/>
      <c r="G218" s="121"/>
      <c r="H218" s="121"/>
      <c r="I218" s="121"/>
      <c r="J218" s="121"/>
      <c r="K218" s="123"/>
    </row>
    <row r="219" spans="2:11" ht="15" thickBot="1" x14ac:dyDescent="0.35">
      <c r="B219" s="117">
        <v>92</v>
      </c>
      <c r="C219" s="118"/>
      <c r="D219" s="120">
        <f t="shared" ref="D219" si="356">$Q$18</f>
        <v>15.588640673015377</v>
      </c>
      <c r="E219" s="120"/>
      <c r="F219" s="120">
        <f t="shared" ref="F219" si="357">($L$15/12)*J217</f>
        <v>6.8077194730443633</v>
      </c>
      <c r="G219" s="120"/>
      <c r="H219" s="120">
        <f t="shared" ref="H219" si="358">D219-F219</f>
        <v>8.7809211999710133</v>
      </c>
      <c r="I219" s="120"/>
      <c r="J219" s="120">
        <f t="shared" ref="J219" si="359">J217-H219</f>
        <v>2466.7534326343425</v>
      </c>
      <c r="K219" s="122"/>
    </row>
    <row r="220" spans="2:11" ht="15" thickBot="1" x14ac:dyDescent="0.35">
      <c r="B220" s="41"/>
      <c r="C220" s="35"/>
      <c r="D220" s="121"/>
      <c r="E220" s="121"/>
      <c r="F220" s="121"/>
      <c r="G220" s="121"/>
      <c r="H220" s="121"/>
      <c r="I220" s="121"/>
      <c r="J220" s="121"/>
      <c r="K220" s="123"/>
    </row>
    <row r="221" spans="2:11" ht="15" thickBot="1" x14ac:dyDescent="0.35">
      <c r="B221" s="117">
        <v>93</v>
      </c>
      <c r="C221" s="118"/>
      <c r="D221" s="120">
        <f t="shared" ref="D221" si="360">$Q$18</f>
        <v>15.588640673015377</v>
      </c>
      <c r="E221" s="120"/>
      <c r="F221" s="120">
        <f t="shared" ref="F221" si="361">($L$15/12)*J219</f>
        <v>6.7835719397444425</v>
      </c>
      <c r="G221" s="120"/>
      <c r="H221" s="120">
        <f t="shared" ref="H221" si="362">D221-F221</f>
        <v>8.8050687332709341</v>
      </c>
      <c r="I221" s="120"/>
      <c r="J221" s="120">
        <f t="shared" ref="J221" si="363">J219-H221</f>
        <v>2457.9483639010714</v>
      </c>
      <c r="K221" s="122"/>
    </row>
    <row r="222" spans="2:11" ht="15" thickBot="1" x14ac:dyDescent="0.35">
      <c r="B222" s="41"/>
      <c r="C222" s="35"/>
      <c r="D222" s="121"/>
      <c r="E222" s="121"/>
      <c r="F222" s="121"/>
      <c r="G222" s="121"/>
      <c r="H222" s="121"/>
      <c r="I222" s="121"/>
      <c r="J222" s="121"/>
      <c r="K222" s="123"/>
    </row>
    <row r="223" spans="2:11" ht="15" thickBot="1" x14ac:dyDescent="0.35">
      <c r="B223" s="117">
        <v>94</v>
      </c>
      <c r="C223" s="118"/>
      <c r="D223" s="120">
        <f t="shared" ref="D223" si="364">$Q$18</f>
        <v>15.588640673015377</v>
      </c>
      <c r="E223" s="120"/>
      <c r="F223" s="120">
        <f t="shared" ref="F223" si="365">($L$15/12)*J221</f>
        <v>6.7593580007279472</v>
      </c>
      <c r="G223" s="120"/>
      <c r="H223" s="120">
        <f t="shared" ref="H223" si="366">D223-F223</f>
        <v>8.8292826722874302</v>
      </c>
      <c r="I223" s="120"/>
      <c r="J223" s="120">
        <f t="shared" ref="J223" si="367">J221-H223</f>
        <v>2449.1190812287841</v>
      </c>
      <c r="K223" s="122"/>
    </row>
    <row r="224" spans="2:11" ht="15" thickBot="1" x14ac:dyDescent="0.35">
      <c r="B224" s="41"/>
      <c r="C224" s="35"/>
      <c r="D224" s="121"/>
      <c r="E224" s="121"/>
      <c r="F224" s="121"/>
      <c r="G224" s="121"/>
      <c r="H224" s="121"/>
      <c r="I224" s="121"/>
      <c r="J224" s="121"/>
      <c r="K224" s="123"/>
    </row>
    <row r="225" spans="2:11" ht="15" thickBot="1" x14ac:dyDescent="0.35">
      <c r="B225" s="117">
        <v>95</v>
      </c>
      <c r="C225" s="118"/>
      <c r="D225" s="120">
        <f t="shared" ref="D225" si="368">$Q$18</f>
        <v>15.588640673015377</v>
      </c>
      <c r="E225" s="120"/>
      <c r="F225" s="120">
        <f t="shared" ref="F225" si="369">($L$15/12)*J223</f>
        <v>6.7350774733791567</v>
      </c>
      <c r="G225" s="120"/>
      <c r="H225" s="120">
        <f t="shared" ref="H225" si="370">D225-F225</f>
        <v>8.8535631996362198</v>
      </c>
      <c r="I225" s="120"/>
      <c r="J225" s="120">
        <f t="shared" ref="J225" si="371">J223-H225</f>
        <v>2440.2655180291481</v>
      </c>
      <c r="K225" s="122"/>
    </row>
    <row r="226" spans="2:11" ht="15" thickBot="1" x14ac:dyDescent="0.35">
      <c r="B226" s="41"/>
      <c r="C226" s="35"/>
      <c r="D226" s="121"/>
      <c r="E226" s="121"/>
      <c r="F226" s="121"/>
      <c r="G226" s="121"/>
      <c r="H226" s="121"/>
      <c r="I226" s="121"/>
      <c r="J226" s="121"/>
      <c r="K226" s="123"/>
    </row>
    <row r="227" spans="2:11" ht="15" thickBot="1" x14ac:dyDescent="0.35">
      <c r="B227" s="117">
        <v>96</v>
      </c>
      <c r="C227" s="118"/>
      <c r="D227" s="120">
        <f t="shared" ref="D227" si="372">$Q$18</f>
        <v>15.588640673015377</v>
      </c>
      <c r="E227" s="120"/>
      <c r="F227" s="120">
        <f t="shared" ref="F227" si="373">($L$15/12)*J225</f>
        <v>6.7107301745801582</v>
      </c>
      <c r="G227" s="120"/>
      <c r="H227" s="120">
        <f t="shared" ref="H227" si="374">D227-F227</f>
        <v>8.8779104984352184</v>
      </c>
      <c r="I227" s="120"/>
      <c r="J227" s="120">
        <f t="shared" ref="J227" si="375">J225-H227</f>
        <v>2431.387607530713</v>
      </c>
      <c r="K227" s="122"/>
    </row>
    <row r="228" spans="2:11" ht="15" thickBot="1" x14ac:dyDescent="0.35">
      <c r="B228" s="41"/>
      <c r="C228" s="35"/>
      <c r="D228" s="121"/>
      <c r="E228" s="121"/>
      <c r="F228" s="121"/>
      <c r="G228" s="121"/>
      <c r="H228" s="121"/>
      <c r="I228" s="121"/>
      <c r="J228" s="121"/>
      <c r="K228" s="123"/>
    </row>
    <row r="229" spans="2:11" ht="15" thickBot="1" x14ac:dyDescent="0.35">
      <c r="B229" s="117">
        <v>97</v>
      </c>
      <c r="C229" s="118"/>
      <c r="D229" s="120">
        <f t="shared" ref="D229" si="376">$Q$18</f>
        <v>15.588640673015377</v>
      </c>
      <c r="E229" s="120"/>
      <c r="F229" s="120">
        <f t="shared" ref="F229" si="377">($L$15/12)*J227</f>
        <v>6.6863159207094611</v>
      </c>
      <c r="G229" s="120"/>
      <c r="H229" s="120">
        <f t="shared" ref="H229" si="378">D229-F229</f>
        <v>8.9023247523059155</v>
      </c>
      <c r="I229" s="120"/>
      <c r="J229" s="120">
        <f t="shared" ref="J229" si="379">J227-H229</f>
        <v>2422.4852827784071</v>
      </c>
      <c r="K229" s="122"/>
    </row>
    <row r="230" spans="2:11" ht="15" thickBot="1" x14ac:dyDescent="0.35">
      <c r="B230" s="41"/>
      <c r="C230" s="35"/>
      <c r="D230" s="121"/>
      <c r="E230" s="121"/>
      <c r="F230" s="121"/>
      <c r="G230" s="121"/>
      <c r="H230" s="121"/>
      <c r="I230" s="121"/>
      <c r="J230" s="121"/>
      <c r="K230" s="123"/>
    </row>
    <row r="231" spans="2:11" ht="15" thickBot="1" x14ac:dyDescent="0.35">
      <c r="B231" s="117">
        <v>98</v>
      </c>
      <c r="C231" s="118"/>
      <c r="D231" s="120">
        <f t="shared" ref="D231" si="380">$Q$18</f>
        <v>15.588640673015377</v>
      </c>
      <c r="E231" s="120"/>
      <c r="F231" s="120">
        <f t="shared" ref="F231" si="381">($L$15/12)*J229</f>
        <v>6.6618345276406199</v>
      </c>
      <c r="G231" s="120"/>
      <c r="H231" s="120">
        <f t="shared" ref="H231" si="382">D231-F231</f>
        <v>8.9268061453747567</v>
      </c>
      <c r="I231" s="120"/>
      <c r="J231" s="120">
        <f t="shared" ref="J231" si="383">J229-H231</f>
        <v>2413.5584766330321</v>
      </c>
      <c r="K231" s="122"/>
    </row>
    <row r="232" spans="2:11" ht="15" thickBot="1" x14ac:dyDescent="0.35">
      <c r="B232" s="41"/>
      <c r="C232" s="35"/>
      <c r="D232" s="121"/>
      <c r="E232" s="121"/>
      <c r="F232" s="121"/>
      <c r="G232" s="121"/>
      <c r="H232" s="121"/>
      <c r="I232" s="121"/>
      <c r="J232" s="121"/>
      <c r="K232" s="123"/>
    </row>
    <row r="233" spans="2:11" ht="15" thickBot="1" x14ac:dyDescent="0.35">
      <c r="B233" s="117">
        <v>99</v>
      </c>
      <c r="C233" s="118"/>
      <c r="D233" s="120">
        <f t="shared" ref="D233" si="384">$Q$18</f>
        <v>15.588640673015377</v>
      </c>
      <c r="E233" s="120"/>
      <c r="F233" s="120">
        <f t="shared" ref="F233" si="385">($L$15/12)*J231</f>
        <v>6.6372858107408392</v>
      </c>
      <c r="G233" s="120"/>
      <c r="H233" s="120">
        <f t="shared" ref="H233" si="386">D233-F233</f>
        <v>8.9513548622745382</v>
      </c>
      <c r="I233" s="120"/>
      <c r="J233" s="120">
        <f t="shared" ref="J233" si="387">J231-H233</f>
        <v>2404.6071217707577</v>
      </c>
      <c r="K233" s="122"/>
    </row>
    <row r="234" spans="2:11" ht="15" thickBot="1" x14ac:dyDescent="0.35">
      <c r="B234" s="41"/>
      <c r="C234" s="35"/>
      <c r="D234" s="121"/>
      <c r="E234" s="121"/>
      <c r="F234" s="121"/>
      <c r="G234" s="121"/>
      <c r="H234" s="121"/>
      <c r="I234" s="121"/>
      <c r="J234" s="121"/>
      <c r="K234" s="123"/>
    </row>
    <row r="235" spans="2:11" ht="15" thickBot="1" x14ac:dyDescent="0.35">
      <c r="B235" s="117">
        <v>100</v>
      </c>
      <c r="C235" s="118"/>
      <c r="D235" s="120">
        <f t="shared" ref="D235" si="388">$Q$18</f>
        <v>15.588640673015377</v>
      </c>
      <c r="E235" s="120"/>
      <c r="F235" s="120">
        <f t="shared" ref="F235" si="389">($L$15/12)*J233</f>
        <v>6.6126695848695842</v>
      </c>
      <c r="G235" s="120"/>
      <c r="H235" s="120">
        <f t="shared" ref="H235" si="390">D235-F235</f>
        <v>8.9759710881457924</v>
      </c>
      <c r="I235" s="120"/>
      <c r="J235" s="120">
        <f t="shared" ref="J235" si="391">J233-H235</f>
        <v>2395.6311506826119</v>
      </c>
      <c r="K235" s="122"/>
    </row>
    <row r="236" spans="2:11" ht="15" thickBot="1" x14ac:dyDescent="0.35">
      <c r="B236" s="41"/>
      <c r="C236" s="35"/>
      <c r="D236" s="121"/>
      <c r="E236" s="121"/>
      <c r="F236" s="121"/>
      <c r="G236" s="121"/>
      <c r="H236" s="121"/>
      <c r="I236" s="121"/>
      <c r="J236" s="121"/>
      <c r="K236" s="123"/>
    </row>
    <row r="237" spans="2:11" ht="15" thickBot="1" x14ac:dyDescent="0.35">
      <c r="B237" s="117">
        <v>101</v>
      </c>
      <c r="C237" s="118"/>
      <c r="D237" s="120">
        <f t="shared" ref="D237" si="392">$Q$18</f>
        <v>15.588640673015377</v>
      </c>
      <c r="E237" s="120"/>
      <c r="F237" s="120">
        <f t="shared" ref="F237" si="393">($L$15/12)*J235</f>
        <v>6.5879856643771832</v>
      </c>
      <c r="G237" s="120"/>
      <c r="H237" s="120">
        <f t="shared" ref="H237" si="394">D237-F237</f>
        <v>9.0006550086381942</v>
      </c>
      <c r="I237" s="120"/>
      <c r="J237" s="120">
        <f t="shared" ref="J237" si="395">J235-H237</f>
        <v>2386.6304956739737</v>
      </c>
      <c r="K237" s="122"/>
    </row>
    <row r="238" spans="2:11" ht="15" thickBot="1" x14ac:dyDescent="0.35">
      <c r="B238" s="41"/>
      <c r="C238" s="35"/>
      <c r="D238" s="121"/>
      <c r="E238" s="121"/>
      <c r="F238" s="121"/>
      <c r="G238" s="121"/>
      <c r="H238" s="121"/>
      <c r="I238" s="121"/>
      <c r="J238" s="121"/>
      <c r="K238" s="123"/>
    </row>
    <row r="239" spans="2:11" ht="15" thickBot="1" x14ac:dyDescent="0.35">
      <c r="B239" s="117">
        <v>102</v>
      </c>
      <c r="C239" s="118"/>
      <c r="D239" s="120">
        <f t="shared" ref="D239" si="396">$Q$18</f>
        <v>15.588640673015377</v>
      </c>
      <c r="E239" s="120"/>
      <c r="F239" s="120">
        <f t="shared" ref="F239" si="397">($L$15/12)*J237</f>
        <v>6.5632338631034282</v>
      </c>
      <c r="G239" s="120"/>
      <c r="H239" s="120">
        <f t="shared" ref="H239" si="398">D239-F239</f>
        <v>9.0254068099119493</v>
      </c>
      <c r="I239" s="120"/>
      <c r="J239" s="120">
        <f t="shared" ref="J239" si="399">J237-H239</f>
        <v>2377.6050888640616</v>
      </c>
      <c r="K239" s="122"/>
    </row>
    <row r="240" spans="2:11" ht="15" thickBot="1" x14ac:dyDescent="0.35">
      <c r="B240" s="41"/>
      <c r="C240" s="35"/>
      <c r="D240" s="121"/>
      <c r="E240" s="121"/>
      <c r="F240" s="121"/>
      <c r="G240" s="121"/>
      <c r="H240" s="121"/>
      <c r="I240" s="121"/>
      <c r="J240" s="121"/>
      <c r="K240" s="123"/>
    </row>
    <row r="241" spans="2:11" ht="15" thickBot="1" x14ac:dyDescent="0.35">
      <c r="B241" s="117">
        <v>103</v>
      </c>
      <c r="C241" s="118"/>
      <c r="D241" s="120">
        <f t="shared" ref="D241" si="400">$Q$18</f>
        <v>15.588640673015377</v>
      </c>
      <c r="E241" s="120"/>
      <c r="F241" s="120">
        <f t="shared" ref="F241" si="401">($L$15/12)*J239</f>
        <v>6.5384139943761701</v>
      </c>
      <c r="G241" s="120"/>
      <c r="H241" s="120">
        <f t="shared" ref="H241" si="402">D241-F241</f>
        <v>9.0502266786392056</v>
      </c>
      <c r="I241" s="120"/>
      <c r="J241" s="120">
        <f t="shared" ref="J241" si="403">J239-H241</f>
        <v>2368.5548621854223</v>
      </c>
      <c r="K241" s="122"/>
    </row>
    <row r="242" spans="2:11" ht="15" thickBot="1" x14ac:dyDescent="0.35">
      <c r="B242" s="41"/>
      <c r="C242" s="35"/>
      <c r="D242" s="121"/>
      <c r="E242" s="121"/>
      <c r="F242" s="121"/>
      <c r="G242" s="121"/>
      <c r="H242" s="121"/>
      <c r="I242" s="121"/>
      <c r="J242" s="121"/>
      <c r="K242" s="123"/>
    </row>
    <row r="243" spans="2:11" ht="15" thickBot="1" x14ac:dyDescent="0.35">
      <c r="B243" s="117">
        <v>104</v>
      </c>
      <c r="C243" s="118"/>
      <c r="D243" s="120">
        <f t="shared" ref="D243" si="404">$Q$18</f>
        <v>15.588640673015377</v>
      </c>
      <c r="E243" s="120"/>
      <c r="F243" s="120">
        <f t="shared" ref="F243" si="405">($L$15/12)*J241</f>
        <v>6.5135258710099118</v>
      </c>
      <c r="G243" s="120"/>
      <c r="H243" s="120">
        <f t="shared" ref="H243" si="406">D243-F243</f>
        <v>9.0751148020054657</v>
      </c>
      <c r="I243" s="120"/>
      <c r="J243" s="120">
        <f t="shared" ref="J243" si="407">J241-H243</f>
        <v>2359.4797473834169</v>
      </c>
      <c r="K243" s="122"/>
    </row>
    <row r="244" spans="2:11" ht="15" thickBot="1" x14ac:dyDescent="0.35">
      <c r="B244" s="41"/>
      <c r="C244" s="35"/>
      <c r="D244" s="121"/>
      <c r="E244" s="121"/>
      <c r="F244" s="121"/>
      <c r="G244" s="121"/>
      <c r="H244" s="121"/>
      <c r="I244" s="121"/>
      <c r="J244" s="121"/>
      <c r="K244" s="123"/>
    </row>
    <row r="245" spans="2:11" ht="15" thickBot="1" x14ac:dyDescent="0.35">
      <c r="B245" s="117">
        <v>105</v>
      </c>
      <c r="C245" s="118"/>
      <c r="D245" s="120">
        <f t="shared" ref="D245" si="408">$Q$18</f>
        <v>15.588640673015377</v>
      </c>
      <c r="E245" s="120"/>
      <c r="F245" s="120">
        <f t="shared" ref="F245" si="409">($L$15/12)*J243</f>
        <v>6.4885693053043969</v>
      </c>
      <c r="G245" s="120"/>
      <c r="H245" s="120">
        <f t="shared" ref="H245" si="410">D245-F245</f>
        <v>9.1000713677109797</v>
      </c>
      <c r="I245" s="120"/>
      <c r="J245" s="120">
        <f t="shared" ref="J245" si="411">J243-H245</f>
        <v>2350.3796760157061</v>
      </c>
      <c r="K245" s="122"/>
    </row>
    <row r="246" spans="2:11" ht="15" thickBot="1" x14ac:dyDescent="0.35">
      <c r="B246" s="41"/>
      <c r="C246" s="35"/>
      <c r="D246" s="121"/>
      <c r="E246" s="121"/>
      <c r="F246" s="121"/>
      <c r="G246" s="121"/>
      <c r="H246" s="121"/>
      <c r="I246" s="121"/>
      <c r="J246" s="121"/>
      <c r="K246" s="123"/>
    </row>
    <row r="247" spans="2:11" ht="15" thickBot="1" x14ac:dyDescent="0.35">
      <c r="B247" s="117">
        <v>106</v>
      </c>
      <c r="C247" s="118"/>
      <c r="D247" s="120">
        <f t="shared" ref="D247" si="412">$Q$18</f>
        <v>15.588640673015377</v>
      </c>
      <c r="E247" s="120"/>
      <c r="F247" s="120">
        <f t="shared" ref="F247" si="413">($L$15/12)*J245</f>
        <v>6.463544109043192</v>
      </c>
      <c r="G247" s="120"/>
      <c r="H247" s="120">
        <f t="shared" ref="H247" si="414">D247-F247</f>
        <v>9.1250965639721855</v>
      </c>
      <c r="I247" s="120"/>
      <c r="J247" s="120">
        <f t="shared" ref="J247" si="415">J245-H247</f>
        <v>2341.2545794517341</v>
      </c>
      <c r="K247" s="122"/>
    </row>
    <row r="248" spans="2:11" ht="15" thickBot="1" x14ac:dyDescent="0.35">
      <c r="B248" s="41"/>
      <c r="C248" s="35"/>
      <c r="D248" s="121"/>
      <c r="E248" s="121"/>
      <c r="F248" s="121"/>
      <c r="G248" s="121"/>
      <c r="H248" s="121"/>
      <c r="I248" s="121"/>
      <c r="J248" s="121"/>
      <c r="K248" s="123"/>
    </row>
    <row r="249" spans="2:11" ht="15" thickBot="1" x14ac:dyDescent="0.35">
      <c r="B249" s="117">
        <v>107</v>
      </c>
      <c r="C249" s="118"/>
      <c r="D249" s="120">
        <f t="shared" ref="D249" si="416">$Q$18</f>
        <v>15.588640673015377</v>
      </c>
      <c r="E249" s="120"/>
      <c r="F249" s="120">
        <f t="shared" ref="F249" si="417">($L$15/12)*J247</f>
        <v>6.4384500934922695</v>
      </c>
      <c r="G249" s="120"/>
      <c r="H249" s="120">
        <f t="shared" ref="H249" si="418">D249-F249</f>
        <v>9.1501905795231071</v>
      </c>
      <c r="I249" s="120"/>
      <c r="J249" s="120">
        <f t="shared" ref="J249" si="419">J247-H249</f>
        <v>2332.1043888722111</v>
      </c>
      <c r="K249" s="122"/>
    </row>
    <row r="250" spans="2:11" ht="15" thickBot="1" x14ac:dyDescent="0.35">
      <c r="B250" s="41"/>
      <c r="C250" s="35"/>
      <c r="D250" s="121"/>
      <c r="E250" s="121"/>
      <c r="F250" s="121"/>
      <c r="G250" s="121"/>
      <c r="H250" s="121"/>
      <c r="I250" s="121"/>
      <c r="J250" s="121"/>
      <c r="K250" s="123"/>
    </row>
    <row r="251" spans="2:11" ht="15" thickBot="1" x14ac:dyDescent="0.35">
      <c r="B251" s="117">
        <v>108</v>
      </c>
      <c r="C251" s="118"/>
      <c r="D251" s="120">
        <f t="shared" ref="D251" si="420">$Q$18</f>
        <v>15.588640673015377</v>
      </c>
      <c r="E251" s="120"/>
      <c r="F251" s="120">
        <f t="shared" ref="F251" si="421">($L$15/12)*J249</f>
        <v>6.4132870693985815</v>
      </c>
      <c r="G251" s="120"/>
      <c r="H251" s="120">
        <f t="shared" ref="H251" si="422">D251-F251</f>
        <v>9.1753536036167951</v>
      </c>
      <c r="I251" s="120"/>
      <c r="J251" s="120">
        <f t="shared" ref="J251" si="423">J249-H251</f>
        <v>2322.9290352685944</v>
      </c>
      <c r="K251" s="122"/>
    </row>
    <row r="252" spans="2:11" ht="15" thickBot="1" x14ac:dyDescent="0.35">
      <c r="B252" s="41"/>
      <c r="C252" s="35"/>
      <c r="D252" s="121"/>
      <c r="E252" s="121"/>
      <c r="F252" s="121"/>
      <c r="G252" s="121"/>
      <c r="H252" s="121"/>
      <c r="I252" s="121"/>
      <c r="J252" s="121"/>
      <c r="K252" s="123"/>
    </row>
    <row r="253" spans="2:11" ht="15" thickBot="1" x14ac:dyDescent="0.35">
      <c r="B253" s="117">
        <v>109</v>
      </c>
      <c r="C253" s="118"/>
      <c r="D253" s="120">
        <f t="shared" ref="D253" si="424">$Q$18</f>
        <v>15.588640673015377</v>
      </c>
      <c r="E253" s="120"/>
      <c r="F253" s="120">
        <f t="shared" ref="F253" si="425">($L$15/12)*J251</f>
        <v>6.3880548469886351</v>
      </c>
      <c r="G253" s="120"/>
      <c r="H253" s="120">
        <f t="shared" ref="H253" si="426">D253-F253</f>
        <v>9.2005858260267424</v>
      </c>
      <c r="I253" s="120"/>
      <c r="J253" s="120">
        <f t="shared" ref="J253" si="427">J251-H253</f>
        <v>2313.7284494425676</v>
      </c>
      <c r="K253" s="122"/>
    </row>
    <row r="254" spans="2:11" ht="15" thickBot="1" x14ac:dyDescent="0.35">
      <c r="B254" s="41"/>
      <c r="C254" s="35"/>
      <c r="D254" s="121"/>
      <c r="E254" s="121"/>
      <c r="F254" s="121"/>
      <c r="G254" s="121"/>
      <c r="H254" s="121"/>
      <c r="I254" s="121"/>
      <c r="J254" s="121"/>
      <c r="K254" s="123"/>
    </row>
    <row r="255" spans="2:11" ht="15" thickBot="1" x14ac:dyDescent="0.35">
      <c r="B255" s="117">
        <v>110</v>
      </c>
      <c r="C255" s="118"/>
      <c r="D255" s="120">
        <f t="shared" ref="D255" si="428">$Q$18</f>
        <v>15.588640673015377</v>
      </c>
      <c r="E255" s="120"/>
      <c r="F255" s="120">
        <f t="shared" ref="F255" si="429">($L$15/12)*J253</f>
        <v>6.3627532359670615</v>
      </c>
      <c r="G255" s="120"/>
      <c r="H255" s="120">
        <f t="shared" ref="H255" si="430">D255-F255</f>
        <v>9.2258874370483142</v>
      </c>
      <c r="I255" s="120"/>
      <c r="J255" s="120">
        <f t="shared" ref="J255" si="431">J253-H255</f>
        <v>2304.5025620055194</v>
      </c>
      <c r="K255" s="122"/>
    </row>
    <row r="256" spans="2:11" ht="15" thickBot="1" x14ac:dyDescent="0.35">
      <c r="B256" s="41"/>
      <c r="C256" s="35"/>
      <c r="D256" s="121"/>
      <c r="E256" s="121"/>
      <c r="F256" s="121"/>
      <c r="G256" s="121"/>
      <c r="H256" s="121"/>
      <c r="I256" s="121"/>
      <c r="J256" s="121"/>
      <c r="K256" s="123"/>
    </row>
    <row r="257" spans="2:11" ht="15" thickBot="1" x14ac:dyDescent="0.35">
      <c r="B257" s="117">
        <v>111</v>
      </c>
      <c r="C257" s="118"/>
      <c r="D257" s="120">
        <f t="shared" ref="D257" si="432">$Q$18</f>
        <v>15.588640673015377</v>
      </c>
      <c r="E257" s="120"/>
      <c r="F257" s="120">
        <f t="shared" ref="F257" si="433">($L$15/12)*J255</f>
        <v>6.337382045515179</v>
      </c>
      <c r="G257" s="120"/>
      <c r="H257" s="120">
        <f t="shared" ref="H257" si="434">D257-F257</f>
        <v>9.2512586275001976</v>
      </c>
      <c r="I257" s="120"/>
      <c r="J257" s="120">
        <f t="shared" ref="J257" si="435">J255-H257</f>
        <v>2295.2513033780192</v>
      </c>
      <c r="K257" s="122"/>
    </row>
    <row r="258" spans="2:11" ht="15" thickBot="1" x14ac:dyDescent="0.35">
      <c r="B258" s="41"/>
      <c r="C258" s="35"/>
      <c r="D258" s="121"/>
      <c r="E258" s="121"/>
      <c r="F258" s="121"/>
      <c r="G258" s="121"/>
      <c r="H258" s="121"/>
      <c r="I258" s="121"/>
      <c r="J258" s="121"/>
      <c r="K258" s="123"/>
    </row>
    <row r="259" spans="2:11" ht="15" thickBot="1" x14ac:dyDescent="0.35">
      <c r="B259" s="117">
        <v>112</v>
      </c>
      <c r="C259" s="118"/>
      <c r="D259" s="120">
        <f t="shared" ref="D259" si="436">$Q$18</f>
        <v>15.588640673015377</v>
      </c>
      <c r="E259" s="120"/>
      <c r="F259" s="120">
        <f t="shared" ref="F259" si="437">($L$15/12)*J257</f>
        <v>6.3119410842895531</v>
      </c>
      <c r="G259" s="120"/>
      <c r="H259" s="120">
        <f t="shared" ref="H259" si="438">D259-F259</f>
        <v>9.2766995887258226</v>
      </c>
      <c r="I259" s="120"/>
      <c r="J259" s="120">
        <f t="shared" ref="J259" si="439">J257-H259</f>
        <v>2285.9746037892933</v>
      </c>
      <c r="K259" s="122"/>
    </row>
    <row r="260" spans="2:11" ht="15" thickBot="1" x14ac:dyDescent="0.35">
      <c r="B260" s="41"/>
      <c r="C260" s="35"/>
      <c r="D260" s="121"/>
      <c r="E260" s="121"/>
      <c r="F260" s="121"/>
      <c r="G260" s="121"/>
      <c r="H260" s="121"/>
      <c r="I260" s="121"/>
      <c r="J260" s="121"/>
      <c r="K260" s="123"/>
    </row>
    <row r="261" spans="2:11" ht="15" thickBot="1" x14ac:dyDescent="0.35">
      <c r="B261" s="117">
        <v>113</v>
      </c>
      <c r="C261" s="118"/>
      <c r="D261" s="120">
        <f t="shared" ref="D261" si="440">$Q$18</f>
        <v>15.588640673015377</v>
      </c>
      <c r="E261" s="120"/>
      <c r="F261" s="120">
        <f t="shared" ref="F261" si="441">($L$15/12)*J259</f>
        <v>6.286430160420557</v>
      </c>
      <c r="G261" s="120"/>
      <c r="H261" s="120">
        <f t="shared" ref="H261" si="442">D261-F261</f>
        <v>9.3022105125948187</v>
      </c>
      <c r="I261" s="120"/>
      <c r="J261" s="120">
        <f t="shared" ref="J261" si="443">J259-H261</f>
        <v>2276.6723932766986</v>
      </c>
      <c r="K261" s="122"/>
    </row>
    <row r="262" spans="2:11" ht="15" thickBot="1" x14ac:dyDescent="0.35">
      <c r="B262" s="41"/>
      <c r="C262" s="35"/>
      <c r="D262" s="121"/>
      <c r="E262" s="121"/>
      <c r="F262" s="121"/>
      <c r="G262" s="121"/>
      <c r="H262" s="121"/>
      <c r="I262" s="121"/>
      <c r="J262" s="121"/>
      <c r="K262" s="123"/>
    </row>
    <row r="263" spans="2:11" ht="15" thickBot="1" x14ac:dyDescent="0.35">
      <c r="B263" s="117">
        <v>114</v>
      </c>
      <c r="C263" s="118"/>
      <c r="D263" s="120">
        <f t="shared" ref="D263" si="444">$Q$18</f>
        <v>15.588640673015377</v>
      </c>
      <c r="E263" s="120"/>
      <c r="F263" s="120">
        <f t="shared" ref="F263" si="445">($L$15/12)*J261</f>
        <v>6.2608490815109219</v>
      </c>
      <c r="G263" s="120"/>
      <c r="H263" s="120">
        <f t="shared" ref="H263" si="446">D263-F263</f>
        <v>9.3277915915044538</v>
      </c>
      <c r="I263" s="120"/>
      <c r="J263" s="120">
        <f t="shared" ref="J263" si="447">J261-H263</f>
        <v>2267.344601685194</v>
      </c>
      <c r="K263" s="122"/>
    </row>
    <row r="264" spans="2:11" ht="15" thickBot="1" x14ac:dyDescent="0.35">
      <c r="B264" s="41"/>
      <c r="C264" s="35"/>
      <c r="D264" s="121"/>
      <c r="E264" s="121"/>
      <c r="F264" s="121"/>
      <c r="G264" s="121"/>
      <c r="H264" s="121"/>
      <c r="I264" s="121"/>
      <c r="J264" s="121"/>
      <c r="K264" s="123"/>
    </row>
    <row r="265" spans="2:11" ht="15" thickBot="1" x14ac:dyDescent="0.35">
      <c r="B265" s="117">
        <v>115</v>
      </c>
      <c r="C265" s="118"/>
      <c r="D265" s="120">
        <f t="shared" ref="D265" si="448">$Q$18</f>
        <v>15.588640673015377</v>
      </c>
      <c r="E265" s="120"/>
      <c r="F265" s="120">
        <f t="shared" ref="F265" si="449">($L$15/12)*J263</f>
        <v>6.235197654634284</v>
      </c>
      <c r="G265" s="120"/>
      <c r="H265" s="120">
        <f t="shared" ref="H265" si="450">D265-F265</f>
        <v>9.3534430183810926</v>
      </c>
      <c r="I265" s="120"/>
      <c r="J265" s="120">
        <f t="shared" ref="J265" si="451">J263-H265</f>
        <v>2257.9911586668127</v>
      </c>
      <c r="K265" s="122"/>
    </row>
    <row r="266" spans="2:11" ht="15" thickBot="1" x14ac:dyDescent="0.35">
      <c r="B266" s="41"/>
      <c r="C266" s="35"/>
      <c r="D266" s="121"/>
      <c r="E266" s="121"/>
      <c r="F266" s="121"/>
      <c r="G266" s="121"/>
      <c r="H266" s="121"/>
      <c r="I266" s="121"/>
      <c r="J266" s="121"/>
      <c r="K266" s="123"/>
    </row>
    <row r="267" spans="2:11" ht="15" thickBot="1" x14ac:dyDescent="0.35">
      <c r="B267" s="117">
        <v>116</v>
      </c>
      <c r="C267" s="118"/>
      <c r="D267" s="120">
        <f t="shared" ref="D267" si="452">$Q$18</f>
        <v>15.588640673015377</v>
      </c>
      <c r="E267" s="120"/>
      <c r="F267" s="120">
        <f t="shared" ref="F267" si="453">($L$15/12)*J265</f>
        <v>6.2094756863337359</v>
      </c>
      <c r="G267" s="120"/>
      <c r="H267" s="120">
        <f t="shared" ref="H267" si="454">D267-F267</f>
        <v>9.3791649866816407</v>
      </c>
      <c r="I267" s="120"/>
      <c r="J267" s="120">
        <f t="shared" ref="J267" si="455">J265-H267</f>
        <v>2248.611993680131</v>
      </c>
      <c r="K267" s="122"/>
    </row>
    <row r="268" spans="2:11" ht="15" thickBot="1" x14ac:dyDescent="0.35">
      <c r="B268" s="41"/>
      <c r="C268" s="35"/>
      <c r="D268" s="121"/>
      <c r="E268" s="121"/>
      <c r="F268" s="121"/>
      <c r="G268" s="121"/>
      <c r="H268" s="121"/>
      <c r="I268" s="121"/>
      <c r="J268" s="121"/>
      <c r="K268" s="123"/>
    </row>
    <row r="269" spans="2:11" ht="15" thickBot="1" x14ac:dyDescent="0.35">
      <c r="B269" s="117">
        <v>117</v>
      </c>
      <c r="C269" s="118"/>
      <c r="D269" s="120">
        <f t="shared" ref="D269" si="456">$Q$18</f>
        <v>15.588640673015377</v>
      </c>
      <c r="E269" s="120"/>
      <c r="F269" s="120">
        <f t="shared" ref="F269" si="457">($L$15/12)*J267</f>
        <v>6.1836829826203612</v>
      </c>
      <c r="G269" s="120"/>
      <c r="H269" s="120">
        <f t="shared" ref="H269" si="458">D269-F269</f>
        <v>9.4049576903950154</v>
      </c>
      <c r="I269" s="120"/>
      <c r="J269" s="120">
        <f t="shared" ref="J269" si="459">J267-H269</f>
        <v>2239.2070359897361</v>
      </c>
      <c r="K269" s="122"/>
    </row>
    <row r="270" spans="2:11" ht="15" thickBot="1" x14ac:dyDescent="0.35">
      <c r="B270" s="41"/>
      <c r="C270" s="35"/>
      <c r="D270" s="121"/>
      <c r="E270" s="121"/>
      <c r="F270" s="121"/>
      <c r="G270" s="121"/>
      <c r="H270" s="121"/>
      <c r="I270" s="121"/>
      <c r="J270" s="121"/>
      <c r="K270" s="123"/>
    </row>
    <row r="271" spans="2:11" ht="15" thickBot="1" x14ac:dyDescent="0.35">
      <c r="B271" s="117">
        <v>118</v>
      </c>
      <c r="C271" s="118"/>
      <c r="D271" s="120">
        <f t="shared" ref="D271" si="460">$Q$18</f>
        <v>15.588640673015377</v>
      </c>
      <c r="E271" s="120"/>
      <c r="F271" s="120">
        <f t="shared" ref="F271" si="461">($L$15/12)*J269</f>
        <v>6.157819348971775</v>
      </c>
      <c r="G271" s="120"/>
      <c r="H271" s="120">
        <f t="shared" ref="H271" si="462">D271-F271</f>
        <v>9.4308213240436025</v>
      </c>
      <c r="I271" s="120"/>
      <c r="J271" s="120">
        <f t="shared" ref="J271" si="463">J269-H271</f>
        <v>2229.7762146656924</v>
      </c>
      <c r="K271" s="122"/>
    </row>
    <row r="272" spans="2:11" ht="15" thickBot="1" x14ac:dyDescent="0.35">
      <c r="B272" s="41"/>
      <c r="C272" s="35"/>
      <c r="D272" s="121"/>
      <c r="E272" s="121"/>
      <c r="F272" s="121"/>
      <c r="G272" s="121"/>
      <c r="H272" s="121"/>
      <c r="I272" s="121"/>
      <c r="J272" s="121"/>
      <c r="K272" s="123"/>
    </row>
    <row r="273" spans="2:11" ht="15" thickBot="1" x14ac:dyDescent="0.35">
      <c r="B273" s="117">
        <v>119</v>
      </c>
      <c r="C273" s="118"/>
      <c r="D273" s="120">
        <f t="shared" ref="D273" si="464">$Q$18</f>
        <v>15.588640673015377</v>
      </c>
      <c r="E273" s="120"/>
      <c r="F273" s="120">
        <f t="shared" ref="F273" si="465">($L$15/12)*J271</f>
        <v>6.1318845903306549</v>
      </c>
      <c r="G273" s="120"/>
      <c r="H273" s="120">
        <f t="shared" ref="H273" si="466">D273-F273</f>
        <v>9.4567560826847217</v>
      </c>
      <c r="I273" s="120"/>
      <c r="J273" s="120">
        <f t="shared" ref="J273" si="467">J271-H273</f>
        <v>2220.3194585830074</v>
      </c>
      <c r="K273" s="122"/>
    </row>
    <row r="274" spans="2:11" ht="15" thickBot="1" x14ac:dyDescent="0.35">
      <c r="B274" s="41"/>
      <c r="C274" s="35"/>
      <c r="D274" s="121"/>
      <c r="E274" s="121"/>
      <c r="F274" s="121"/>
      <c r="G274" s="121"/>
      <c r="H274" s="121"/>
      <c r="I274" s="121"/>
      <c r="J274" s="121"/>
      <c r="K274" s="123"/>
    </row>
    <row r="275" spans="2:11" ht="15" thickBot="1" x14ac:dyDescent="0.35">
      <c r="B275" s="117">
        <v>120</v>
      </c>
      <c r="C275" s="118"/>
      <c r="D275" s="120">
        <f t="shared" ref="D275" si="468">$Q$18</f>
        <v>15.588640673015377</v>
      </c>
      <c r="E275" s="120"/>
      <c r="F275" s="120">
        <f t="shared" ref="F275" si="469">($L$15/12)*J273</f>
        <v>6.1058785111032714</v>
      </c>
      <c r="G275" s="120"/>
      <c r="H275" s="120">
        <f t="shared" ref="H275" si="470">D275-F275</f>
        <v>9.4827621619121061</v>
      </c>
      <c r="I275" s="120"/>
      <c r="J275" s="120">
        <f t="shared" ref="J275" si="471">J273-H275</f>
        <v>2210.8366964210954</v>
      </c>
      <c r="K275" s="122"/>
    </row>
    <row r="276" spans="2:11" ht="15" thickBot="1" x14ac:dyDescent="0.35">
      <c r="B276" s="41"/>
      <c r="C276" s="35"/>
      <c r="D276" s="121"/>
      <c r="E276" s="121"/>
      <c r="F276" s="121"/>
      <c r="G276" s="121"/>
      <c r="H276" s="121"/>
      <c r="I276" s="121"/>
      <c r="J276" s="121"/>
      <c r="K276" s="123"/>
    </row>
    <row r="277" spans="2:11" ht="15" thickBot="1" x14ac:dyDescent="0.35">
      <c r="B277" s="117">
        <v>121</v>
      </c>
      <c r="C277" s="118"/>
      <c r="D277" s="120">
        <f t="shared" ref="D277" si="472">$Q$18</f>
        <v>15.588640673015377</v>
      </c>
      <c r="E277" s="120"/>
      <c r="F277" s="120">
        <f t="shared" ref="F277" si="473">($L$15/12)*J275</f>
        <v>6.079800915158013</v>
      </c>
      <c r="G277" s="120"/>
      <c r="H277" s="120">
        <f t="shared" ref="H277" si="474">D277-F277</f>
        <v>9.5088397578573627</v>
      </c>
      <c r="I277" s="120"/>
      <c r="J277" s="120">
        <f t="shared" ref="J277" si="475">J275-H277</f>
        <v>2201.327856663238</v>
      </c>
      <c r="K277" s="122"/>
    </row>
    <row r="278" spans="2:11" ht="15" thickBot="1" x14ac:dyDescent="0.35">
      <c r="B278" s="41"/>
      <c r="C278" s="35"/>
      <c r="D278" s="121"/>
      <c r="E278" s="121"/>
      <c r="F278" s="121"/>
      <c r="G278" s="121"/>
      <c r="H278" s="121"/>
      <c r="I278" s="121"/>
      <c r="J278" s="121"/>
      <c r="K278" s="123"/>
    </row>
    <row r="279" spans="2:11" ht="15" thickBot="1" x14ac:dyDescent="0.35">
      <c r="B279" s="117">
        <v>122</v>
      </c>
      <c r="C279" s="118"/>
      <c r="D279" s="120">
        <f t="shared" ref="D279" si="476">$Q$18</f>
        <v>15.588640673015377</v>
      </c>
      <c r="E279" s="120"/>
      <c r="F279" s="120">
        <f t="shared" ref="F279" si="477">($L$15/12)*J277</f>
        <v>6.0536516058239052</v>
      </c>
      <c r="G279" s="120"/>
      <c r="H279" s="120">
        <f t="shared" ref="H279" si="478">D279-F279</f>
        <v>9.5349890671914714</v>
      </c>
      <c r="I279" s="120"/>
      <c r="J279" s="120">
        <f t="shared" ref="J279" si="479">J277-H279</f>
        <v>2191.7928675960466</v>
      </c>
      <c r="K279" s="122"/>
    </row>
    <row r="280" spans="2:11" ht="15" thickBot="1" x14ac:dyDescent="0.35">
      <c r="B280" s="41"/>
      <c r="C280" s="35"/>
      <c r="D280" s="121"/>
      <c r="E280" s="121"/>
      <c r="F280" s="121"/>
      <c r="G280" s="121"/>
      <c r="H280" s="121"/>
      <c r="I280" s="121"/>
      <c r="J280" s="121"/>
      <c r="K280" s="123"/>
    </row>
    <row r="281" spans="2:11" ht="15" thickBot="1" x14ac:dyDescent="0.35">
      <c r="B281" s="117">
        <v>123</v>
      </c>
      <c r="C281" s="118"/>
      <c r="D281" s="120">
        <f t="shared" ref="D281" si="480">$Q$18</f>
        <v>15.588640673015377</v>
      </c>
      <c r="E281" s="120"/>
      <c r="F281" s="120">
        <f t="shared" ref="F281" si="481">($L$15/12)*J279</f>
        <v>6.0274303858891285</v>
      </c>
      <c r="G281" s="120"/>
      <c r="H281" s="120">
        <f t="shared" ref="H281" si="482">D281-F281</f>
        <v>9.5612102871262472</v>
      </c>
      <c r="I281" s="120"/>
      <c r="J281" s="120">
        <f t="shared" ref="J281" si="483">J279-H281</f>
        <v>2182.2316573089201</v>
      </c>
      <c r="K281" s="122"/>
    </row>
    <row r="282" spans="2:11" ht="15" thickBot="1" x14ac:dyDescent="0.35">
      <c r="B282" s="41"/>
      <c r="C282" s="35"/>
      <c r="D282" s="121"/>
      <c r="E282" s="121"/>
      <c r="F282" s="121"/>
      <c r="G282" s="121"/>
      <c r="H282" s="121"/>
      <c r="I282" s="121"/>
      <c r="J282" s="121"/>
      <c r="K282" s="123"/>
    </row>
    <row r="283" spans="2:11" ht="15" thickBot="1" x14ac:dyDescent="0.35">
      <c r="B283" s="117">
        <v>124</v>
      </c>
      <c r="C283" s="118"/>
      <c r="D283" s="120">
        <f t="shared" ref="D283" si="484">$Q$18</f>
        <v>15.588640673015377</v>
      </c>
      <c r="E283" s="120"/>
      <c r="F283" s="120">
        <f t="shared" ref="F283" si="485">($L$15/12)*J281</f>
        <v>6.0011370575995313</v>
      </c>
      <c r="G283" s="120"/>
      <c r="H283" s="120">
        <f t="shared" ref="H283" si="486">D283-F283</f>
        <v>9.5875036154158444</v>
      </c>
      <c r="I283" s="120"/>
      <c r="J283" s="120">
        <f t="shared" ref="J283" si="487">J281-H283</f>
        <v>2172.6441536935044</v>
      </c>
      <c r="K283" s="122"/>
    </row>
    <row r="284" spans="2:11" ht="15" thickBot="1" x14ac:dyDescent="0.35">
      <c r="B284" s="41"/>
      <c r="C284" s="35"/>
      <c r="D284" s="121"/>
      <c r="E284" s="121"/>
      <c r="F284" s="121"/>
      <c r="G284" s="121"/>
      <c r="H284" s="121"/>
      <c r="I284" s="121"/>
      <c r="J284" s="121"/>
      <c r="K284" s="123"/>
    </row>
    <row r="285" spans="2:11" ht="15" thickBot="1" x14ac:dyDescent="0.35">
      <c r="B285" s="117">
        <v>125</v>
      </c>
      <c r="C285" s="118"/>
      <c r="D285" s="120">
        <f t="shared" ref="D285" si="488">$Q$18</f>
        <v>15.588640673015377</v>
      </c>
      <c r="E285" s="120"/>
      <c r="F285" s="120">
        <f t="shared" ref="F285" si="489">($L$15/12)*J283</f>
        <v>5.9747714226571382</v>
      </c>
      <c r="G285" s="120"/>
      <c r="H285" s="120">
        <f t="shared" ref="H285" si="490">D285-F285</f>
        <v>9.6138692503582384</v>
      </c>
      <c r="I285" s="120"/>
      <c r="J285" s="120">
        <f t="shared" ref="J285" si="491">J283-H285</f>
        <v>2163.0302844431462</v>
      </c>
      <c r="K285" s="122"/>
    </row>
    <row r="286" spans="2:11" ht="15" thickBot="1" x14ac:dyDescent="0.35">
      <c r="B286" s="41"/>
      <c r="C286" s="35"/>
      <c r="D286" s="121"/>
      <c r="E286" s="121"/>
      <c r="F286" s="121"/>
      <c r="G286" s="121"/>
      <c r="H286" s="121"/>
      <c r="I286" s="121"/>
      <c r="J286" s="121"/>
      <c r="K286" s="123"/>
    </row>
    <row r="287" spans="2:11" ht="15" thickBot="1" x14ac:dyDescent="0.35">
      <c r="B287" s="117">
        <v>126</v>
      </c>
      <c r="C287" s="118"/>
      <c r="D287" s="120">
        <f t="shared" ref="D287" si="492">$Q$18</f>
        <v>15.588640673015377</v>
      </c>
      <c r="E287" s="120"/>
      <c r="F287" s="120">
        <f t="shared" ref="F287" si="493">($L$15/12)*J285</f>
        <v>5.9483332822186528</v>
      </c>
      <c r="G287" s="120"/>
      <c r="H287" s="120">
        <f t="shared" ref="H287" si="494">D287-F287</f>
        <v>9.6403073907967247</v>
      </c>
      <c r="I287" s="120"/>
      <c r="J287" s="120">
        <f t="shared" ref="J287" si="495">J285-H287</f>
        <v>2153.3899770523494</v>
      </c>
      <c r="K287" s="122"/>
    </row>
    <row r="288" spans="2:11" ht="15" thickBot="1" x14ac:dyDescent="0.35">
      <c r="B288" s="41"/>
      <c r="C288" s="35"/>
      <c r="D288" s="121"/>
      <c r="E288" s="121"/>
      <c r="F288" s="121"/>
      <c r="G288" s="121"/>
      <c r="H288" s="121"/>
      <c r="I288" s="121"/>
      <c r="J288" s="121"/>
      <c r="K288" s="123"/>
    </row>
    <row r="289" spans="2:11" ht="15" thickBot="1" x14ac:dyDescent="0.35">
      <c r="B289" s="117">
        <v>127</v>
      </c>
      <c r="C289" s="118"/>
      <c r="D289" s="120">
        <f t="shared" ref="D289" si="496">$Q$18</f>
        <v>15.588640673015377</v>
      </c>
      <c r="E289" s="120"/>
      <c r="F289" s="120">
        <f t="shared" ref="F289" si="497">($L$15/12)*J287</f>
        <v>5.9218224368939616</v>
      </c>
      <c r="G289" s="120"/>
      <c r="H289" s="120">
        <f t="shared" ref="H289" si="498">D289-F289</f>
        <v>9.666818236121415</v>
      </c>
      <c r="I289" s="120"/>
      <c r="J289" s="120">
        <f t="shared" ref="J289" si="499">J287-H289</f>
        <v>2143.7231588162281</v>
      </c>
      <c r="K289" s="122"/>
    </row>
    <row r="290" spans="2:11" ht="15" thickBot="1" x14ac:dyDescent="0.35">
      <c r="B290" s="41"/>
      <c r="C290" s="35"/>
      <c r="D290" s="121"/>
      <c r="E290" s="121"/>
      <c r="F290" s="121"/>
      <c r="G290" s="121"/>
      <c r="H290" s="121"/>
      <c r="I290" s="121"/>
      <c r="J290" s="121"/>
      <c r="K290" s="123"/>
    </row>
    <row r="291" spans="2:11" ht="15" thickBot="1" x14ac:dyDescent="0.35">
      <c r="B291" s="117">
        <v>128</v>
      </c>
      <c r="C291" s="118"/>
      <c r="D291" s="120">
        <f t="shared" ref="D291" si="500">$Q$18</f>
        <v>15.588640673015377</v>
      </c>
      <c r="E291" s="120"/>
      <c r="F291" s="120">
        <f t="shared" ref="F291" si="501">($L$15/12)*J289</f>
        <v>5.8952386867446274</v>
      </c>
      <c r="G291" s="120"/>
      <c r="H291" s="120">
        <f t="shared" ref="H291" si="502">D291-F291</f>
        <v>9.6934019862707501</v>
      </c>
      <c r="I291" s="120"/>
      <c r="J291" s="120">
        <f t="shared" ref="J291" si="503">J289-H291</f>
        <v>2134.0297568299575</v>
      </c>
      <c r="K291" s="122"/>
    </row>
    <row r="292" spans="2:11" ht="15" thickBot="1" x14ac:dyDescent="0.35">
      <c r="B292" s="41"/>
      <c r="C292" s="35"/>
      <c r="D292" s="121"/>
      <c r="E292" s="121"/>
      <c r="F292" s="121"/>
      <c r="G292" s="121"/>
      <c r="H292" s="121"/>
      <c r="I292" s="121"/>
      <c r="J292" s="121"/>
      <c r="K292" s="123"/>
    </row>
    <row r="293" spans="2:11" ht="15" thickBot="1" x14ac:dyDescent="0.35">
      <c r="B293" s="117">
        <v>129</v>
      </c>
      <c r="C293" s="118"/>
      <c r="D293" s="120">
        <f t="shared" ref="D293" si="504">$Q$18</f>
        <v>15.588640673015377</v>
      </c>
      <c r="E293" s="120"/>
      <c r="F293" s="120">
        <f t="shared" ref="F293" si="505">($L$15/12)*J291</f>
        <v>5.8685818312823841</v>
      </c>
      <c r="G293" s="120"/>
      <c r="H293" s="120">
        <f t="shared" ref="H293" si="506">D293-F293</f>
        <v>9.7200588417329925</v>
      </c>
      <c r="I293" s="120"/>
      <c r="J293" s="120">
        <f t="shared" ref="J293" si="507">J291-H293</f>
        <v>2124.3096979882243</v>
      </c>
      <c r="K293" s="122"/>
    </row>
    <row r="294" spans="2:11" ht="15" thickBot="1" x14ac:dyDescent="0.35">
      <c r="B294" s="41"/>
      <c r="C294" s="35"/>
      <c r="D294" s="121"/>
      <c r="E294" s="121"/>
      <c r="F294" s="121"/>
      <c r="G294" s="121"/>
      <c r="H294" s="121"/>
      <c r="I294" s="121"/>
      <c r="J294" s="121"/>
      <c r="K294" s="123"/>
    </row>
    <row r="295" spans="2:11" ht="15" thickBot="1" x14ac:dyDescent="0.35">
      <c r="B295" s="117">
        <v>130</v>
      </c>
      <c r="C295" s="118"/>
      <c r="D295" s="120">
        <f t="shared" ref="D295" si="508">$Q$18</f>
        <v>15.588640673015377</v>
      </c>
      <c r="E295" s="120"/>
      <c r="F295" s="120">
        <f t="shared" ref="F295" si="509">($L$15/12)*J293</f>
        <v>5.8418516694676175</v>
      </c>
      <c r="G295" s="120"/>
      <c r="H295" s="120">
        <f t="shared" ref="H295" si="510">D295-F295</f>
        <v>9.7467890035477591</v>
      </c>
      <c r="I295" s="120"/>
      <c r="J295" s="120">
        <f t="shared" ref="J295" si="511">J293-H295</f>
        <v>2114.5629089846766</v>
      </c>
      <c r="K295" s="122"/>
    </row>
    <row r="296" spans="2:11" ht="15" thickBot="1" x14ac:dyDescent="0.35">
      <c r="B296" s="41"/>
      <c r="C296" s="35"/>
      <c r="D296" s="121"/>
      <c r="E296" s="121"/>
      <c r="F296" s="121"/>
      <c r="G296" s="121"/>
      <c r="H296" s="121"/>
      <c r="I296" s="121"/>
      <c r="J296" s="121"/>
      <c r="K296" s="123"/>
    </row>
    <row r="297" spans="2:11" ht="15" thickBot="1" x14ac:dyDescent="0.35">
      <c r="B297" s="117">
        <v>131</v>
      </c>
      <c r="C297" s="118"/>
      <c r="D297" s="120">
        <f t="shared" ref="D297" si="512">$Q$18</f>
        <v>15.588640673015377</v>
      </c>
      <c r="E297" s="120"/>
      <c r="F297" s="120">
        <f t="shared" ref="F297" si="513">($L$15/12)*J295</f>
        <v>5.8150479997078612</v>
      </c>
      <c r="G297" s="120"/>
      <c r="H297" s="120">
        <f t="shared" ref="H297" si="514">D297-F297</f>
        <v>9.7735926733075154</v>
      </c>
      <c r="I297" s="120"/>
      <c r="J297" s="120">
        <f t="shared" ref="J297" si="515">J295-H297</f>
        <v>2104.789316311369</v>
      </c>
      <c r="K297" s="122"/>
    </row>
    <row r="298" spans="2:11" ht="15" thickBot="1" x14ac:dyDescent="0.35">
      <c r="B298" s="41"/>
      <c r="C298" s="35"/>
      <c r="D298" s="121"/>
      <c r="E298" s="121"/>
      <c r="F298" s="121"/>
      <c r="G298" s="121"/>
      <c r="H298" s="121"/>
      <c r="I298" s="121"/>
      <c r="J298" s="121"/>
      <c r="K298" s="123"/>
    </row>
    <row r="299" spans="2:11" ht="15" thickBot="1" x14ac:dyDescent="0.35">
      <c r="B299" s="117">
        <v>132</v>
      </c>
      <c r="C299" s="118"/>
      <c r="D299" s="120">
        <f t="shared" ref="D299" si="516">$Q$18</f>
        <v>15.588640673015377</v>
      </c>
      <c r="E299" s="120"/>
      <c r="F299" s="120">
        <f t="shared" ref="F299" si="517">($L$15/12)*J297</f>
        <v>5.788170619856265</v>
      </c>
      <c r="G299" s="120"/>
      <c r="H299" s="120">
        <f t="shared" ref="H299" si="518">D299-F299</f>
        <v>9.8004700531591116</v>
      </c>
      <c r="I299" s="120"/>
      <c r="J299" s="120">
        <f t="shared" ref="J299" si="519">J297-H299</f>
        <v>2094.9888462582098</v>
      </c>
      <c r="K299" s="122"/>
    </row>
    <row r="300" spans="2:11" ht="15" thickBot="1" x14ac:dyDescent="0.35">
      <c r="B300" s="41"/>
      <c r="C300" s="35"/>
      <c r="D300" s="121"/>
      <c r="E300" s="121"/>
      <c r="F300" s="121"/>
      <c r="G300" s="121"/>
      <c r="H300" s="121"/>
      <c r="I300" s="121"/>
      <c r="J300" s="121"/>
      <c r="K300" s="123"/>
    </row>
    <row r="301" spans="2:11" ht="15" thickBot="1" x14ac:dyDescent="0.35">
      <c r="B301" s="117">
        <v>133</v>
      </c>
      <c r="C301" s="118"/>
      <c r="D301" s="120">
        <f t="shared" ref="D301" si="520">$Q$18</f>
        <v>15.588640673015377</v>
      </c>
      <c r="E301" s="120"/>
      <c r="F301" s="120">
        <f t="shared" ref="F301" si="521">($L$15/12)*J299</f>
        <v>5.7612193272100773</v>
      </c>
      <c r="G301" s="120"/>
      <c r="H301" s="120">
        <f t="shared" ref="H301" si="522">D301-F301</f>
        <v>9.8274213458052984</v>
      </c>
      <c r="I301" s="120"/>
      <c r="J301" s="120">
        <f t="shared" ref="J301" si="523">J299-H301</f>
        <v>2085.1614249124045</v>
      </c>
      <c r="K301" s="122"/>
    </row>
    <row r="302" spans="2:11" ht="15" thickBot="1" x14ac:dyDescent="0.35">
      <c r="B302" s="41"/>
      <c r="C302" s="35"/>
      <c r="D302" s="121"/>
      <c r="E302" s="121"/>
      <c r="F302" s="121"/>
      <c r="G302" s="121"/>
      <c r="H302" s="121"/>
      <c r="I302" s="121"/>
      <c r="J302" s="121"/>
      <c r="K302" s="123"/>
    </row>
    <row r="303" spans="2:11" ht="15" thickBot="1" x14ac:dyDescent="0.35">
      <c r="B303" s="117">
        <v>134</v>
      </c>
      <c r="C303" s="118"/>
      <c r="D303" s="120">
        <f t="shared" ref="D303" si="524">$Q$18</f>
        <v>15.588640673015377</v>
      </c>
      <c r="E303" s="120"/>
      <c r="F303" s="120">
        <f t="shared" ref="F303" si="525">($L$15/12)*J301</f>
        <v>5.7341939185091126</v>
      </c>
      <c r="G303" s="120"/>
      <c r="H303" s="120">
        <f t="shared" ref="H303" si="526">D303-F303</f>
        <v>9.8544467545062631</v>
      </c>
      <c r="I303" s="120"/>
      <c r="J303" s="120">
        <f t="shared" ref="J303" si="527">J301-H303</f>
        <v>2075.3069781578984</v>
      </c>
      <c r="K303" s="122"/>
    </row>
    <row r="304" spans="2:11" ht="15" thickBot="1" x14ac:dyDescent="0.35">
      <c r="B304" s="41"/>
      <c r="C304" s="35"/>
      <c r="D304" s="121"/>
      <c r="E304" s="121"/>
      <c r="F304" s="121"/>
      <c r="G304" s="121"/>
      <c r="H304" s="121"/>
      <c r="I304" s="121"/>
      <c r="J304" s="121"/>
      <c r="K304" s="123"/>
    </row>
    <row r="305" spans="2:11" ht="15" thickBot="1" x14ac:dyDescent="0.35">
      <c r="B305" s="117">
        <v>135</v>
      </c>
      <c r="C305" s="118"/>
      <c r="D305" s="120">
        <f t="shared" ref="D305" si="528">$Q$18</f>
        <v>15.588640673015377</v>
      </c>
      <c r="E305" s="120"/>
      <c r="F305" s="120">
        <f t="shared" ref="F305" si="529">($L$15/12)*J303</f>
        <v>5.7070941899342209</v>
      </c>
      <c r="G305" s="120"/>
      <c r="H305" s="120">
        <f t="shared" ref="H305" si="530">D305-F305</f>
        <v>9.8815464830811557</v>
      </c>
      <c r="I305" s="120"/>
      <c r="J305" s="120">
        <f t="shared" ref="J305" si="531">J303-H305</f>
        <v>2065.425431674817</v>
      </c>
      <c r="K305" s="122"/>
    </row>
    <row r="306" spans="2:11" ht="15" thickBot="1" x14ac:dyDescent="0.35">
      <c r="B306" s="41"/>
      <c r="C306" s="35"/>
      <c r="D306" s="121"/>
      <c r="E306" s="121"/>
      <c r="F306" s="121"/>
      <c r="G306" s="121"/>
      <c r="H306" s="121"/>
      <c r="I306" s="121"/>
      <c r="J306" s="121"/>
      <c r="K306" s="123"/>
    </row>
    <row r="307" spans="2:11" ht="15" thickBot="1" x14ac:dyDescent="0.35">
      <c r="B307" s="117">
        <v>136</v>
      </c>
      <c r="C307" s="118"/>
      <c r="D307" s="120">
        <f t="shared" ref="D307" si="532">$Q$18</f>
        <v>15.588640673015377</v>
      </c>
      <c r="E307" s="120"/>
      <c r="F307" s="120">
        <f t="shared" ref="F307" si="533">($L$15/12)*J305</f>
        <v>5.6799199371057476</v>
      </c>
      <c r="G307" s="120"/>
      <c r="H307" s="120">
        <f t="shared" ref="H307" si="534">D307-F307</f>
        <v>9.908720735909629</v>
      </c>
      <c r="I307" s="120"/>
      <c r="J307" s="120">
        <f t="shared" ref="J307" si="535">J305-H307</f>
        <v>2055.5167109389072</v>
      </c>
      <c r="K307" s="122"/>
    </row>
    <row r="308" spans="2:11" ht="15" thickBot="1" x14ac:dyDescent="0.35">
      <c r="B308" s="41"/>
      <c r="C308" s="35"/>
      <c r="D308" s="121"/>
      <c r="E308" s="121"/>
      <c r="F308" s="121"/>
      <c r="G308" s="121"/>
      <c r="H308" s="121"/>
      <c r="I308" s="121"/>
      <c r="J308" s="121"/>
      <c r="K308" s="123"/>
    </row>
    <row r="309" spans="2:11" ht="15" thickBot="1" x14ac:dyDescent="0.35">
      <c r="B309" s="117">
        <v>137</v>
      </c>
      <c r="C309" s="118"/>
      <c r="D309" s="120">
        <f t="shared" ref="D309" si="536">$Q$18</f>
        <v>15.588640673015377</v>
      </c>
      <c r="E309" s="120"/>
      <c r="F309" s="120">
        <f t="shared" ref="F309" si="537">($L$15/12)*J307</f>
        <v>5.6526709550819954</v>
      </c>
      <c r="G309" s="120"/>
      <c r="H309" s="120">
        <f t="shared" ref="H309" si="538">D309-F309</f>
        <v>9.9359697179333821</v>
      </c>
      <c r="I309" s="120"/>
      <c r="J309" s="120">
        <f t="shared" ref="J309" si="539">J307-H309</f>
        <v>2045.5807412209738</v>
      </c>
      <c r="K309" s="122"/>
    </row>
    <row r="310" spans="2:11" ht="15" thickBot="1" x14ac:dyDescent="0.35">
      <c r="B310" s="41"/>
      <c r="C310" s="35"/>
      <c r="D310" s="121"/>
      <c r="E310" s="121"/>
      <c r="F310" s="121"/>
      <c r="G310" s="121"/>
      <c r="H310" s="121"/>
      <c r="I310" s="121"/>
      <c r="J310" s="121"/>
      <c r="K310" s="123"/>
    </row>
    <row r="311" spans="2:11" ht="15" thickBot="1" x14ac:dyDescent="0.35">
      <c r="B311" s="117">
        <v>138</v>
      </c>
      <c r="C311" s="118"/>
      <c r="D311" s="120">
        <f t="shared" ref="D311" si="540">$Q$18</f>
        <v>15.588640673015377</v>
      </c>
      <c r="E311" s="120"/>
      <c r="F311" s="120">
        <f t="shared" ref="F311" si="541">($L$15/12)*J309</f>
        <v>5.6253470383576785</v>
      </c>
      <c r="G311" s="120"/>
      <c r="H311" s="120">
        <f t="shared" ref="H311" si="542">D311-F311</f>
        <v>9.963293634657699</v>
      </c>
      <c r="I311" s="120"/>
      <c r="J311" s="120">
        <f t="shared" ref="J311" si="543">J309-H311</f>
        <v>2035.6174475863161</v>
      </c>
      <c r="K311" s="122"/>
    </row>
    <row r="312" spans="2:11" ht="15" thickBot="1" x14ac:dyDescent="0.35">
      <c r="B312" s="41"/>
      <c r="C312" s="35"/>
      <c r="D312" s="121"/>
      <c r="E312" s="121"/>
      <c r="F312" s="121"/>
      <c r="G312" s="121"/>
      <c r="H312" s="121"/>
      <c r="I312" s="121"/>
      <c r="J312" s="121"/>
      <c r="K312" s="123"/>
    </row>
    <row r="313" spans="2:11" ht="15" thickBot="1" x14ac:dyDescent="0.35">
      <c r="B313" s="117">
        <v>139</v>
      </c>
      <c r="C313" s="118"/>
      <c r="D313" s="120">
        <f t="shared" ref="D313" si="544">$Q$18</f>
        <v>15.588640673015377</v>
      </c>
      <c r="E313" s="120"/>
      <c r="F313" s="120">
        <f t="shared" ref="F313" si="545">($L$15/12)*J311</f>
        <v>5.5979479808623696</v>
      </c>
      <c r="G313" s="120"/>
      <c r="H313" s="120">
        <f t="shared" ref="H313" si="546">D313-F313</f>
        <v>9.9906926921530079</v>
      </c>
      <c r="I313" s="120"/>
      <c r="J313" s="120">
        <f t="shared" ref="J313" si="547">J311-H313</f>
        <v>2025.626754894163</v>
      </c>
      <c r="K313" s="122"/>
    </row>
    <row r="314" spans="2:11" ht="15" thickBot="1" x14ac:dyDescent="0.35">
      <c r="B314" s="41"/>
      <c r="C314" s="35"/>
      <c r="D314" s="121"/>
      <c r="E314" s="121"/>
      <c r="F314" s="121"/>
      <c r="G314" s="121"/>
      <c r="H314" s="121"/>
      <c r="I314" s="121"/>
      <c r="J314" s="121"/>
      <c r="K314" s="123"/>
    </row>
    <row r="315" spans="2:11" ht="15" thickBot="1" x14ac:dyDescent="0.35">
      <c r="B315" s="117">
        <v>140</v>
      </c>
      <c r="C315" s="118"/>
      <c r="D315" s="120">
        <f t="shared" ref="D315" si="548">$Q$18</f>
        <v>15.588640673015377</v>
      </c>
      <c r="E315" s="120"/>
      <c r="F315" s="120">
        <f t="shared" ref="F315" si="549">($L$15/12)*J313</f>
        <v>5.5704735759589488</v>
      </c>
      <c r="G315" s="120"/>
      <c r="H315" s="120">
        <f t="shared" ref="H315" si="550">D315-F315</f>
        <v>10.018167097056427</v>
      </c>
      <c r="I315" s="120"/>
      <c r="J315" s="120">
        <f t="shared" ref="J315" si="551">J313-H315</f>
        <v>2015.6085877971066</v>
      </c>
      <c r="K315" s="122"/>
    </row>
    <row r="316" spans="2:11" ht="15" thickBot="1" x14ac:dyDescent="0.35">
      <c r="B316" s="41"/>
      <c r="C316" s="35"/>
      <c r="D316" s="121"/>
      <c r="E316" s="121"/>
      <c r="F316" s="121"/>
      <c r="G316" s="121"/>
      <c r="H316" s="121"/>
      <c r="I316" s="121"/>
      <c r="J316" s="121"/>
      <c r="K316" s="123"/>
    </row>
    <row r="317" spans="2:11" ht="15" thickBot="1" x14ac:dyDescent="0.35">
      <c r="B317" s="117">
        <v>141</v>
      </c>
      <c r="C317" s="118"/>
      <c r="D317" s="120">
        <f t="shared" ref="D317" si="552">$Q$18</f>
        <v>15.588640673015377</v>
      </c>
      <c r="E317" s="120"/>
      <c r="F317" s="120">
        <f t="shared" ref="F317" si="553">($L$15/12)*J315</f>
        <v>5.5429236164420432</v>
      </c>
      <c r="G317" s="120"/>
      <c r="H317" s="120">
        <f t="shared" ref="H317" si="554">D317-F317</f>
        <v>10.045717056573334</v>
      </c>
      <c r="I317" s="120"/>
      <c r="J317" s="120">
        <f t="shared" ref="J317" si="555">J315-H317</f>
        <v>2005.5628707405333</v>
      </c>
      <c r="K317" s="122"/>
    </row>
    <row r="318" spans="2:11" ht="15" thickBot="1" x14ac:dyDescent="0.35">
      <c r="B318" s="41"/>
      <c r="C318" s="35"/>
      <c r="D318" s="121"/>
      <c r="E318" s="121"/>
      <c r="F318" s="121"/>
      <c r="G318" s="121"/>
      <c r="H318" s="121"/>
      <c r="I318" s="121"/>
      <c r="J318" s="121"/>
      <c r="K318" s="123"/>
    </row>
    <row r="319" spans="2:11" ht="15" thickBot="1" x14ac:dyDescent="0.35">
      <c r="B319" s="117">
        <v>142</v>
      </c>
      <c r="C319" s="118"/>
      <c r="D319" s="120">
        <f t="shared" ref="D319" si="556">$Q$18</f>
        <v>15.588640673015377</v>
      </c>
      <c r="E319" s="120"/>
      <c r="F319" s="120">
        <f t="shared" ref="F319" si="557">($L$15/12)*J317</f>
        <v>5.5152978945364675</v>
      </c>
      <c r="G319" s="120"/>
      <c r="H319" s="120">
        <f t="shared" ref="H319" si="558">D319-F319</f>
        <v>10.07334277847891</v>
      </c>
      <c r="I319" s="120"/>
      <c r="J319" s="120">
        <f t="shared" ref="J319" si="559">J317-H319</f>
        <v>1995.4895279620544</v>
      </c>
      <c r="K319" s="122"/>
    </row>
    <row r="320" spans="2:11" ht="15" thickBot="1" x14ac:dyDescent="0.35">
      <c r="B320" s="41"/>
      <c r="C320" s="35"/>
      <c r="D320" s="121"/>
      <c r="E320" s="121"/>
      <c r="F320" s="121"/>
      <c r="G320" s="121"/>
      <c r="H320" s="121"/>
      <c r="I320" s="121"/>
      <c r="J320" s="121"/>
      <c r="K320" s="123"/>
    </row>
    <row r="321" spans="2:11" ht="15" thickBot="1" x14ac:dyDescent="0.35">
      <c r="B321" s="117">
        <v>143</v>
      </c>
      <c r="C321" s="118"/>
      <c r="D321" s="120">
        <f t="shared" ref="D321" si="560">$Q$18</f>
        <v>15.588640673015377</v>
      </c>
      <c r="E321" s="120"/>
      <c r="F321" s="120">
        <f t="shared" ref="F321" si="561">($L$15/12)*J319</f>
        <v>5.4875962018956503</v>
      </c>
      <c r="G321" s="120"/>
      <c r="H321" s="120">
        <f t="shared" ref="H321" si="562">D321-F321</f>
        <v>10.101044471119726</v>
      </c>
      <c r="I321" s="120"/>
      <c r="J321" s="120">
        <f t="shared" ref="J321" si="563">J319-H321</f>
        <v>1985.3884834909347</v>
      </c>
      <c r="K321" s="122"/>
    </row>
    <row r="322" spans="2:11" ht="15" thickBot="1" x14ac:dyDescent="0.35">
      <c r="B322" s="41"/>
      <c r="C322" s="35"/>
      <c r="D322" s="121"/>
      <c r="E322" s="121"/>
      <c r="F322" s="121"/>
      <c r="G322" s="121"/>
      <c r="H322" s="121"/>
      <c r="I322" s="121"/>
      <c r="J322" s="121"/>
      <c r="K322" s="123"/>
    </row>
    <row r="323" spans="2:11" ht="15" thickBot="1" x14ac:dyDescent="0.35">
      <c r="B323" s="117">
        <v>144</v>
      </c>
      <c r="C323" s="118"/>
      <c r="D323" s="120">
        <f t="shared" ref="D323" si="564">$Q$18</f>
        <v>15.588640673015377</v>
      </c>
      <c r="E323" s="120"/>
      <c r="F323" s="120">
        <f t="shared" ref="F323" si="565">($L$15/12)*J321</f>
        <v>5.4598183296000711</v>
      </c>
      <c r="G323" s="120"/>
      <c r="H323" s="120">
        <f t="shared" ref="H323" si="566">D323-F323</f>
        <v>10.128822343415305</v>
      </c>
      <c r="I323" s="120"/>
      <c r="J323" s="120">
        <f t="shared" ref="J323" si="567">J321-H323</f>
        <v>1975.2596611475194</v>
      </c>
      <c r="K323" s="122"/>
    </row>
    <row r="324" spans="2:11" ht="15" thickBot="1" x14ac:dyDescent="0.35">
      <c r="B324" s="41"/>
      <c r="C324" s="35"/>
      <c r="D324" s="121"/>
      <c r="E324" s="121"/>
      <c r="F324" s="121"/>
      <c r="G324" s="121"/>
      <c r="H324" s="121"/>
      <c r="I324" s="121"/>
      <c r="J324" s="121"/>
      <c r="K324" s="123"/>
    </row>
    <row r="325" spans="2:11" ht="15" thickBot="1" x14ac:dyDescent="0.35">
      <c r="B325" s="117">
        <v>145</v>
      </c>
      <c r="C325" s="118"/>
      <c r="D325" s="120">
        <f t="shared" ref="D325" si="568">$Q$18</f>
        <v>15.588640673015377</v>
      </c>
      <c r="E325" s="120"/>
      <c r="F325" s="120">
        <f t="shared" ref="F325" si="569">($L$15/12)*J323</f>
        <v>5.4319640681556791</v>
      </c>
      <c r="G325" s="120"/>
      <c r="H325" s="120">
        <f t="shared" ref="H325" si="570">D325-F325</f>
        <v>10.156676604859697</v>
      </c>
      <c r="I325" s="120"/>
      <c r="J325" s="120">
        <f t="shared" ref="J325" si="571">J323-H325</f>
        <v>1965.1029845426597</v>
      </c>
      <c r="K325" s="122"/>
    </row>
    <row r="326" spans="2:11" ht="15" thickBot="1" x14ac:dyDescent="0.35">
      <c r="B326" s="41"/>
      <c r="C326" s="35"/>
      <c r="D326" s="121"/>
      <c r="E326" s="121"/>
      <c r="F326" s="121"/>
      <c r="G326" s="121"/>
      <c r="H326" s="121"/>
      <c r="I326" s="121"/>
      <c r="J326" s="121"/>
      <c r="K326" s="123"/>
    </row>
    <row r="327" spans="2:11" ht="15" thickBot="1" x14ac:dyDescent="0.35">
      <c r="B327" s="117">
        <v>146</v>
      </c>
      <c r="C327" s="118"/>
      <c r="D327" s="120">
        <f t="shared" ref="D327" si="572">$Q$18</f>
        <v>15.588640673015377</v>
      </c>
      <c r="E327" s="120"/>
      <c r="F327" s="120">
        <f t="shared" ref="F327" si="573">($L$15/12)*J325</f>
        <v>5.404033207492315</v>
      </c>
      <c r="G327" s="120"/>
      <c r="H327" s="120">
        <f t="shared" ref="H327" si="574">D327-F327</f>
        <v>10.184607465523062</v>
      </c>
      <c r="I327" s="120"/>
      <c r="J327" s="120">
        <f t="shared" ref="J327" si="575">J325-H327</f>
        <v>1954.9183770771367</v>
      </c>
      <c r="K327" s="122"/>
    </row>
    <row r="328" spans="2:11" ht="15" thickBot="1" x14ac:dyDescent="0.35">
      <c r="B328" s="41"/>
      <c r="C328" s="35"/>
      <c r="D328" s="121"/>
      <c r="E328" s="121"/>
      <c r="F328" s="121"/>
      <c r="G328" s="121"/>
      <c r="H328" s="121"/>
      <c r="I328" s="121"/>
      <c r="J328" s="121"/>
      <c r="K328" s="123"/>
    </row>
    <row r="329" spans="2:11" ht="15" thickBot="1" x14ac:dyDescent="0.35">
      <c r="B329" s="117">
        <v>147</v>
      </c>
      <c r="C329" s="118"/>
      <c r="D329" s="120">
        <f t="shared" ref="D329" si="576">$Q$18</f>
        <v>15.588640673015377</v>
      </c>
      <c r="E329" s="120"/>
      <c r="F329" s="120">
        <f t="shared" ref="F329" si="577">($L$15/12)*J327</f>
        <v>5.3760255369621266</v>
      </c>
      <c r="G329" s="120"/>
      <c r="H329" s="120">
        <f t="shared" ref="H329" si="578">D329-F329</f>
        <v>10.21261513605325</v>
      </c>
      <c r="I329" s="120"/>
      <c r="J329" s="120">
        <f t="shared" ref="J329" si="579">J327-H329</f>
        <v>1944.7057619410834</v>
      </c>
      <c r="K329" s="122"/>
    </row>
    <row r="330" spans="2:11" ht="15" thickBot="1" x14ac:dyDescent="0.35">
      <c r="B330" s="41"/>
      <c r="C330" s="35"/>
      <c r="D330" s="121"/>
      <c r="E330" s="121"/>
      <c r="F330" s="121"/>
      <c r="G330" s="121"/>
      <c r="H330" s="121"/>
      <c r="I330" s="121"/>
      <c r="J330" s="121"/>
      <c r="K330" s="123"/>
    </row>
    <row r="331" spans="2:11" ht="15" thickBot="1" x14ac:dyDescent="0.35">
      <c r="B331" s="117">
        <v>148</v>
      </c>
      <c r="C331" s="118"/>
      <c r="D331" s="120">
        <f t="shared" ref="D331" si="580">$Q$18</f>
        <v>15.588640673015377</v>
      </c>
      <c r="E331" s="120"/>
      <c r="F331" s="120">
        <f t="shared" ref="F331" si="581">($L$15/12)*J329</f>
        <v>5.3479408453379804</v>
      </c>
      <c r="G331" s="120"/>
      <c r="H331" s="120">
        <f t="shared" ref="H331" si="582">D331-F331</f>
        <v>10.240699827677396</v>
      </c>
      <c r="I331" s="120"/>
      <c r="J331" s="120">
        <f t="shared" ref="J331" si="583">J329-H331</f>
        <v>1934.465062113406</v>
      </c>
      <c r="K331" s="122"/>
    </row>
    <row r="332" spans="2:11" ht="15" thickBot="1" x14ac:dyDescent="0.35">
      <c r="B332" s="41"/>
      <c r="C332" s="35"/>
      <c r="D332" s="121"/>
      <c r="E332" s="121"/>
      <c r="F332" s="121"/>
      <c r="G332" s="121"/>
      <c r="H332" s="121"/>
      <c r="I332" s="121"/>
      <c r="J332" s="121"/>
      <c r="K332" s="123"/>
    </row>
    <row r="333" spans="2:11" ht="15" thickBot="1" x14ac:dyDescent="0.35">
      <c r="B333" s="117">
        <v>149</v>
      </c>
      <c r="C333" s="118"/>
      <c r="D333" s="120">
        <f t="shared" ref="D333" si="584">$Q$18</f>
        <v>15.588640673015377</v>
      </c>
      <c r="E333" s="120"/>
      <c r="F333" s="120">
        <f t="shared" ref="F333" si="585">($L$15/12)*J331</f>
        <v>5.3197789208118671</v>
      </c>
      <c r="G333" s="120"/>
      <c r="H333" s="120">
        <f t="shared" ref="H333" si="586">D333-F333</f>
        <v>10.268861752203509</v>
      </c>
      <c r="I333" s="120"/>
      <c r="J333" s="120">
        <f t="shared" ref="J333" si="587">J331-H333</f>
        <v>1924.1962003612025</v>
      </c>
      <c r="K333" s="122"/>
    </row>
    <row r="334" spans="2:11" ht="15" thickBot="1" x14ac:dyDescent="0.35">
      <c r="B334" s="41"/>
      <c r="C334" s="35"/>
      <c r="D334" s="121"/>
      <c r="E334" s="121"/>
      <c r="F334" s="121"/>
      <c r="G334" s="121"/>
      <c r="H334" s="121"/>
      <c r="I334" s="121"/>
      <c r="J334" s="121"/>
      <c r="K334" s="123"/>
    </row>
    <row r="335" spans="2:11" ht="15" thickBot="1" x14ac:dyDescent="0.35">
      <c r="B335" s="117">
        <v>150</v>
      </c>
      <c r="C335" s="118"/>
      <c r="D335" s="120">
        <f t="shared" ref="D335" si="588">$Q$18</f>
        <v>15.588640673015377</v>
      </c>
      <c r="E335" s="120"/>
      <c r="F335" s="120">
        <f t="shared" ref="F335" si="589">($L$15/12)*J333</f>
        <v>5.2915395509933072</v>
      </c>
      <c r="G335" s="120"/>
      <c r="H335" s="120">
        <f t="shared" ref="H335" si="590">D335-F335</f>
        <v>10.29710112202207</v>
      </c>
      <c r="I335" s="120"/>
      <c r="J335" s="120">
        <f t="shared" ref="J335" si="591">J333-H335</f>
        <v>1913.8990992391805</v>
      </c>
      <c r="K335" s="122"/>
    </row>
    <row r="336" spans="2:11" ht="15" thickBot="1" x14ac:dyDescent="0.35">
      <c r="B336" s="41"/>
      <c r="C336" s="35"/>
      <c r="D336" s="121"/>
      <c r="E336" s="121"/>
      <c r="F336" s="121"/>
      <c r="G336" s="121"/>
      <c r="H336" s="121"/>
      <c r="I336" s="121"/>
      <c r="J336" s="121"/>
      <c r="K336" s="123"/>
    </row>
    <row r="337" spans="2:11" ht="15" thickBot="1" x14ac:dyDescent="0.35">
      <c r="B337" s="117">
        <v>151</v>
      </c>
      <c r="C337" s="118"/>
      <c r="D337" s="120">
        <f t="shared" ref="D337" si="592">$Q$18</f>
        <v>15.588640673015377</v>
      </c>
      <c r="E337" s="120"/>
      <c r="F337" s="120">
        <f t="shared" ref="F337" si="593">($L$15/12)*J335</f>
        <v>5.2632225229077472</v>
      </c>
      <c r="G337" s="120"/>
      <c r="H337" s="120">
        <f t="shared" ref="H337" si="594">D337-F337</f>
        <v>10.32541815010763</v>
      </c>
      <c r="I337" s="120"/>
      <c r="J337" s="120">
        <f t="shared" ref="J337" si="595">J335-H337</f>
        <v>1903.5736810890728</v>
      </c>
      <c r="K337" s="122"/>
    </row>
    <row r="338" spans="2:11" ht="15" thickBot="1" x14ac:dyDescent="0.35">
      <c r="B338" s="41"/>
      <c r="C338" s="35"/>
      <c r="D338" s="121"/>
      <c r="E338" s="121"/>
      <c r="F338" s="121"/>
      <c r="G338" s="121"/>
      <c r="H338" s="121"/>
      <c r="I338" s="121"/>
      <c r="J338" s="121"/>
      <c r="K338" s="123"/>
    </row>
    <row r="339" spans="2:11" ht="15" thickBot="1" x14ac:dyDescent="0.35">
      <c r="B339" s="117">
        <v>152</v>
      </c>
      <c r="C339" s="118"/>
      <c r="D339" s="120">
        <f t="shared" ref="D339" si="596">$Q$18</f>
        <v>15.588640673015377</v>
      </c>
      <c r="E339" s="120"/>
      <c r="F339" s="120">
        <f t="shared" ref="F339" si="597">($L$15/12)*J337</f>
        <v>5.2348276229949509</v>
      </c>
      <c r="G339" s="120"/>
      <c r="H339" s="120">
        <f t="shared" ref="H339" si="598">D339-F339</f>
        <v>10.353813050020426</v>
      </c>
      <c r="I339" s="120"/>
      <c r="J339" s="120">
        <f t="shared" ref="J339" si="599">J337-H339</f>
        <v>1893.2198680390525</v>
      </c>
      <c r="K339" s="122"/>
    </row>
    <row r="340" spans="2:11" ht="15" thickBot="1" x14ac:dyDescent="0.35">
      <c r="B340" s="41"/>
      <c r="C340" s="35"/>
      <c r="D340" s="121"/>
      <c r="E340" s="121"/>
      <c r="F340" s="121"/>
      <c r="G340" s="121"/>
      <c r="H340" s="121"/>
      <c r="I340" s="121"/>
      <c r="J340" s="121"/>
      <c r="K340" s="123"/>
    </row>
    <row r="341" spans="2:11" ht="15" thickBot="1" x14ac:dyDescent="0.35">
      <c r="B341" s="117">
        <v>153</v>
      </c>
      <c r="C341" s="118"/>
      <c r="D341" s="120">
        <f t="shared" ref="D341" si="600">$Q$18</f>
        <v>15.588640673015377</v>
      </c>
      <c r="E341" s="120"/>
      <c r="F341" s="120">
        <f t="shared" ref="F341" si="601">($L$15/12)*J339</f>
        <v>5.2063546371073945</v>
      </c>
      <c r="G341" s="120"/>
      <c r="H341" s="120">
        <f t="shared" ref="H341" si="602">D341-F341</f>
        <v>10.382286035907981</v>
      </c>
      <c r="I341" s="120"/>
      <c r="J341" s="120">
        <f t="shared" ref="J341" si="603">J339-H341</f>
        <v>1882.8375820031445</v>
      </c>
      <c r="K341" s="122"/>
    </row>
    <row r="342" spans="2:11" ht="15" thickBot="1" x14ac:dyDescent="0.35">
      <c r="B342" s="41"/>
      <c r="C342" s="35"/>
      <c r="D342" s="121"/>
      <c r="E342" s="121"/>
      <c r="F342" s="121"/>
      <c r="G342" s="121"/>
      <c r="H342" s="121"/>
      <c r="I342" s="121"/>
      <c r="J342" s="121"/>
      <c r="K342" s="123"/>
    </row>
    <row r="343" spans="2:11" ht="15" thickBot="1" x14ac:dyDescent="0.35">
      <c r="B343" s="117">
        <v>154</v>
      </c>
      <c r="C343" s="118"/>
      <c r="D343" s="120">
        <f t="shared" ref="D343" si="604">$Q$18</f>
        <v>15.588640673015377</v>
      </c>
      <c r="E343" s="120"/>
      <c r="F343" s="120">
        <f t="shared" ref="F343" si="605">($L$15/12)*J341</f>
        <v>5.1778033505086478</v>
      </c>
      <c r="G343" s="120"/>
      <c r="H343" s="120">
        <f t="shared" ref="H343" si="606">D343-F343</f>
        <v>10.41083732250673</v>
      </c>
      <c r="I343" s="120"/>
      <c r="J343" s="120">
        <f t="shared" ref="J343" si="607">J341-H343</f>
        <v>1872.4267446806377</v>
      </c>
      <c r="K343" s="122"/>
    </row>
    <row r="344" spans="2:11" ht="15" thickBot="1" x14ac:dyDescent="0.35">
      <c r="B344" s="41"/>
      <c r="C344" s="35"/>
      <c r="D344" s="121"/>
      <c r="E344" s="121"/>
      <c r="F344" s="121"/>
      <c r="G344" s="121"/>
      <c r="H344" s="121"/>
      <c r="I344" s="121"/>
      <c r="J344" s="121"/>
      <c r="K344" s="123"/>
    </row>
    <row r="345" spans="2:11" ht="15" thickBot="1" x14ac:dyDescent="0.35">
      <c r="B345" s="117">
        <v>155</v>
      </c>
      <c r="C345" s="118"/>
      <c r="D345" s="120">
        <f t="shared" ref="D345" si="608">$Q$18</f>
        <v>15.588640673015377</v>
      </c>
      <c r="E345" s="120"/>
      <c r="F345" s="120">
        <f t="shared" ref="F345" si="609">($L$15/12)*J343</f>
        <v>5.1491735478717544</v>
      </c>
      <c r="G345" s="120"/>
      <c r="H345" s="120">
        <f t="shared" ref="H345" si="610">D345-F345</f>
        <v>10.439467125143622</v>
      </c>
      <c r="I345" s="120"/>
      <c r="J345" s="120">
        <f t="shared" ref="J345" si="611">J343-H345</f>
        <v>1861.9872775554941</v>
      </c>
      <c r="K345" s="122"/>
    </row>
    <row r="346" spans="2:11" ht="15" thickBot="1" x14ac:dyDescent="0.35">
      <c r="B346" s="41"/>
      <c r="C346" s="35"/>
      <c r="D346" s="121"/>
      <c r="E346" s="121"/>
      <c r="F346" s="121"/>
      <c r="G346" s="121"/>
      <c r="H346" s="121"/>
      <c r="I346" s="121"/>
      <c r="J346" s="121"/>
      <c r="K346" s="123"/>
    </row>
    <row r="347" spans="2:11" ht="15" thickBot="1" x14ac:dyDescent="0.35">
      <c r="B347" s="117">
        <v>156</v>
      </c>
      <c r="C347" s="118"/>
      <c r="D347" s="120">
        <f t="shared" ref="D347" si="612">$Q$18</f>
        <v>15.588640673015377</v>
      </c>
      <c r="E347" s="120"/>
      <c r="F347" s="120">
        <f t="shared" ref="F347" si="613">($L$15/12)*J345</f>
        <v>5.1204650132776095</v>
      </c>
      <c r="G347" s="120"/>
      <c r="H347" s="120">
        <f t="shared" ref="H347" si="614">D347-F347</f>
        <v>10.468175659737767</v>
      </c>
      <c r="I347" s="120"/>
      <c r="J347" s="120">
        <f t="shared" ref="J347" si="615">J345-H347</f>
        <v>1851.5191018957562</v>
      </c>
      <c r="K347" s="122"/>
    </row>
    <row r="348" spans="2:11" ht="15" thickBot="1" x14ac:dyDescent="0.35">
      <c r="B348" s="41"/>
      <c r="C348" s="35"/>
      <c r="D348" s="121"/>
      <c r="E348" s="121"/>
      <c r="F348" s="121"/>
      <c r="G348" s="121"/>
      <c r="H348" s="121"/>
      <c r="I348" s="121"/>
      <c r="J348" s="121"/>
      <c r="K348" s="123"/>
    </row>
    <row r="349" spans="2:11" ht="15" thickBot="1" x14ac:dyDescent="0.35">
      <c r="B349" s="117">
        <v>157</v>
      </c>
      <c r="C349" s="118"/>
      <c r="D349" s="120">
        <f t="shared" ref="D349" si="616">$Q$18</f>
        <v>15.588640673015377</v>
      </c>
      <c r="E349" s="120"/>
      <c r="F349" s="120">
        <f t="shared" ref="F349" si="617">($L$15/12)*J347</f>
        <v>5.0916775302133299</v>
      </c>
      <c r="G349" s="120"/>
      <c r="H349" s="120">
        <f t="shared" ref="H349" si="618">D349-F349</f>
        <v>10.496963142802047</v>
      </c>
      <c r="I349" s="120"/>
      <c r="J349" s="120">
        <f t="shared" ref="J349" si="619">J347-H349</f>
        <v>1841.0221387529541</v>
      </c>
      <c r="K349" s="122"/>
    </row>
    <row r="350" spans="2:11" ht="15" thickBot="1" x14ac:dyDescent="0.35">
      <c r="B350" s="41"/>
      <c r="C350" s="35"/>
      <c r="D350" s="121"/>
      <c r="E350" s="121"/>
      <c r="F350" s="121"/>
      <c r="G350" s="121"/>
      <c r="H350" s="121"/>
      <c r="I350" s="121"/>
      <c r="J350" s="121"/>
      <c r="K350" s="123"/>
    </row>
    <row r="351" spans="2:11" ht="15" thickBot="1" x14ac:dyDescent="0.35">
      <c r="B351" s="117">
        <v>158</v>
      </c>
      <c r="C351" s="118"/>
      <c r="D351" s="120">
        <f t="shared" ref="D351" si="620">$Q$18</f>
        <v>15.588640673015377</v>
      </c>
      <c r="E351" s="120"/>
      <c r="F351" s="120">
        <f t="shared" ref="F351" si="621">($L$15/12)*J349</f>
        <v>5.0628108815706243</v>
      </c>
      <c r="G351" s="120"/>
      <c r="H351" s="120">
        <f t="shared" ref="H351" si="622">D351-F351</f>
        <v>10.525829791444753</v>
      </c>
      <c r="I351" s="120"/>
      <c r="J351" s="120">
        <f t="shared" ref="J351" si="623">J349-H351</f>
        <v>1830.4963089615094</v>
      </c>
      <c r="K351" s="122"/>
    </row>
    <row r="352" spans="2:11" ht="15" thickBot="1" x14ac:dyDescent="0.35">
      <c r="B352" s="41"/>
      <c r="C352" s="35"/>
      <c r="D352" s="121"/>
      <c r="E352" s="121"/>
      <c r="F352" s="121"/>
      <c r="G352" s="121"/>
      <c r="H352" s="121"/>
      <c r="I352" s="121"/>
      <c r="J352" s="121"/>
      <c r="K352" s="123"/>
    </row>
    <row r="353" spans="2:11" ht="15" thickBot="1" x14ac:dyDescent="0.35">
      <c r="B353" s="117">
        <v>159</v>
      </c>
      <c r="C353" s="118"/>
      <c r="D353" s="120">
        <f t="shared" ref="D353" si="624">$Q$18</f>
        <v>15.588640673015377</v>
      </c>
      <c r="E353" s="120"/>
      <c r="F353" s="120">
        <f t="shared" ref="F353" si="625">($L$15/12)*J351</f>
        <v>5.0338648496441509</v>
      </c>
      <c r="G353" s="120"/>
      <c r="H353" s="120">
        <f t="shared" ref="H353" si="626">D353-F353</f>
        <v>10.554775823371227</v>
      </c>
      <c r="I353" s="120"/>
      <c r="J353" s="120">
        <f t="shared" ref="J353" si="627">J351-H353</f>
        <v>1819.9415331381381</v>
      </c>
      <c r="K353" s="122"/>
    </row>
    <row r="354" spans="2:11" ht="15" thickBot="1" x14ac:dyDescent="0.35">
      <c r="B354" s="41"/>
      <c r="C354" s="35"/>
      <c r="D354" s="121"/>
      <c r="E354" s="121"/>
      <c r="F354" s="121"/>
      <c r="G354" s="121"/>
      <c r="H354" s="121"/>
      <c r="I354" s="121"/>
      <c r="J354" s="121"/>
      <c r="K354" s="123"/>
    </row>
    <row r="355" spans="2:11" ht="15" thickBot="1" x14ac:dyDescent="0.35">
      <c r="B355" s="117">
        <v>160</v>
      </c>
      <c r="C355" s="118"/>
      <c r="D355" s="120">
        <f t="shared" ref="D355" si="628">$Q$18</f>
        <v>15.588640673015377</v>
      </c>
      <c r="E355" s="120"/>
      <c r="F355" s="120">
        <f t="shared" ref="F355" si="629">($L$15/12)*J353</f>
        <v>5.0048392161298798</v>
      </c>
      <c r="G355" s="120"/>
      <c r="H355" s="120">
        <f t="shared" ref="H355" si="630">D355-F355</f>
        <v>10.583801456885496</v>
      </c>
      <c r="I355" s="120"/>
      <c r="J355" s="120">
        <f t="shared" ref="J355" si="631">J353-H355</f>
        <v>1809.3577316812525</v>
      </c>
      <c r="K355" s="122"/>
    </row>
    <row r="356" spans="2:11" ht="15" thickBot="1" x14ac:dyDescent="0.35">
      <c r="B356" s="41"/>
      <c r="C356" s="35"/>
      <c r="D356" s="121"/>
      <c r="E356" s="121"/>
      <c r="F356" s="121"/>
      <c r="G356" s="121"/>
      <c r="H356" s="121"/>
      <c r="I356" s="121"/>
      <c r="J356" s="121"/>
      <c r="K356" s="123"/>
    </row>
    <row r="357" spans="2:11" ht="15" thickBot="1" x14ac:dyDescent="0.35">
      <c r="B357" s="117">
        <v>161</v>
      </c>
      <c r="C357" s="118"/>
      <c r="D357" s="120">
        <f t="shared" ref="D357" si="632">$Q$18</f>
        <v>15.588640673015377</v>
      </c>
      <c r="E357" s="120"/>
      <c r="F357" s="120">
        <f t="shared" ref="F357" si="633">($L$15/12)*J355</f>
        <v>4.9757337621234452</v>
      </c>
      <c r="G357" s="120"/>
      <c r="H357" s="120">
        <f t="shared" ref="H357" si="634">D357-F357</f>
        <v>10.612906910891931</v>
      </c>
      <c r="I357" s="120"/>
      <c r="J357" s="120">
        <f t="shared" ref="J357" si="635">J355-H357</f>
        <v>1798.7448247703605</v>
      </c>
      <c r="K357" s="122"/>
    </row>
    <row r="358" spans="2:11" ht="15" thickBot="1" x14ac:dyDescent="0.35">
      <c r="B358" s="41"/>
      <c r="C358" s="35"/>
      <c r="D358" s="121"/>
      <c r="E358" s="121"/>
      <c r="F358" s="121"/>
      <c r="G358" s="121"/>
      <c r="H358" s="121"/>
      <c r="I358" s="121"/>
      <c r="J358" s="121"/>
      <c r="K358" s="123"/>
    </row>
    <row r="359" spans="2:11" ht="15" thickBot="1" x14ac:dyDescent="0.35">
      <c r="B359" s="117">
        <v>162</v>
      </c>
      <c r="C359" s="118"/>
      <c r="D359" s="120">
        <f t="shared" ref="D359" si="636">$Q$18</f>
        <v>15.588640673015377</v>
      </c>
      <c r="E359" s="120"/>
      <c r="F359" s="120">
        <f t="shared" ref="F359" si="637">($L$15/12)*J357</f>
        <v>4.9465482681184918</v>
      </c>
      <c r="G359" s="120"/>
      <c r="H359" s="120">
        <f t="shared" ref="H359" si="638">D359-F359</f>
        <v>10.642092404896886</v>
      </c>
      <c r="I359" s="120"/>
      <c r="J359" s="120">
        <f t="shared" ref="J359" si="639">J357-H359</f>
        <v>1788.1027323654637</v>
      </c>
      <c r="K359" s="122"/>
    </row>
    <row r="360" spans="2:11" ht="15" thickBot="1" x14ac:dyDescent="0.35">
      <c r="B360" s="41"/>
      <c r="C360" s="35"/>
      <c r="D360" s="121"/>
      <c r="E360" s="121"/>
      <c r="F360" s="121"/>
      <c r="G360" s="121"/>
      <c r="H360" s="121"/>
      <c r="I360" s="121"/>
      <c r="J360" s="121"/>
      <c r="K360" s="123"/>
    </row>
    <row r="361" spans="2:11" ht="15" thickBot="1" x14ac:dyDescent="0.35">
      <c r="B361" s="117">
        <v>163</v>
      </c>
      <c r="C361" s="118"/>
      <c r="D361" s="120">
        <f t="shared" ref="D361" si="640">$Q$18</f>
        <v>15.588640673015377</v>
      </c>
      <c r="E361" s="120"/>
      <c r="F361" s="120">
        <f t="shared" ref="F361" si="641">($L$15/12)*J359</f>
        <v>4.9172825140050254</v>
      </c>
      <c r="G361" s="120"/>
      <c r="H361" s="120">
        <f t="shared" ref="H361" si="642">D361-F361</f>
        <v>10.671358159010351</v>
      </c>
      <c r="I361" s="120"/>
      <c r="J361" s="120">
        <f t="shared" ref="J361" si="643">J359-H361</f>
        <v>1777.4313742064533</v>
      </c>
      <c r="K361" s="122"/>
    </row>
    <row r="362" spans="2:11" ht="15" thickBot="1" x14ac:dyDescent="0.35">
      <c r="B362" s="41"/>
      <c r="C362" s="35"/>
      <c r="D362" s="121"/>
      <c r="E362" s="121"/>
      <c r="F362" s="121"/>
      <c r="G362" s="121"/>
      <c r="H362" s="121"/>
      <c r="I362" s="121"/>
      <c r="J362" s="121"/>
      <c r="K362" s="123"/>
    </row>
    <row r="363" spans="2:11" ht="15" thickBot="1" x14ac:dyDescent="0.35">
      <c r="B363" s="117">
        <v>164</v>
      </c>
      <c r="C363" s="118"/>
      <c r="D363" s="120">
        <f t="shared" ref="D363" si="644">$Q$18</f>
        <v>15.588640673015377</v>
      </c>
      <c r="E363" s="120"/>
      <c r="F363" s="120">
        <f t="shared" ref="F363" si="645">($L$15/12)*J361</f>
        <v>4.8879362790677465</v>
      </c>
      <c r="G363" s="120"/>
      <c r="H363" s="120">
        <f t="shared" ref="H363" si="646">D363-F363</f>
        <v>10.70070439394763</v>
      </c>
      <c r="I363" s="120"/>
      <c r="J363" s="120">
        <f t="shared" ref="J363" si="647">J361-H363</f>
        <v>1766.7306698125055</v>
      </c>
      <c r="K363" s="122"/>
    </row>
    <row r="364" spans="2:11" ht="15" thickBot="1" x14ac:dyDescent="0.35">
      <c r="B364" s="41"/>
      <c r="C364" s="35"/>
      <c r="D364" s="121"/>
      <c r="E364" s="121"/>
      <c r="F364" s="121"/>
      <c r="G364" s="121"/>
      <c r="H364" s="121"/>
      <c r="I364" s="121"/>
      <c r="J364" s="121"/>
      <c r="K364" s="123"/>
    </row>
    <row r="365" spans="2:11" ht="15" thickBot="1" x14ac:dyDescent="0.35">
      <c r="B365" s="117">
        <v>165</v>
      </c>
      <c r="C365" s="118"/>
      <c r="D365" s="120">
        <f t="shared" ref="D365" si="648">$Q$18</f>
        <v>15.588640673015377</v>
      </c>
      <c r="E365" s="120"/>
      <c r="F365" s="120">
        <f t="shared" ref="F365" si="649">($L$15/12)*J363</f>
        <v>4.8585093419843908</v>
      </c>
      <c r="G365" s="120"/>
      <c r="H365" s="120">
        <f t="shared" ref="H365" si="650">D365-F365</f>
        <v>10.730131331030986</v>
      </c>
      <c r="I365" s="120"/>
      <c r="J365" s="120">
        <f t="shared" ref="J365" si="651">J363-H365</f>
        <v>1756.0005384814745</v>
      </c>
      <c r="K365" s="122"/>
    </row>
    <row r="366" spans="2:11" ht="15" thickBot="1" x14ac:dyDescent="0.35">
      <c r="B366" s="41"/>
      <c r="C366" s="35"/>
      <c r="D366" s="121"/>
      <c r="E366" s="121"/>
      <c r="F366" s="121"/>
      <c r="G366" s="121"/>
      <c r="H366" s="121"/>
      <c r="I366" s="121"/>
      <c r="J366" s="121"/>
      <c r="K366" s="123"/>
    </row>
    <row r="367" spans="2:11" ht="15" thickBot="1" x14ac:dyDescent="0.35">
      <c r="B367" s="117">
        <v>166</v>
      </c>
      <c r="C367" s="118"/>
      <c r="D367" s="120">
        <f t="shared" ref="D367" si="652">$Q$18</f>
        <v>15.588640673015377</v>
      </c>
      <c r="E367" s="120"/>
      <c r="F367" s="120">
        <f t="shared" ref="F367" si="653">($L$15/12)*J365</f>
        <v>4.8290014808240551</v>
      </c>
      <c r="G367" s="120"/>
      <c r="H367" s="120">
        <f t="shared" ref="H367" si="654">D367-F367</f>
        <v>10.759639192191322</v>
      </c>
      <c r="I367" s="120"/>
      <c r="J367" s="120">
        <f t="shared" ref="J367" si="655">J365-H367</f>
        <v>1745.2408992892831</v>
      </c>
      <c r="K367" s="122"/>
    </row>
    <row r="368" spans="2:11" ht="15" thickBot="1" x14ac:dyDescent="0.35">
      <c r="B368" s="41"/>
      <c r="C368" s="35"/>
      <c r="D368" s="121"/>
      <c r="E368" s="121"/>
      <c r="F368" s="121"/>
      <c r="G368" s="121"/>
      <c r="H368" s="121"/>
      <c r="I368" s="121"/>
      <c r="J368" s="121"/>
      <c r="K368" s="123"/>
    </row>
    <row r="369" spans="2:11" ht="15" thickBot="1" x14ac:dyDescent="0.35">
      <c r="B369" s="117">
        <v>167</v>
      </c>
      <c r="C369" s="118"/>
      <c r="D369" s="120">
        <f t="shared" ref="D369" si="656">$Q$18</f>
        <v>15.588640673015377</v>
      </c>
      <c r="E369" s="120"/>
      <c r="F369" s="120">
        <f t="shared" ref="F369" si="657">($L$15/12)*J367</f>
        <v>4.7994124730455292</v>
      </c>
      <c r="G369" s="120"/>
      <c r="H369" s="120">
        <f t="shared" ref="H369" si="658">D369-F369</f>
        <v>10.789228199969848</v>
      </c>
      <c r="I369" s="120"/>
      <c r="J369" s="120">
        <f t="shared" ref="J369" si="659">J367-H369</f>
        <v>1734.4516710893133</v>
      </c>
      <c r="K369" s="122"/>
    </row>
    <row r="370" spans="2:11" ht="15" thickBot="1" x14ac:dyDescent="0.35">
      <c r="B370" s="41"/>
      <c r="C370" s="35"/>
      <c r="D370" s="121"/>
      <c r="E370" s="121"/>
      <c r="F370" s="121"/>
      <c r="G370" s="121"/>
      <c r="H370" s="121"/>
      <c r="I370" s="121"/>
      <c r="J370" s="121"/>
      <c r="K370" s="123"/>
    </row>
    <row r="371" spans="2:11" ht="15" thickBot="1" x14ac:dyDescent="0.35">
      <c r="B371" s="117">
        <v>168</v>
      </c>
      <c r="C371" s="118"/>
      <c r="D371" s="120">
        <f t="shared" ref="D371" si="660">$Q$18</f>
        <v>15.588640673015377</v>
      </c>
      <c r="E371" s="120"/>
      <c r="F371" s="120">
        <f t="shared" ref="F371" si="661">($L$15/12)*J369</f>
        <v>4.7697420954956122</v>
      </c>
      <c r="G371" s="120"/>
      <c r="H371" s="120">
        <f t="shared" ref="H371" si="662">D371-F371</f>
        <v>10.818898577519764</v>
      </c>
      <c r="I371" s="120"/>
      <c r="J371" s="120">
        <f t="shared" ref="J371" si="663">J369-H371</f>
        <v>1723.6327725117935</v>
      </c>
      <c r="K371" s="122"/>
    </row>
    <row r="372" spans="2:11" ht="15" thickBot="1" x14ac:dyDescent="0.35">
      <c r="B372" s="41"/>
      <c r="C372" s="35"/>
      <c r="D372" s="121"/>
      <c r="E372" s="121"/>
      <c r="F372" s="121"/>
      <c r="G372" s="121"/>
      <c r="H372" s="121"/>
      <c r="I372" s="121"/>
      <c r="J372" s="121"/>
      <c r="K372" s="123"/>
    </row>
    <row r="373" spans="2:11" ht="15" thickBot="1" x14ac:dyDescent="0.35">
      <c r="B373" s="117">
        <v>169</v>
      </c>
      <c r="C373" s="118"/>
      <c r="D373" s="120">
        <f t="shared" ref="D373" si="664">$Q$18</f>
        <v>15.588640673015377</v>
      </c>
      <c r="E373" s="120"/>
      <c r="F373" s="120">
        <f t="shared" ref="F373" si="665">($L$15/12)*J371</f>
        <v>4.7399901244074325</v>
      </c>
      <c r="G373" s="120"/>
      <c r="H373" s="120">
        <f t="shared" ref="H373" si="666">D373-F373</f>
        <v>10.848650548607944</v>
      </c>
      <c r="I373" s="120"/>
      <c r="J373" s="120">
        <f t="shared" ref="J373" si="667">J371-H373</f>
        <v>1712.7841219631855</v>
      </c>
      <c r="K373" s="122"/>
    </row>
    <row r="374" spans="2:11" ht="15" thickBot="1" x14ac:dyDescent="0.35">
      <c r="B374" s="41"/>
      <c r="C374" s="35"/>
      <c r="D374" s="121"/>
      <c r="E374" s="121"/>
      <c r="F374" s="121"/>
      <c r="G374" s="121"/>
      <c r="H374" s="121"/>
      <c r="I374" s="121"/>
      <c r="J374" s="121"/>
      <c r="K374" s="123"/>
    </row>
    <row r="375" spans="2:11" ht="15" thickBot="1" x14ac:dyDescent="0.35">
      <c r="B375" s="117">
        <v>170</v>
      </c>
      <c r="C375" s="118"/>
      <c r="D375" s="120">
        <f t="shared" ref="D375" si="668">$Q$18</f>
        <v>15.588640673015377</v>
      </c>
      <c r="E375" s="120"/>
      <c r="F375" s="120">
        <f t="shared" ref="F375" si="669">($L$15/12)*J373</f>
        <v>4.7101563353987608</v>
      </c>
      <c r="G375" s="120"/>
      <c r="H375" s="120">
        <f t="shared" ref="H375" si="670">D375-F375</f>
        <v>10.878484337616616</v>
      </c>
      <c r="I375" s="120"/>
      <c r="J375" s="120">
        <f t="shared" ref="J375" si="671">J373-H375</f>
        <v>1701.9056376255689</v>
      </c>
      <c r="K375" s="122"/>
    </row>
    <row r="376" spans="2:11" ht="15" thickBot="1" x14ac:dyDescent="0.35">
      <c r="B376" s="41"/>
      <c r="C376" s="35"/>
      <c r="D376" s="121"/>
      <c r="E376" s="121"/>
      <c r="F376" s="121"/>
      <c r="G376" s="121"/>
      <c r="H376" s="121"/>
      <c r="I376" s="121"/>
      <c r="J376" s="121"/>
      <c r="K376" s="123"/>
    </row>
    <row r="377" spans="2:11" ht="15" thickBot="1" x14ac:dyDescent="0.35">
      <c r="B377" s="117">
        <v>171</v>
      </c>
      <c r="C377" s="118"/>
      <c r="D377" s="120">
        <f t="shared" ref="D377" si="672">$Q$18</f>
        <v>15.588640673015377</v>
      </c>
      <c r="E377" s="120"/>
      <c r="F377" s="120">
        <f t="shared" ref="F377" si="673">($L$15/12)*J375</f>
        <v>4.6802405034703147</v>
      </c>
      <c r="G377" s="120"/>
      <c r="H377" s="120">
        <f t="shared" ref="H377" si="674">D377-F377</f>
        <v>10.908400169545061</v>
      </c>
      <c r="I377" s="120"/>
      <c r="J377" s="120">
        <f t="shared" ref="J377" si="675">J375-H377</f>
        <v>1690.9972374560239</v>
      </c>
      <c r="K377" s="122"/>
    </row>
    <row r="378" spans="2:11" ht="15" thickBot="1" x14ac:dyDescent="0.35">
      <c r="B378" s="41"/>
      <c r="C378" s="35"/>
      <c r="D378" s="121"/>
      <c r="E378" s="121"/>
      <c r="F378" s="121"/>
      <c r="G378" s="121"/>
      <c r="H378" s="121"/>
      <c r="I378" s="121"/>
      <c r="J378" s="121"/>
      <c r="K378" s="123"/>
    </row>
    <row r="379" spans="2:11" ht="15" thickBot="1" x14ac:dyDescent="0.35">
      <c r="B379" s="117">
        <v>172</v>
      </c>
      <c r="C379" s="118"/>
      <c r="D379" s="120">
        <f t="shared" ref="D379" si="676">$Q$18</f>
        <v>15.588640673015377</v>
      </c>
      <c r="E379" s="120"/>
      <c r="F379" s="120">
        <f t="shared" ref="F379" si="677">($L$15/12)*J377</f>
        <v>4.6502424030040661</v>
      </c>
      <c r="G379" s="120"/>
      <c r="H379" s="120">
        <f t="shared" ref="H379" si="678">D379-F379</f>
        <v>10.93839827001131</v>
      </c>
      <c r="I379" s="120"/>
      <c r="J379" s="120">
        <f t="shared" ref="J379" si="679">J377-H379</f>
        <v>1680.0588391860126</v>
      </c>
      <c r="K379" s="122"/>
    </row>
    <row r="380" spans="2:11" ht="15" thickBot="1" x14ac:dyDescent="0.35">
      <c r="B380" s="41"/>
      <c r="C380" s="35"/>
      <c r="D380" s="121"/>
      <c r="E380" s="121"/>
      <c r="F380" s="121"/>
      <c r="G380" s="121"/>
      <c r="H380" s="121"/>
      <c r="I380" s="121"/>
      <c r="J380" s="121"/>
      <c r="K380" s="123"/>
    </row>
    <row r="381" spans="2:11" ht="15" thickBot="1" x14ac:dyDescent="0.35">
      <c r="B381" s="117">
        <v>173</v>
      </c>
      <c r="C381" s="118"/>
      <c r="D381" s="120">
        <f t="shared" ref="D381" si="680">$Q$18</f>
        <v>15.588640673015377</v>
      </c>
      <c r="E381" s="120"/>
      <c r="F381" s="120">
        <f t="shared" ref="F381" si="681">($L$15/12)*J379</f>
        <v>4.6201618077615354</v>
      </c>
      <c r="G381" s="120"/>
      <c r="H381" s="120">
        <f t="shared" ref="H381" si="682">D381-F381</f>
        <v>10.968478865253841</v>
      </c>
      <c r="I381" s="120"/>
      <c r="J381" s="120">
        <f t="shared" ref="J381" si="683">J379-H381</f>
        <v>1669.0903603207587</v>
      </c>
      <c r="K381" s="122"/>
    </row>
    <row r="382" spans="2:11" ht="15" thickBot="1" x14ac:dyDescent="0.35">
      <c r="B382" s="41"/>
      <c r="C382" s="35"/>
      <c r="D382" s="121"/>
      <c r="E382" s="121"/>
      <c r="F382" s="121"/>
      <c r="G382" s="121"/>
      <c r="H382" s="121"/>
      <c r="I382" s="121"/>
      <c r="J382" s="121"/>
      <c r="K382" s="123"/>
    </row>
    <row r="383" spans="2:11" ht="15" thickBot="1" x14ac:dyDescent="0.35">
      <c r="B383" s="117">
        <v>174</v>
      </c>
      <c r="C383" s="118"/>
      <c r="D383" s="120">
        <f t="shared" ref="D383" si="684">$Q$18</f>
        <v>15.588640673015377</v>
      </c>
      <c r="E383" s="120"/>
      <c r="F383" s="120">
        <f t="shared" ref="F383" si="685">($L$15/12)*J381</f>
        <v>4.5899984908820866</v>
      </c>
      <c r="G383" s="120"/>
      <c r="H383" s="120">
        <f t="shared" ref="H383" si="686">D383-F383</f>
        <v>10.99864218213329</v>
      </c>
      <c r="I383" s="120"/>
      <c r="J383" s="120">
        <f t="shared" ref="J383" si="687">J381-H383</f>
        <v>1658.0917181386253</v>
      </c>
      <c r="K383" s="122"/>
    </row>
    <row r="384" spans="2:11" ht="15" thickBot="1" x14ac:dyDescent="0.35">
      <c r="B384" s="41"/>
      <c r="C384" s="35"/>
      <c r="D384" s="121"/>
      <c r="E384" s="121"/>
      <c r="F384" s="121"/>
      <c r="G384" s="121"/>
      <c r="H384" s="121"/>
      <c r="I384" s="121"/>
      <c r="J384" s="121"/>
      <c r="K384" s="123"/>
    </row>
    <row r="385" spans="2:11" ht="15" thickBot="1" x14ac:dyDescent="0.35">
      <c r="B385" s="117">
        <v>175</v>
      </c>
      <c r="C385" s="118"/>
      <c r="D385" s="120">
        <f t="shared" ref="D385" si="688">$Q$18</f>
        <v>15.588640673015377</v>
      </c>
      <c r="E385" s="120"/>
      <c r="F385" s="120">
        <f t="shared" ref="F385" si="689">($L$15/12)*J383</f>
        <v>4.5597522248812199</v>
      </c>
      <c r="G385" s="120"/>
      <c r="H385" s="120">
        <f t="shared" ref="H385" si="690">D385-F385</f>
        <v>11.028888448134158</v>
      </c>
      <c r="I385" s="120"/>
      <c r="J385" s="120">
        <f t="shared" ref="J385" si="691">J383-H385</f>
        <v>1647.0628296904911</v>
      </c>
      <c r="K385" s="122"/>
    </row>
    <row r="386" spans="2:11" ht="15" thickBot="1" x14ac:dyDescent="0.35">
      <c r="B386" s="41"/>
      <c r="C386" s="35"/>
      <c r="D386" s="121"/>
      <c r="E386" s="121"/>
      <c r="F386" s="121"/>
      <c r="G386" s="121"/>
      <c r="H386" s="121"/>
      <c r="I386" s="121"/>
      <c r="J386" s="121"/>
      <c r="K386" s="123"/>
    </row>
    <row r="387" spans="2:11" ht="15" thickBot="1" x14ac:dyDescent="0.35">
      <c r="B387" s="117">
        <v>176</v>
      </c>
      <c r="C387" s="118"/>
      <c r="D387" s="120">
        <f t="shared" ref="D387" si="692">$Q$18</f>
        <v>15.588640673015377</v>
      </c>
      <c r="E387" s="120"/>
      <c r="F387" s="120">
        <f t="shared" ref="F387" si="693">($L$15/12)*J385</f>
        <v>4.5294227816488508</v>
      </c>
      <c r="G387" s="120"/>
      <c r="H387" s="120">
        <f t="shared" ref="H387" si="694">D387-F387</f>
        <v>11.059217891366526</v>
      </c>
      <c r="I387" s="120"/>
      <c r="J387" s="120">
        <f t="shared" ref="J387" si="695">J385-H387</f>
        <v>1636.0036117991247</v>
      </c>
      <c r="K387" s="122"/>
    </row>
    <row r="388" spans="2:11" ht="15" thickBot="1" x14ac:dyDescent="0.35">
      <c r="B388" s="41"/>
      <c r="C388" s="35"/>
      <c r="D388" s="121"/>
      <c r="E388" s="121"/>
      <c r="F388" s="121"/>
      <c r="G388" s="121"/>
      <c r="H388" s="121"/>
      <c r="I388" s="121"/>
      <c r="J388" s="121"/>
      <c r="K388" s="123"/>
    </row>
    <row r="389" spans="2:11" ht="15" thickBot="1" x14ac:dyDescent="0.35">
      <c r="B389" s="117">
        <v>177</v>
      </c>
      <c r="C389" s="118"/>
      <c r="D389" s="120">
        <f t="shared" ref="D389" si="696">$Q$18</f>
        <v>15.588640673015377</v>
      </c>
      <c r="E389" s="120"/>
      <c r="F389" s="120">
        <f t="shared" ref="F389" si="697">($L$15/12)*J387</f>
        <v>4.499009932447593</v>
      </c>
      <c r="G389" s="120"/>
      <c r="H389" s="120">
        <f t="shared" ref="H389" si="698">D389-F389</f>
        <v>11.089630740567785</v>
      </c>
      <c r="I389" s="120"/>
      <c r="J389" s="120">
        <f t="shared" ref="J389" si="699">J387-H389</f>
        <v>1624.9139810585568</v>
      </c>
      <c r="K389" s="122"/>
    </row>
    <row r="390" spans="2:11" ht="15" thickBot="1" x14ac:dyDescent="0.35">
      <c r="B390" s="41"/>
      <c r="C390" s="35"/>
      <c r="D390" s="121"/>
      <c r="E390" s="121"/>
      <c r="F390" s="121"/>
      <c r="G390" s="121"/>
      <c r="H390" s="121"/>
      <c r="I390" s="121"/>
      <c r="J390" s="121"/>
      <c r="K390" s="123"/>
    </row>
    <row r="391" spans="2:11" ht="15" thickBot="1" x14ac:dyDescent="0.35">
      <c r="B391" s="117">
        <v>178</v>
      </c>
      <c r="C391" s="118"/>
      <c r="D391" s="120">
        <f t="shared" ref="D391" si="700">$Q$18</f>
        <v>15.588640673015377</v>
      </c>
      <c r="E391" s="120"/>
      <c r="F391" s="120">
        <f t="shared" ref="F391" si="701">($L$15/12)*J389</f>
        <v>4.4685134479110316</v>
      </c>
      <c r="G391" s="120"/>
      <c r="H391" s="120">
        <f t="shared" ref="H391" si="702">D391-F391</f>
        <v>11.120127225104344</v>
      </c>
      <c r="I391" s="120"/>
      <c r="J391" s="120">
        <f t="shared" ref="J391" si="703">J389-H391</f>
        <v>1613.7938538334524</v>
      </c>
      <c r="K391" s="122"/>
    </row>
    <row r="392" spans="2:11" ht="15" thickBot="1" x14ac:dyDescent="0.35">
      <c r="B392" s="41"/>
      <c r="C392" s="35"/>
      <c r="D392" s="121"/>
      <c r="E392" s="121"/>
      <c r="F392" s="121"/>
      <c r="G392" s="121"/>
      <c r="H392" s="121"/>
      <c r="I392" s="121"/>
      <c r="J392" s="121"/>
      <c r="K392" s="123"/>
    </row>
    <row r="393" spans="2:11" ht="15" thickBot="1" x14ac:dyDescent="0.35">
      <c r="B393" s="117">
        <v>179</v>
      </c>
      <c r="C393" s="118"/>
      <c r="D393" s="120">
        <f t="shared" ref="D393" si="704">$Q$18</f>
        <v>15.588640673015377</v>
      </c>
      <c r="E393" s="120"/>
      <c r="F393" s="120">
        <f t="shared" ref="F393" si="705">($L$15/12)*J391</f>
        <v>4.4379330980419942</v>
      </c>
      <c r="G393" s="120"/>
      <c r="H393" s="120">
        <f t="shared" ref="H393" si="706">D393-F393</f>
        <v>11.150707574973381</v>
      </c>
      <c r="I393" s="120"/>
      <c r="J393" s="120">
        <f t="shared" ref="J393" si="707">J391-H393</f>
        <v>1602.643146258479</v>
      </c>
      <c r="K393" s="122"/>
    </row>
    <row r="394" spans="2:11" ht="15" thickBot="1" x14ac:dyDescent="0.35">
      <c r="B394" s="41"/>
      <c r="C394" s="35"/>
      <c r="D394" s="121"/>
      <c r="E394" s="121"/>
      <c r="F394" s="121"/>
      <c r="G394" s="121"/>
      <c r="H394" s="121"/>
      <c r="I394" s="121"/>
      <c r="J394" s="121"/>
      <c r="K394" s="123"/>
    </row>
    <row r="395" spans="2:11" ht="15" thickBot="1" x14ac:dyDescent="0.35">
      <c r="B395" s="117">
        <v>180</v>
      </c>
      <c r="C395" s="118"/>
      <c r="D395" s="120">
        <f t="shared" ref="D395" si="708">$Q$18</f>
        <v>15.588640673015377</v>
      </c>
      <c r="E395" s="120"/>
      <c r="F395" s="120">
        <f t="shared" ref="F395" si="709">($L$15/12)*J393</f>
        <v>4.407268652210818</v>
      </c>
      <c r="G395" s="120"/>
      <c r="H395" s="120">
        <f t="shared" ref="H395" si="710">D395-F395</f>
        <v>11.181372020804559</v>
      </c>
      <c r="I395" s="120"/>
      <c r="J395" s="120">
        <f t="shared" ref="J395" si="711">J393-H395</f>
        <v>1591.4617742376745</v>
      </c>
      <c r="K395" s="122"/>
    </row>
    <row r="396" spans="2:11" ht="15" thickBot="1" x14ac:dyDescent="0.35">
      <c r="B396" s="41"/>
      <c r="C396" s="35"/>
      <c r="D396" s="121"/>
      <c r="E396" s="121"/>
      <c r="F396" s="121"/>
      <c r="G396" s="121"/>
      <c r="H396" s="121"/>
      <c r="I396" s="121"/>
      <c r="J396" s="121"/>
      <c r="K396" s="123"/>
    </row>
    <row r="397" spans="2:11" ht="15" thickBot="1" x14ac:dyDescent="0.35">
      <c r="B397" s="117">
        <v>181</v>
      </c>
      <c r="C397" s="118"/>
      <c r="D397" s="120">
        <f t="shared" ref="D397" si="712">$Q$18</f>
        <v>15.588640673015377</v>
      </c>
      <c r="E397" s="120"/>
      <c r="F397" s="120">
        <f t="shared" ref="F397" si="713">($L$15/12)*J395</f>
        <v>4.3765198791536051</v>
      </c>
      <c r="G397" s="120"/>
      <c r="H397" s="120">
        <f t="shared" ref="H397" si="714">D397-F397</f>
        <v>11.212120793861772</v>
      </c>
      <c r="I397" s="120"/>
      <c r="J397" s="120">
        <f t="shared" ref="J397" si="715">J395-H397</f>
        <v>1580.2496534438128</v>
      </c>
      <c r="K397" s="122"/>
    </row>
    <row r="398" spans="2:11" ht="15" thickBot="1" x14ac:dyDescent="0.35">
      <c r="B398" s="41"/>
      <c r="C398" s="35"/>
      <c r="D398" s="121"/>
      <c r="E398" s="121"/>
      <c r="F398" s="121"/>
      <c r="G398" s="121"/>
      <c r="H398" s="121"/>
      <c r="I398" s="121"/>
      <c r="J398" s="121"/>
      <c r="K398" s="123"/>
    </row>
    <row r="399" spans="2:11" ht="15" thickBot="1" x14ac:dyDescent="0.35">
      <c r="B399" s="117">
        <v>182</v>
      </c>
      <c r="C399" s="118"/>
      <c r="D399" s="120">
        <f t="shared" ref="D399" si="716">$Q$18</f>
        <v>15.588640673015377</v>
      </c>
      <c r="E399" s="120"/>
      <c r="F399" s="120">
        <f t="shared" ref="F399" si="717">($L$15/12)*J397</f>
        <v>4.3456865469704855</v>
      </c>
      <c r="G399" s="120"/>
      <c r="H399" s="120">
        <f t="shared" ref="H399" si="718">D399-F399</f>
        <v>11.242954126044891</v>
      </c>
      <c r="I399" s="120"/>
      <c r="J399" s="120">
        <f t="shared" ref="J399" si="719">J397-H399</f>
        <v>1569.0066993177679</v>
      </c>
      <c r="K399" s="122"/>
    </row>
    <row r="400" spans="2:11" ht="15" thickBot="1" x14ac:dyDescent="0.35">
      <c r="B400" s="41"/>
      <c r="C400" s="35"/>
      <c r="D400" s="121"/>
      <c r="E400" s="121"/>
      <c r="F400" s="121"/>
      <c r="G400" s="121"/>
      <c r="H400" s="121"/>
      <c r="I400" s="121"/>
      <c r="J400" s="121"/>
      <c r="K400" s="123"/>
    </row>
    <row r="401" spans="2:11" ht="15" thickBot="1" x14ac:dyDescent="0.35">
      <c r="B401" s="117">
        <v>183</v>
      </c>
      <c r="C401" s="118"/>
      <c r="D401" s="120">
        <f t="shared" ref="D401" si="720">$Q$18</f>
        <v>15.588640673015377</v>
      </c>
      <c r="E401" s="120"/>
      <c r="F401" s="120">
        <f t="shared" ref="F401" si="721">($L$15/12)*J399</f>
        <v>4.3147684231238621</v>
      </c>
      <c r="G401" s="120"/>
      <c r="H401" s="120">
        <f t="shared" ref="H401" si="722">D401-F401</f>
        <v>11.273872249891514</v>
      </c>
      <c r="I401" s="120"/>
      <c r="J401" s="120">
        <f t="shared" ref="J401" si="723">J399-H401</f>
        <v>1557.7328270678763</v>
      </c>
      <c r="K401" s="122"/>
    </row>
    <row r="402" spans="2:11" ht="15" thickBot="1" x14ac:dyDescent="0.35">
      <c r="B402" s="41"/>
      <c r="C402" s="35"/>
      <c r="D402" s="121"/>
      <c r="E402" s="121"/>
      <c r="F402" s="121"/>
      <c r="G402" s="121"/>
      <c r="H402" s="121"/>
      <c r="I402" s="121"/>
      <c r="J402" s="121"/>
      <c r="K402" s="123"/>
    </row>
    <row r="403" spans="2:11" ht="15" thickBot="1" x14ac:dyDescent="0.35">
      <c r="B403" s="117">
        <v>184</v>
      </c>
      <c r="C403" s="118"/>
      <c r="D403" s="120">
        <f t="shared" ref="D403" si="724">$Q$18</f>
        <v>15.588640673015377</v>
      </c>
      <c r="E403" s="120"/>
      <c r="F403" s="120">
        <f t="shared" ref="F403" si="725">($L$15/12)*J401</f>
        <v>4.2837652744366599</v>
      </c>
      <c r="G403" s="120"/>
      <c r="H403" s="120">
        <f t="shared" ref="H403" si="726">D403-F403</f>
        <v>11.304875398578716</v>
      </c>
      <c r="I403" s="120"/>
      <c r="J403" s="120">
        <f t="shared" ref="J403" si="727">J401-H403</f>
        <v>1546.4279516692975</v>
      </c>
      <c r="K403" s="122"/>
    </row>
    <row r="404" spans="2:11" ht="15" thickBot="1" x14ac:dyDescent="0.35">
      <c r="B404" s="41"/>
      <c r="C404" s="35"/>
      <c r="D404" s="121"/>
      <c r="E404" s="121"/>
      <c r="F404" s="121"/>
      <c r="G404" s="121"/>
      <c r="H404" s="121"/>
      <c r="I404" s="121"/>
      <c r="J404" s="121"/>
      <c r="K404" s="123"/>
    </row>
    <row r="405" spans="2:11" ht="15" thickBot="1" x14ac:dyDescent="0.35">
      <c r="B405" s="117">
        <v>185</v>
      </c>
      <c r="C405" s="118"/>
      <c r="D405" s="120">
        <f t="shared" ref="D405" si="728">$Q$18</f>
        <v>15.588640673015377</v>
      </c>
      <c r="E405" s="120"/>
      <c r="F405" s="120">
        <f t="shared" ref="F405" si="729">($L$15/12)*J403</f>
        <v>4.2526768670905684</v>
      </c>
      <c r="G405" s="120"/>
      <c r="H405" s="120">
        <f t="shared" ref="H405" si="730">D405-F405</f>
        <v>11.335963805924809</v>
      </c>
      <c r="I405" s="120"/>
      <c r="J405" s="120">
        <f t="shared" ref="J405" si="731">J403-H405</f>
        <v>1535.0919878633727</v>
      </c>
      <c r="K405" s="122"/>
    </row>
    <row r="406" spans="2:11" ht="15" thickBot="1" x14ac:dyDescent="0.35">
      <c r="B406" s="41"/>
      <c r="C406" s="35"/>
      <c r="D406" s="121"/>
      <c r="E406" s="121"/>
      <c r="F406" s="121"/>
      <c r="G406" s="121"/>
      <c r="H406" s="121"/>
      <c r="I406" s="121"/>
      <c r="J406" s="121"/>
      <c r="K406" s="123"/>
    </row>
    <row r="407" spans="2:11" ht="15" thickBot="1" x14ac:dyDescent="0.35">
      <c r="B407" s="117">
        <v>186</v>
      </c>
      <c r="C407" s="118"/>
      <c r="D407" s="120">
        <f t="shared" ref="D407" si="732">$Q$18</f>
        <v>15.588640673015377</v>
      </c>
      <c r="E407" s="120"/>
      <c r="F407" s="120">
        <f t="shared" ref="F407" si="733">($L$15/12)*J405</f>
        <v>4.2215029666242749</v>
      </c>
      <c r="G407" s="120"/>
      <c r="H407" s="120">
        <f t="shared" ref="H407" si="734">D407-F407</f>
        <v>11.367137706391102</v>
      </c>
      <c r="I407" s="120"/>
      <c r="J407" s="120">
        <f t="shared" ref="J407" si="735">J405-H407</f>
        <v>1523.7248501569816</v>
      </c>
      <c r="K407" s="122"/>
    </row>
    <row r="408" spans="2:11" ht="15" thickBot="1" x14ac:dyDescent="0.35">
      <c r="B408" s="41"/>
      <c r="C408" s="35"/>
      <c r="D408" s="121"/>
      <c r="E408" s="121"/>
      <c r="F408" s="121"/>
      <c r="G408" s="121"/>
      <c r="H408" s="121"/>
      <c r="I408" s="121"/>
      <c r="J408" s="121"/>
      <c r="K408" s="123"/>
    </row>
    <row r="409" spans="2:11" ht="15" thickBot="1" x14ac:dyDescent="0.35">
      <c r="B409" s="117">
        <v>187</v>
      </c>
      <c r="C409" s="118"/>
      <c r="D409" s="120">
        <f t="shared" ref="D409" si="736">$Q$18</f>
        <v>15.588640673015377</v>
      </c>
      <c r="E409" s="120"/>
      <c r="F409" s="120">
        <f t="shared" ref="F409" si="737">($L$15/12)*J407</f>
        <v>4.1902433379317001</v>
      </c>
      <c r="G409" s="120"/>
      <c r="H409" s="120">
        <f t="shared" ref="H409" si="738">D409-F409</f>
        <v>11.398397335083676</v>
      </c>
      <c r="I409" s="120"/>
      <c r="J409" s="120">
        <f t="shared" ref="J409" si="739">J407-H409</f>
        <v>1512.3264528218979</v>
      </c>
      <c r="K409" s="122"/>
    </row>
    <row r="410" spans="2:11" ht="15" thickBot="1" x14ac:dyDescent="0.35">
      <c r="B410" s="41"/>
      <c r="C410" s="35"/>
      <c r="D410" s="121"/>
      <c r="E410" s="121"/>
      <c r="F410" s="121"/>
      <c r="G410" s="121"/>
      <c r="H410" s="121"/>
      <c r="I410" s="121"/>
      <c r="J410" s="121"/>
      <c r="K410" s="123"/>
    </row>
    <row r="411" spans="2:11" ht="15" thickBot="1" x14ac:dyDescent="0.35">
      <c r="B411" s="117">
        <v>188</v>
      </c>
      <c r="C411" s="118"/>
      <c r="D411" s="120">
        <f t="shared" ref="D411" si="740">$Q$18</f>
        <v>15.588640673015377</v>
      </c>
      <c r="E411" s="120"/>
      <c r="F411" s="120">
        <f t="shared" ref="F411" si="741">($L$15/12)*J409</f>
        <v>4.1588977452602194</v>
      </c>
      <c r="G411" s="120"/>
      <c r="H411" s="120">
        <f t="shared" ref="H411" si="742">D411-F411</f>
        <v>11.429742927755157</v>
      </c>
      <c r="I411" s="120"/>
      <c r="J411" s="120">
        <f t="shared" ref="J411" si="743">J409-H411</f>
        <v>1500.8967098941428</v>
      </c>
      <c r="K411" s="122"/>
    </row>
    <row r="412" spans="2:11" ht="15" thickBot="1" x14ac:dyDescent="0.35">
      <c r="B412" s="41"/>
      <c r="C412" s="35"/>
      <c r="D412" s="121"/>
      <c r="E412" s="121"/>
      <c r="F412" s="121"/>
      <c r="G412" s="121"/>
      <c r="H412" s="121"/>
      <c r="I412" s="121"/>
      <c r="J412" s="121"/>
      <c r="K412" s="123"/>
    </row>
    <row r="413" spans="2:11" ht="15" thickBot="1" x14ac:dyDescent="0.35">
      <c r="B413" s="117">
        <v>189</v>
      </c>
      <c r="C413" s="118"/>
      <c r="D413" s="120">
        <f t="shared" ref="D413" si="744">$Q$18</f>
        <v>15.588640673015377</v>
      </c>
      <c r="E413" s="120"/>
      <c r="F413" s="120">
        <f t="shared" ref="F413" si="745">($L$15/12)*J411</f>
        <v>4.127465952208893</v>
      </c>
      <c r="G413" s="120"/>
      <c r="H413" s="120">
        <f t="shared" ref="H413" si="746">D413-F413</f>
        <v>11.461174720806483</v>
      </c>
      <c r="I413" s="120"/>
      <c r="J413" s="120">
        <f t="shared" ref="J413" si="747">J411-H413</f>
        <v>1489.4355351733363</v>
      </c>
      <c r="K413" s="122"/>
    </row>
    <row r="414" spans="2:11" ht="15" thickBot="1" x14ac:dyDescent="0.35">
      <c r="B414" s="41"/>
      <c r="C414" s="35"/>
      <c r="D414" s="121"/>
      <c r="E414" s="121"/>
      <c r="F414" s="121"/>
      <c r="G414" s="121"/>
      <c r="H414" s="121"/>
      <c r="I414" s="121"/>
      <c r="J414" s="121"/>
      <c r="K414" s="123"/>
    </row>
    <row r="415" spans="2:11" ht="15" thickBot="1" x14ac:dyDescent="0.35">
      <c r="B415" s="117">
        <v>190</v>
      </c>
      <c r="C415" s="118"/>
      <c r="D415" s="120">
        <f t="shared" ref="D415" si="748">$Q$18</f>
        <v>15.588640673015377</v>
      </c>
      <c r="E415" s="120"/>
      <c r="F415" s="120">
        <f t="shared" ref="F415" si="749">($L$15/12)*J413</f>
        <v>4.0959477217266755</v>
      </c>
      <c r="G415" s="120"/>
      <c r="H415" s="120">
        <f t="shared" ref="H415" si="750">D415-F415</f>
        <v>11.492692951288701</v>
      </c>
      <c r="I415" s="120"/>
      <c r="J415" s="120">
        <f t="shared" ref="J415" si="751">J413-H415</f>
        <v>1477.9428422220476</v>
      </c>
      <c r="K415" s="122"/>
    </row>
    <row r="416" spans="2:11" ht="15" thickBot="1" x14ac:dyDescent="0.35">
      <c r="B416" s="41"/>
      <c r="C416" s="35"/>
      <c r="D416" s="121"/>
      <c r="E416" s="121"/>
      <c r="F416" s="121"/>
      <c r="G416" s="121"/>
      <c r="H416" s="121"/>
      <c r="I416" s="121"/>
      <c r="J416" s="121"/>
      <c r="K416" s="123"/>
    </row>
    <row r="417" spans="2:11" ht="15" thickBot="1" x14ac:dyDescent="0.35">
      <c r="B417" s="117">
        <v>191</v>
      </c>
      <c r="C417" s="118"/>
      <c r="D417" s="120">
        <f t="shared" ref="D417" si="752">$Q$18</f>
        <v>15.588640673015377</v>
      </c>
      <c r="E417" s="120"/>
      <c r="F417" s="120">
        <f t="shared" ref="F417" si="753">($L$15/12)*J415</f>
        <v>4.0643428161106314</v>
      </c>
      <c r="G417" s="120"/>
      <c r="H417" s="120">
        <f t="shared" ref="H417" si="754">D417-F417</f>
        <v>11.524297856904745</v>
      </c>
      <c r="I417" s="120"/>
      <c r="J417" s="120">
        <f t="shared" ref="J417" si="755">J415-H417</f>
        <v>1466.4185443651429</v>
      </c>
      <c r="K417" s="122"/>
    </row>
    <row r="418" spans="2:11" ht="15" thickBot="1" x14ac:dyDescent="0.35">
      <c r="B418" s="41"/>
      <c r="C418" s="35"/>
      <c r="D418" s="121"/>
      <c r="E418" s="121"/>
      <c r="F418" s="121"/>
      <c r="G418" s="121"/>
      <c r="H418" s="121"/>
      <c r="I418" s="121"/>
      <c r="J418" s="121"/>
      <c r="K418" s="123"/>
    </row>
    <row r="419" spans="2:11" ht="15" thickBot="1" x14ac:dyDescent="0.35">
      <c r="B419" s="117">
        <v>192</v>
      </c>
      <c r="C419" s="118"/>
      <c r="D419" s="120">
        <f t="shared" ref="D419" si="756">$Q$18</f>
        <v>15.588640673015377</v>
      </c>
      <c r="E419" s="120"/>
      <c r="F419" s="120">
        <f t="shared" ref="F419" si="757">($L$15/12)*J417</f>
        <v>4.0326509970041435</v>
      </c>
      <c r="G419" s="120"/>
      <c r="H419" s="120">
        <f t="shared" ref="H419" si="758">D419-F419</f>
        <v>11.555989676011233</v>
      </c>
      <c r="I419" s="120"/>
      <c r="J419" s="120">
        <f t="shared" ref="J419" si="759">J417-H419</f>
        <v>1454.8625546891317</v>
      </c>
      <c r="K419" s="122"/>
    </row>
    <row r="420" spans="2:11" ht="15" thickBot="1" x14ac:dyDescent="0.35">
      <c r="B420" s="41"/>
      <c r="C420" s="35"/>
      <c r="D420" s="121"/>
      <c r="E420" s="121"/>
      <c r="F420" s="121"/>
      <c r="G420" s="121"/>
      <c r="H420" s="121"/>
      <c r="I420" s="121"/>
      <c r="J420" s="121"/>
      <c r="K420" s="123"/>
    </row>
    <row r="421" spans="2:11" ht="15" thickBot="1" x14ac:dyDescent="0.35">
      <c r="B421" s="117">
        <v>193</v>
      </c>
      <c r="C421" s="118"/>
      <c r="D421" s="120">
        <f t="shared" ref="D421" si="760">$Q$18</f>
        <v>15.588640673015377</v>
      </c>
      <c r="E421" s="120"/>
      <c r="F421" s="120">
        <f t="shared" ref="F421" si="761">($L$15/12)*J419</f>
        <v>4.0008720253951129</v>
      </c>
      <c r="G421" s="120"/>
      <c r="H421" s="120">
        <f t="shared" ref="H421" si="762">D421-F421</f>
        <v>11.587768647620264</v>
      </c>
      <c r="I421" s="120"/>
      <c r="J421" s="120">
        <f t="shared" ref="J421" si="763">J419-H421</f>
        <v>1443.2747860415113</v>
      </c>
      <c r="K421" s="122"/>
    </row>
    <row r="422" spans="2:11" ht="15" thickBot="1" x14ac:dyDescent="0.35">
      <c r="B422" s="41"/>
      <c r="C422" s="35"/>
      <c r="D422" s="121"/>
      <c r="E422" s="121"/>
      <c r="F422" s="121"/>
      <c r="G422" s="121"/>
      <c r="H422" s="121"/>
      <c r="I422" s="121"/>
      <c r="J422" s="121"/>
      <c r="K422" s="123"/>
    </row>
    <row r="423" spans="2:11" ht="15" thickBot="1" x14ac:dyDescent="0.35">
      <c r="B423" s="117">
        <v>194</v>
      </c>
      <c r="C423" s="118"/>
      <c r="D423" s="120">
        <f t="shared" ref="D423" si="764">$Q$18</f>
        <v>15.588640673015377</v>
      </c>
      <c r="E423" s="120"/>
      <c r="F423" s="120">
        <f t="shared" ref="F423" si="765">($L$15/12)*J421</f>
        <v>3.9690056616141565</v>
      </c>
      <c r="G423" s="120"/>
      <c r="H423" s="120">
        <f t="shared" ref="H423" si="766">D423-F423</f>
        <v>11.61963501140122</v>
      </c>
      <c r="I423" s="120"/>
      <c r="J423" s="120">
        <f t="shared" ref="J423" si="767">J421-H423</f>
        <v>1431.6551510301101</v>
      </c>
      <c r="K423" s="122"/>
    </row>
    <row r="424" spans="2:11" ht="15" thickBot="1" x14ac:dyDescent="0.35">
      <c r="B424" s="41"/>
      <c r="C424" s="35"/>
      <c r="D424" s="121"/>
      <c r="E424" s="121"/>
      <c r="F424" s="121"/>
      <c r="G424" s="121"/>
      <c r="H424" s="121"/>
      <c r="I424" s="121"/>
      <c r="J424" s="121"/>
      <c r="K424" s="123"/>
    </row>
    <row r="425" spans="2:11" ht="15" thickBot="1" x14ac:dyDescent="0.35">
      <c r="B425" s="117">
        <v>195</v>
      </c>
      <c r="C425" s="118"/>
      <c r="D425" s="120">
        <f t="shared" ref="D425" si="768">$Q$18</f>
        <v>15.588640673015377</v>
      </c>
      <c r="E425" s="120"/>
      <c r="F425" s="120">
        <f t="shared" ref="F425" si="769">($L$15/12)*J423</f>
        <v>3.9370516653328034</v>
      </c>
      <c r="G425" s="120"/>
      <c r="H425" s="120">
        <f t="shared" ref="H425" si="770">D425-F425</f>
        <v>11.651589007682574</v>
      </c>
      <c r="I425" s="120"/>
      <c r="J425" s="120">
        <f t="shared" ref="J425" si="771">J423-H425</f>
        <v>1420.0035620224276</v>
      </c>
      <c r="K425" s="122"/>
    </row>
    <row r="426" spans="2:11" ht="15" thickBot="1" x14ac:dyDescent="0.35">
      <c r="B426" s="41"/>
      <c r="C426" s="35"/>
      <c r="D426" s="121"/>
      <c r="E426" s="121"/>
      <c r="F426" s="121"/>
      <c r="G426" s="121"/>
      <c r="H426" s="121"/>
      <c r="I426" s="121"/>
      <c r="J426" s="121"/>
      <c r="K426" s="123"/>
    </row>
    <row r="427" spans="2:11" ht="15" thickBot="1" x14ac:dyDescent="0.35">
      <c r="B427" s="117">
        <v>196</v>
      </c>
      <c r="C427" s="118"/>
      <c r="D427" s="120">
        <f t="shared" ref="D427" si="772">$Q$18</f>
        <v>15.588640673015377</v>
      </c>
      <c r="E427" s="120"/>
      <c r="F427" s="120">
        <f t="shared" ref="F427" si="773">($L$15/12)*J425</f>
        <v>3.9050097955616763</v>
      </c>
      <c r="G427" s="120"/>
      <c r="H427" s="120">
        <f t="shared" ref="H427" si="774">D427-F427</f>
        <v>11.6836308774537</v>
      </c>
      <c r="I427" s="120"/>
      <c r="J427" s="120">
        <f t="shared" ref="J427" si="775">J425-H427</f>
        <v>1408.3199311449739</v>
      </c>
      <c r="K427" s="122"/>
    </row>
    <row r="428" spans="2:11" ht="15" thickBot="1" x14ac:dyDescent="0.35">
      <c r="B428" s="41"/>
      <c r="C428" s="35"/>
      <c r="D428" s="121"/>
      <c r="E428" s="121"/>
      <c r="F428" s="121"/>
      <c r="G428" s="121"/>
      <c r="H428" s="121"/>
      <c r="I428" s="121"/>
      <c r="J428" s="121"/>
      <c r="K428" s="123"/>
    </row>
    <row r="429" spans="2:11" ht="15" thickBot="1" x14ac:dyDescent="0.35">
      <c r="B429" s="117">
        <v>197</v>
      </c>
      <c r="C429" s="118"/>
      <c r="D429" s="120">
        <f t="shared" ref="D429" si="776">$Q$18</f>
        <v>15.588640673015377</v>
      </c>
      <c r="E429" s="120"/>
      <c r="F429" s="120">
        <f t="shared" ref="F429" si="777">($L$15/12)*J427</f>
        <v>3.8728798106486786</v>
      </c>
      <c r="G429" s="120"/>
      <c r="H429" s="120">
        <f t="shared" ref="H429" si="778">D429-F429</f>
        <v>11.715760862366698</v>
      </c>
      <c r="I429" s="120"/>
      <c r="J429" s="120">
        <f t="shared" ref="J429" si="779">J427-H429</f>
        <v>1396.6041702826071</v>
      </c>
      <c r="K429" s="122"/>
    </row>
    <row r="430" spans="2:11" ht="15" thickBot="1" x14ac:dyDescent="0.35">
      <c r="B430" s="41"/>
      <c r="C430" s="35"/>
      <c r="D430" s="121"/>
      <c r="E430" s="121"/>
      <c r="F430" s="121"/>
      <c r="G430" s="121"/>
      <c r="H430" s="121"/>
      <c r="I430" s="121"/>
      <c r="J430" s="121"/>
      <c r="K430" s="123"/>
    </row>
    <row r="431" spans="2:11" ht="15" thickBot="1" x14ac:dyDescent="0.35">
      <c r="B431" s="117">
        <v>198</v>
      </c>
      <c r="C431" s="118"/>
      <c r="D431" s="120">
        <f t="shared" ref="D431" si="780">$Q$18</f>
        <v>15.588640673015377</v>
      </c>
      <c r="E431" s="120"/>
      <c r="F431" s="120">
        <f t="shared" ref="F431" si="781">($L$15/12)*J429</f>
        <v>3.8406614682771698</v>
      </c>
      <c r="G431" s="120"/>
      <c r="H431" s="120">
        <f t="shared" ref="H431" si="782">D431-F431</f>
        <v>11.747979204738208</v>
      </c>
      <c r="I431" s="120"/>
      <c r="J431" s="120">
        <f t="shared" ref="J431" si="783">J429-H431</f>
        <v>1384.856191077869</v>
      </c>
      <c r="K431" s="122"/>
    </row>
    <row r="432" spans="2:11" ht="15" thickBot="1" x14ac:dyDescent="0.35">
      <c r="B432" s="41"/>
      <c r="C432" s="35"/>
      <c r="D432" s="121"/>
      <c r="E432" s="121"/>
      <c r="F432" s="121"/>
      <c r="G432" s="121"/>
      <c r="H432" s="121"/>
      <c r="I432" s="121"/>
      <c r="J432" s="121"/>
      <c r="K432" s="123"/>
    </row>
    <row r="433" spans="2:11" ht="15" thickBot="1" x14ac:dyDescent="0.35">
      <c r="B433" s="117">
        <v>199</v>
      </c>
      <c r="C433" s="118"/>
      <c r="D433" s="120">
        <f t="shared" ref="D433" si="784">$Q$18</f>
        <v>15.588640673015377</v>
      </c>
      <c r="E433" s="120"/>
      <c r="F433" s="120">
        <f t="shared" ref="F433" si="785">($L$15/12)*J431</f>
        <v>3.8083545254641402</v>
      </c>
      <c r="G433" s="120"/>
      <c r="H433" s="120">
        <f t="shared" ref="H433" si="786">D433-F433</f>
        <v>11.780286147551237</v>
      </c>
      <c r="I433" s="120"/>
      <c r="J433" s="120">
        <f t="shared" ref="J433" si="787">J431-H433</f>
        <v>1373.0759049303178</v>
      </c>
      <c r="K433" s="122"/>
    </row>
    <row r="434" spans="2:11" ht="15" thickBot="1" x14ac:dyDescent="0.35">
      <c r="B434" s="41"/>
      <c r="C434" s="35"/>
      <c r="D434" s="121"/>
      <c r="E434" s="121"/>
      <c r="F434" s="121"/>
      <c r="G434" s="121"/>
      <c r="H434" s="121"/>
      <c r="I434" s="121"/>
      <c r="J434" s="121"/>
      <c r="K434" s="123"/>
    </row>
    <row r="435" spans="2:11" ht="15" thickBot="1" x14ac:dyDescent="0.35">
      <c r="B435" s="117">
        <v>200</v>
      </c>
      <c r="C435" s="118"/>
      <c r="D435" s="120">
        <f t="shared" ref="D435" si="788">$Q$18</f>
        <v>15.588640673015377</v>
      </c>
      <c r="E435" s="120"/>
      <c r="F435" s="120">
        <f t="shared" ref="F435" si="789">($L$15/12)*J433</f>
        <v>3.7759587385583746</v>
      </c>
      <c r="G435" s="120"/>
      <c r="H435" s="120">
        <f t="shared" ref="H435" si="790">D435-F435</f>
        <v>11.812681934457002</v>
      </c>
      <c r="I435" s="120"/>
      <c r="J435" s="120">
        <f t="shared" ref="J435" si="791">J433-H435</f>
        <v>1361.2632229958608</v>
      </c>
      <c r="K435" s="122"/>
    </row>
    <row r="436" spans="2:11" ht="15" thickBot="1" x14ac:dyDescent="0.35">
      <c r="B436" s="41"/>
      <c r="C436" s="35"/>
      <c r="D436" s="121"/>
      <c r="E436" s="121"/>
      <c r="F436" s="121"/>
      <c r="G436" s="121"/>
      <c r="H436" s="121"/>
      <c r="I436" s="121"/>
      <c r="J436" s="121"/>
      <c r="K436" s="123"/>
    </row>
    <row r="437" spans="2:11" ht="15" thickBot="1" x14ac:dyDescent="0.35">
      <c r="B437" s="117">
        <v>201</v>
      </c>
      <c r="C437" s="118"/>
      <c r="D437" s="120">
        <f t="shared" ref="D437" si="792">$Q$18</f>
        <v>15.588640673015377</v>
      </c>
      <c r="E437" s="120"/>
      <c r="F437" s="120">
        <f t="shared" ref="F437" si="793">($L$15/12)*J435</f>
        <v>3.7434738632386177</v>
      </c>
      <c r="G437" s="120"/>
      <c r="H437" s="120">
        <f t="shared" ref="H437" si="794">D437-F437</f>
        <v>11.845166809776758</v>
      </c>
      <c r="I437" s="120"/>
      <c r="J437" s="120">
        <f t="shared" ref="J437" si="795">J435-H437</f>
        <v>1349.418056186084</v>
      </c>
      <c r="K437" s="122"/>
    </row>
    <row r="438" spans="2:11" ht="15" thickBot="1" x14ac:dyDescent="0.35">
      <c r="B438" s="41"/>
      <c r="C438" s="35"/>
      <c r="D438" s="121"/>
      <c r="E438" s="121"/>
      <c r="F438" s="121"/>
      <c r="G438" s="121"/>
      <c r="H438" s="121"/>
      <c r="I438" s="121"/>
      <c r="J438" s="121"/>
      <c r="K438" s="123"/>
    </row>
    <row r="439" spans="2:11" ht="15" thickBot="1" x14ac:dyDescent="0.35">
      <c r="B439" s="117">
        <v>202</v>
      </c>
      <c r="C439" s="118"/>
      <c r="D439" s="120">
        <f t="shared" ref="D439" si="796">$Q$18</f>
        <v>15.588640673015377</v>
      </c>
      <c r="E439" s="120"/>
      <c r="F439" s="120">
        <f t="shared" ref="F439" si="797">($L$15/12)*J437</f>
        <v>3.7108996545117314</v>
      </c>
      <c r="G439" s="120"/>
      <c r="H439" s="120">
        <f t="shared" ref="H439" si="798">D439-F439</f>
        <v>11.877741018503645</v>
      </c>
      <c r="I439" s="120"/>
      <c r="J439" s="120">
        <f t="shared" ref="J439" si="799">J437-H439</f>
        <v>1337.5403151675803</v>
      </c>
      <c r="K439" s="122"/>
    </row>
    <row r="440" spans="2:11" ht="15" thickBot="1" x14ac:dyDescent="0.35">
      <c r="B440" s="41"/>
      <c r="C440" s="35"/>
      <c r="D440" s="121"/>
      <c r="E440" s="121"/>
      <c r="F440" s="121"/>
      <c r="G440" s="121"/>
      <c r="H440" s="121"/>
      <c r="I440" s="121"/>
      <c r="J440" s="121"/>
      <c r="K440" s="123"/>
    </row>
    <row r="441" spans="2:11" ht="15" thickBot="1" x14ac:dyDescent="0.35">
      <c r="B441" s="117">
        <v>203</v>
      </c>
      <c r="C441" s="118"/>
      <c r="D441" s="120">
        <f t="shared" ref="D441" si="800">$Q$18</f>
        <v>15.588640673015377</v>
      </c>
      <c r="E441" s="120"/>
      <c r="F441" s="120">
        <f t="shared" ref="F441" si="801">($L$15/12)*J439</f>
        <v>3.6782358667108461</v>
      </c>
      <c r="G441" s="120"/>
      <c r="H441" s="120">
        <f t="shared" ref="H441" si="802">D441-F441</f>
        <v>11.91040480630453</v>
      </c>
      <c r="I441" s="120"/>
      <c r="J441" s="120">
        <f t="shared" ref="J441" si="803">J439-H441</f>
        <v>1325.6299103612757</v>
      </c>
      <c r="K441" s="122"/>
    </row>
    <row r="442" spans="2:11" ht="15" thickBot="1" x14ac:dyDescent="0.35">
      <c r="B442" s="41"/>
      <c r="C442" s="35"/>
      <c r="D442" s="121"/>
      <c r="E442" s="121"/>
      <c r="F442" s="121"/>
      <c r="G442" s="121"/>
      <c r="H442" s="121"/>
      <c r="I442" s="121"/>
      <c r="J442" s="121"/>
      <c r="K442" s="123"/>
    </row>
    <row r="443" spans="2:11" ht="15" thickBot="1" x14ac:dyDescent="0.35">
      <c r="B443" s="117">
        <v>204</v>
      </c>
      <c r="C443" s="118"/>
      <c r="D443" s="120">
        <f t="shared" ref="D443" si="804">$Q$18</f>
        <v>15.588640673015377</v>
      </c>
      <c r="E443" s="120"/>
      <c r="F443" s="120">
        <f t="shared" ref="F443" si="805">($L$15/12)*J441</f>
        <v>3.6454822534935087</v>
      </c>
      <c r="G443" s="120"/>
      <c r="H443" s="120">
        <f t="shared" ref="H443" si="806">D443-F443</f>
        <v>11.943158419521868</v>
      </c>
      <c r="I443" s="120"/>
      <c r="J443" s="120">
        <f t="shared" ref="J443" si="807">J441-H443</f>
        <v>1313.6867519417538</v>
      </c>
      <c r="K443" s="122"/>
    </row>
    <row r="444" spans="2:11" ht="15" thickBot="1" x14ac:dyDescent="0.35">
      <c r="B444" s="41"/>
      <c r="C444" s="35"/>
      <c r="D444" s="121"/>
      <c r="E444" s="121"/>
      <c r="F444" s="121"/>
      <c r="G444" s="121"/>
      <c r="H444" s="121"/>
      <c r="I444" s="121"/>
      <c r="J444" s="121"/>
      <c r="K444" s="123"/>
    </row>
    <row r="445" spans="2:11" ht="15" thickBot="1" x14ac:dyDescent="0.35">
      <c r="B445" s="117">
        <v>205</v>
      </c>
      <c r="C445" s="118"/>
      <c r="D445" s="120">
        <f t="shared" ref="D445" si="808">$Q$18</f>
        <v>15.588640673015377</v>
      </c>
      <c r="E445" s="120"/>
      <c r="F445" s="120">
        <f t="shared" ref="F445" si="809">($L$15/12)*J443</f>
        <v>3.6126385678398232</v>
      </c>
      <c r="G445" s="120"/>
      <c r="H445" s="120">
        <f t="shared" ref="H445" si="810">D445-F445</f>
        <v>11.976002105175553</v>
      </c>
      <c r="I445" s="120"/>
      <c r="J445" s="120">
        <f t="shared" ref="J445" si="811">J443-H445</f>
        <v>1301.7107498365781</v>
      </c>
      <c r="K445" s="122"/>
    </row>
    <row r="446" spans="2:11" ht="15" thickBot="1" x14ac:dyDescent="0.35">
      <c r="B446" s="41"/>
      <c r="C446" s="35"/>
      <c r="D446" s="121"/>
      <c r="E446" s="121"/>
      <c r="F446" s="121"/>
      <c r="G446" s="121"/>
      <c r="H446" s="121"/>
      <c r="I446" s="121"/>
      <c r="J446" s="121"/>
      <c r="K446" s="123"/>
    </row>
    <row r="447" spans="2:11" ht="15" thickBot="1" x14ac:dyDescent="0.35">
      <c r="B447" s="117">
        <v>206</v>
      </c>
      <c r="C447" s="118"/>
      <c r="D447" s="120">
        <f t="shared" ref="D447" si="812">$Q$18</f>
        <v>15.588640673015377</v>
      </c>
      <c r="E447" s="120"/>
      <c r="F447" s="120">
        <f t="shared" ref="F447" si="813">($L$15/12)*J445</f>
        <v>3.5797045620505901</v>
      </c>
      <c r="G447" s="120"/>
      <c r="H447" s="120">
        <f t="shared" ref="H447" si="814">D447-F447</f>
        <v>12.008936110964786</v>
      </c>
      <c r="I447" s="120"/>
      <c r="J447" s="120">
        <f t="shared" ref="J447" si="815">J445-H447</f>
        <v>1289.7018137256132</v>
      </c>
      <c r="K447" s="122"/>
    </row>
    <row r="448" spans="2:11" ht="15" thickBot="1" x14ac:dyDescent="0.35">
      <c r="B448" s="41"/>
      <c r="C448" s="35"/>
      <c r="D448" s="121"/>
      <c r="E448" s="121"/>
      <c r="F448" s="121"/>
      <c r="G448" s="121"/>
      <c r="H448" s="121"/>
      <c r="I448" s="121"/>
      <c r="J448" s="121"/>
      <c r="K448" s="123"/>
    </row>
    <row r="449" spans="2:11" ht="15" thickBot="1" x14ac:dyDescent="0.35">
      <c r="B449" s="117">
        <v>207</v>
      </c>
      <c r="C449" s="118"/>
      <c r="D449" s="120">
        <f t="shared" ref="D449" si="816">$Q$18</f>
        <v>15.588640673015377</v>
      </c>
      <c r="E449" s="120"/>
      <c r="F449" s="120">
        <f t="shared" ref="F449" si="817">($L$15/12)*J447</f>
        <v>3.5466799877454367</v>
      </c>
      <c r="G449" s="120"/>
      <c r="H449" s="120">
        <f t="shared" ref="H449" si="818">D449-F449</f>
        <v>12.04196068526994</v>
      </c>
      <c r="I449" s="120"/>
      <c r="J449" s="120">
        <f t="shared" ref="J449" si="819">J447-H449</f>
        <v>1277.6598530403433</v>
      </c>
      <c r="K449" s="122"/>
    </row>
    <row r="450" spans="2:11" ht="15" thickBot="1" x14ac:dyDescent="0.35">
      <c r="B450" s="41"/>
      <c r="C450" s="35"/>
      <c r="D450" s="121"/>
      <c r="E450" s="121"/>
      <c r="F450" s="121"/>
      <c r="G450" s="121"/>
      <c r="H450" s="121"/>
      <c r="I450" s="121"/>
      <c r="J450" s="121"/>
      <c r="K450" s="123"/>
    </row>
    <row r="451" spans="2:11" ht="15" thickBot="1" x14ac:dyDescent="0.35">
      <c r="B451" s="117">
        <v>208</v>
      </c>
      <c r="C451" s="118"/>
      <c r="D451" s="120">
        <f t="shared" ref="D451" si="820">$Q$18</f>
        <v>15.588640673015377</v>
      </c>
      <c r="E451" s="120"/>
      <c r="F451" s="120">
        <f t="shared" ref="F451" si="821">($L$15/12)*J449</f>
        <v>3.5135645958609443</v>
      </c>
      <c r="G451" s="120"/>
      <c r="H451" s="120">
        <f t="shared" ref="H451" si="822">D451-F451</f>
        <v>12.075076077154431</v>
      </c>
      <c r="I451" s="120"/>
      <c r="J451" s="120">
        <f t="shared" ref="J451" si="823">J449-H451</f>
        <v>1265.5847769631889</v>
      </c>
      <c r="K451" s="122"/>
    </row>
    <row r="452" spans="2:11" ht="15" thickBot="1" x14ac:dyDescent="0.35">
      <c r="B452" s="41"/>
      <c r="C452" s="35"/>
      <c r="D452" s="121"/>
      <c r="E452" s="121"/>
      <c r="F452" s="121"/>
      <c r="G452" s="121"/>
      <c r="H452" s="121"/>
      <c r="I452" s="121"/>
      <c r="J452" s="121"/>
      <c r="K452" s="123"/>
    </row>
    <row r="453" spans="2:11" ht="15" thickBot="1" x14ac:dyDescent="0.35">
      <c r="B453" s="117">
        <v>209</v>
      </c>
      <c r="C453" s="118"/>
      <c r="D453" s="120">
        <f t="shared" ref="D453" si="824">$Q$18</f>
        <v>15.588640673015377</v>
      </c>
      <c r="E453" s="120"/>
      <c r="F453" s="120">
        <f t="shared" ref="F453" si="825">($L$15/12)*J451</f>
        <v>3.4803581366487699</v>
      </c>
      <c r="G453" s="120"/>
      <c r="H453" s="120">
        <f t="shared" ref="H453" si="826">D453-F453</f>
        <v>12.108282536366607</v>
      </c>
      <c r="I453" s="120"/>
      <c r="J453" s="120">
        <f t="shared" ref="J453" si="827">J451-H453</f>
        <v>1253.4764944268222</v>
      </c>
      <c r="K453" s="122"/>
    </row>
    <row r="454" spans="2:11" ht="15" thickBot="1" x14ac:dyDescent="0.35">
      <c r="B454" s="41"/>
      <c r="C454" s="35"/>
      <c r="D454" s="121"/>
      <c r="E454" s="121"/>
      <c r="F454" s="121"/>
      <c r="G454" s="121"/>
      <c r="H454" s="121"/>
      <c r="I454" s="121"/>
      <c r="J454" s="121"/>
      <c r="K454" s="123"/>
    </row>
    <row r="455" spans="2:11" ht="15" thickBot="1" x14ac:dyDescent="0.35">
      <c r="B455" s="117">
        <v>210</v>
      </c>
      <c r="C455" s="118"/>
      <c r="D455" s="120">
        <f t="shared" ref="D455" si="828">$Q$18</f>
        <v>15.588640673015377</v>
      </c>
      <c r="E455" s="120"/>
      <c r="F455" s="120">
        <f t="shared" ref="F455" si="829">($L$15/12)*J453</f>
        <v>3.4470603596737615</v>
      </c>
      <c r="G455" s="120"/>
      <c r="H455" s="120">
        <f t="shared" ref="H455" si="830">D455-F455</f>
        <v>12.141580313341615</v>
      </c>
      <c r="I455" s="120"/>
      <c r="J455" s="120">
        <f t="shared" ref="J455" si="831">J453-H455</f>
        <v>1241.3349141134806</v>
      </c>
      <c r="K455" s="122"/>
    </row>
    <row r="456" spans="2:11" ht="15" thickBot="1" x14ac:dyDescent="0.35">
      <c r="B456" s="41"/>
      <c r="C456" s="35"/>
      <c r="D456" s="121"/>
      <c r="E456" s="121"/>
      <c r="F456" s="121"/>
      <c r="G456" s="121"/>
      <c r="H456" s="121"/>
      <c r="I456" s="121"/>
      <c r="J456" s="121"/>
      <c r="K456" s="123"/>
    </row>
    <row r="457" spans="2:11" ht="15" thickBot="1" x14ac:dyDescent="0.35">
      <c r="B457" s="117">
        <v>211</v>
      </c>
      <c r="C457" s="118"/>
      <c r="D457" s="120">
        <f t="shared" ref="D457" si="832">$Q$18</f>
        <v>15.588640673015377</v>
      </c>
      <c r="E457" s="120"/>
      <c r="F457" s="120">
        <f t="shared" ref="F457" si="833">($L$15/12)*J455</f>
        <v>3.4136710138120723</v>
      </c>
      <c r="G457" s="120"/>
      <c r="H457" s="120">
        <f t="shared" ref="H457" si="834">D457-F457</f>
        <v>12.174969659203304</v>
      </c>
      <c r="I457" s="120"/>
      <c r="J457" s="120">
        <f t="shared" ref="J457" si="835">J455-H457</f>
        <v>1229.1599444542774</v>
      </c>
      <c r="K457" s="122"/>
    </row>
    <row r="458" spans="2:11" ht="15" thickBot="1" x14ac:dyDescent="0.35">
      <c r="B458" s="41"/>
      <c r="C458" s="35"/>
      <c r="D458" s="121"/>
      <c r="E458" s="121"/>
      <c r="F458" s="121"/>
      <c r="G458" s="121"/>
      <c r="H458" s="121"/>
      <c r="I458" s="121"/>
      <c r="J458" s="121"/>
      <c r="K458" s="123"/>
    </row>
    <row r="459" spans="2:11" ht="15" thickBot="1" x14ac:dyDescent="0.35">
      <c r="B459" s="117">
        <v>212</v>
      </c>
      <c r="C459" s="118"/>
      <c r="D459" s="120">
        <f t="shared" ref="D459" si="836">$Q$18</f>
        <v>15.588640673015377</v>
      </c>
      <c r="E459" s="120"/>
      <c r="F459" s="120">
        <f t="shared" ref="F459" si="837">($L$15/12)*J457</f>
        <v>3.3801898472492633</v>
      </c>
      <c r="G459" s="120"/>
      <c r="H459" s="120">
        <f t="shared" ref="H459" si="838">D459-F459</f>
        <v>12.208450825766114</v>
      </c>
      <c r="I459" s="120"/>
      <c r="J459" s="120">
        <f t="shared" ref="J459" si="839">J457-H459</f>
        <v>1216.9514936285113</v>
      </c>
      <c r="K459" s="122"/>
    </row>
    <row r="460" spans="2:11" ht="15" thickBot="1" x14ac:dyDescent="0.35">
      <c r="B460" s="41"/>
      <c r="C460" s="35"/>
      <c r="D460" s="121"/>
      <c r="E460" s="121"/>
      <c r="F460" s="121"/>
      <c r="G460" s="121"/>
      <c r="H460" s="121"/>
      <c r="I460" s="121"/>
      <c r="J460" s="121"/>
      <c r="K460" s="123"/>
    </row>
    <row r="461" spans="2:11" ht="15" thickBot="1" x14ac:dyDescent="0.35">
      <c r="B461" s="117">
        <v>213</v>
      </c>
      <c r="C461" s="118"/>
      <c r="D461" s="120">
        <f t="shared" ref="D461" si="840">$Q$18</f>
        <v>15.588640673015377</v>
      </c>
      <c r="E461" s="120"/>
      <c r="F461" s="120">
        <f t="shared" ref="F461" si="841">($L$15/12)*J459</f>
        <v>3.3466166074784067</v>
      </c>
      <c r="G461" s="120"/>
      <c r="H461" s="120">
        <f t="shared" ref="H461" si="842">D461-F461</f>
        <v>12.24202406553697</v>
      </c>
      <c r="I461" s="120"/>
      <c r="J461" s="120">
        <f t="shared" ref="J461" si="843">J459-H461</f>
        <v>1204.7094695629744</v>
      </c>
      <c r="K461" s="122"/>
    </row>
    <row r="462" spans="2:11" ht="15" thickBot="1" x14ac:dyDescent="0.35">
      <c r="B462" s="41"/>
      <c r="C462" s="35"/>
      <c r="D462" s="121"/>
      <c r="E462" s="121"/>
      <c r="F462" s="121"/>
      <c r="G462" s="121"/>
      <c r="H462" s="121"/>
      <c r="I462" s="121"/>
      <c r="J462" s="121"/>
      <c r="K462" s="123"/>
    </row>
    <row r="463" spans="2:11" ht="15" thickBot="1" x14ac:dyDescent="0.35">
      <c r="B463" s="117">
        <v>214</v>
      </c>
      <c r="C463" s="118"/>
      <c r="D463" s="120">
        <f t="shared" ref="D463" si="844">$Q$18</f>
        <v>15.588640673015377</v>
      </c>
      <c r="E463" s="120"/>
      <c r="F463" s="120">
        <f t="shared" ref="F463" si="845">($L$15/12)*J461</f>
        <v>3.31295104129818</v>
      </c>
      <c r="G463" s="120"/>
      <c r="H463" s="120">
        <f t="shared" ref="H463" si="846">D463-F463</f>
        <v>12.275689631717196</v>
      </c>
      <c r="I463" s="120"/>
      <c r="J463" s="120">
        <f t="shared" ref="J463" si="847">J461-H463</f>
        <v>1192.4337799312573</v>
      </c>
      <c r="K463" s="122"/>
    </row>
    <row r="464" spans="2:11" ht="15" thickBot="1" x14ac:dyDescent="0.35">
      <c r="B464" s="41"/>
      <c r="C464" s="35"/>
      <c r="D464" s="121"/>
      <c r="E464" s="121"/>
      <c r="F464" s="121"/>
      <c r="G464" s="121"/>
      <c r="H464" s="121"/>
      <c r="I464" s="121"/>
      <c r="J464" s="121"/>
      <c r="K464" s="123"/>
    </row>
    <row r="465" spans="2:11" ht="15" thickBot="1" x14ac:dyDescent="0.35">
      <c r="B465" s="117">
        <v>215</v>
      </c>
      <c r="C465" s="118"/>
      <c r="D465" s="120">
        <f t="shared" ref="D465" si="848">$Q$18</f>
        <v>15.588640673015377</v>
      </c>
      <c r="E465" s="120"/>
      <c r="F465" s="120">
        <f t="shared" ref="F465" si="849">($L$15/12)*J463</f>
        <v>3.2791928948109579</v>
      </c>
      <c r="G465" s="120"/>
      <c r="H465" s="120">
        <f t="shared" ref="H465" si="850">D465-F465</f>
        <v>12.309447778204419</v>
      </c>
      <c r="I465" s="120"/>
      <c r="J465" s="120">
        <f t="shared" ref="J465" si="851">J463-H465</f>
        <v>1180.1243321530528</v>
      </c>
      <c r="K465" s="122"/>
    </row>
    <row r="466" spans="2:11" ht="15" thickBot="1" x14ac:dyDescent="0.35">
      <c r="B466" s="41"/>
      <c r="C466" s="35"/>
      <c r="D466" s="121"/>
      <c r="E466" s="121"/>
      <c r="F466" s="121"/>
      <c r="G466" s="121"/>
      <c r="H466" s="121"/>
      <c r="I466" s="121"/>
      <c r="J466" s="121"/>
      <c r="K466" s="123"/>
    </row>
    <row r="467" spans="2:11" ht="15" thickBot="1" x14ac:dyDescent="0.35">
      <c r="B467" s="117">
        <v>216</v>
      </c>
      <c r="C467" s="118"/>
      <c r="D467" s="120">
        <f t="shared" ref="D467" si="852">$Q$18</f>
        <v>15.588640673015377</v>
      </c>
      <c r="E467" s="120"/>
      <c r="F467" s="120">
        <f t="shared" ref="F467" si="853">($L$15/12)*J465</f>
        <v>3.2453419134208956</v>
      </c>
      <c r="G467" s="120"/>
      <c r="H467" s="120">
        <f t="shared" ref="H467" si="854">D467-F467</f>
        <v>12.343298759594481</v>
      </c>
      <c r="I467" s="120"/>
      <c r="J467" s="120">
        <f t="shared" ref="J467" si="855">J465-H467</f>
        <v>1167.7810333934583</v>
      </c>
      <c r="K467" s="122"/>
    </row>
    <row r="468" spans="2:11" ht="15" thickBot="1" x14ac:dyDescent="0.35">
      <c r="B468" s="41"/>
      <c r="C468" s="35"/>
      <c r="D468" s="121"/>
      <c r="E468" s="121"/>
      <c r="F468" s="121"/>
      <c r="G468" s="121"/>
      <c r="H468" s="121"/>
      <c r="I468" s="121"/>
      <c r="J468" s="121"/>
      <c r="K468" s="123"/>
    </row>
    <row r="469" spans="2:11" ht="15" thickBot="1" x14ac:dyDescent="0.35">
      <c r="B469" s="117">
        <v>217</v>
      </c>
      <c r="C469" s="118"/>
      <c r="D469" s="120">
        <f t="shared" ref="D469" si="856">$Q$18</f>
        <v>15.588640673015377</v>
      </c>
      <c r="E469" s="120"/>
      <c r="F469" s="120">
        <f t="shared" ref="F469" si="857">($L$15/12)*J467</f>
        <v>3.2113978418320106</v>
      </c>
      <c r="G469" s="120"/>
      <c r="H469" s="120">
        <f t="shared" ref="H469" si="858">D469-F469</f>
        <v>12.377242831183366</v>
      </c>
      <c r="I469" s="120"/>
      <c r="J469" s="120">
        <f t="shared" ref="J469" si="859">J467-H469</f>
        <v>1155.4037905622749</v>
      </c>
      <c r="K469" s="122"/>
    </row>
    <row r="470" spans="2:11" ht="15" thickBot="1" x14ac:dyDescent="0.35">
      <c r="B470" s="41"/>
      <c r="C470" s="35"/>
      <c r="D470" s="121"/>
      <c r="E470" s="121"/>
      <c r="F470" s="121"/>
      <c r="G470" s="121"/>
      <c r="H470" s="121"/>
      <c r="I470" s="121"/>
      <c r="J470" s="121"/>
      <c r="K470" s="123"/>
    </row>
    <row r="471" spans="2:11" ht="15" thickBot="1" x14ac:dyDescent="0.35">
      <c r="B471" s="117">
        <v>218</v>
      </c>
      <c r="C471" s="118"/>
      <c r="D471" s="120">
        <f t="shared" ref="D471" si="860">$Q$18</f>
        <v>15.588640673015377</v>
      </c>
      <c r="E471" s="120"/>
      <c r="F471" s="120">
        <f t="shared" ref="F471" si="861">($L$15/12)*J469</f>
        <v>3.1773604240462565</v>
      </c>
      <c r="G471" s="120"/>
      <c r="H471" s="120">
        <f t="shared" ref="H471" si="862">D471-F471</f>
        <v>12.411280248969121</v>
      </c>
      <c r="I471" s="120"/>
      <c r="J471" s="120">
        <f t="shared" ref="J471" si="863">J469-H471</f>
        <v>1142.9925103133057</v>
      </c>
      <c r="K471" s="122"/>
    </row>
    <row r="472" spans="2:11" ht="15" thickBot="1" x14ac:dyDescent="0.35">
      <c r="B472" s="41"/>
      <c r="C472" s="35"/>
      <c r="D472" s="121"/>
      <c r="E472" s="121"/>
      <c r="F472" s="121"/>
      <c r="G472" s="121"/>
      <c r="H472" s="121"/>
      <c r="I472" s="121"/>
      <c r="J472" s="121"/>
      <c r="K472" s="123"/>
    </row>
    <row r="473" spans="2:11" ht="15" thickBot="1" x14ac:dyDescent="0.35">
      <c r="B473" s="117">
        <v>219</v>
      </c>
      <c r="C473" s="118"/>
      <c r="D473" s="120">
        <f t="shared" ref="D473" si="864">$Q$18</f>
        <v>15.588640673015377</v>
      </c>
      <c r="E473" s="120"/>
      <c r="F473" s="120">
        <f t="shared" ref="F473" si="865">($L$15/12)*J471</f>
        <v>3.1432294033615911</v>
      </c>
      <c r="G473" s="120"/>
      <c r="H473" s="120">
        <f t="shared" ref="H473" si="866">D473-F473</f>
        <v>12.445411269653786</v>
      </c>
      <c r="I473" s="120"/>
      <c r="J473" s="120">
        <f t="shared" ref="J473" si="867">J471-H473</f>
        <v>1130.547099043652</v>
      </c>
      <c r="K473" s="122"/>
    </row>
    <row r="474" spans="2:11" ht="15" thickBot="1" x14ac:dyDescent="0.35">
      <c r="B474" s="41"/>
      <c r="C474" s="35"/>
      <c r="D474" s="121"/>
      <c r="E474" s="121"/>
      <c r="F474" s="121"/>
      <c r="G474" s="121"/>
      <c r="H474" s="121"/>
      <c r="I474" s="121"/>
      <c r="J474" s="121"/>
      <c r="K474" s="123"/>
    </row>
    <row r="475" spans="2:11" ht="15" thickBot="1" x14ac:dyDescent="0.35">
      <c r="B475" s="117">
        <v>220</v>
      </c>
      <c r="C475" s="118"/>
      <c r="D475" s="120">
        <f t="shared" ref="D475" si="868">$Q$18</f>
        <v>15.588640673015377</v>
      </c>
      <c r="E475" s="120"/>
      <c r="F475" s="120">
        <f t="shared" ref="F475" si="869">($L$15/12)*J473</f>
        <v>3.1090045223700433</v>
      </c>
      <c r="G475" s="120"/>
      <c r="H475" s="120">
        <f t="shared" ref="H475" si="870">D475-F475</f>
        <v>12.479636150645334</v>
      </c>
      <c r="I475" s="120"/>
      <c r="J475" s="120">
        <f t="shared" ref="J475" si="871">J473-H475</f>
        <v>1118.0674628930067</v>
      </c>
      <c r="K475" s="122"/>
    </row>
    <row r="476" spans="2:11" ht="15" thickBot="1" x14ac:dyDescent="0.35">
      <c r="B476" s="41"/>
      <c r="C476" s="35"/>
      <c r="D476" s="121"/>
      <c r="E476" s="121"/>
      <c r="F476" s="121"/>
      <c r="G476" s="121"/>
      <c r="H476" s="121"/>
      <c r="I476" s="121"/>
      <c r="J476" s="121"/>
      <c r="K476" s="123"/>
    </row>
    <row r="477" spans="2:11" ht="15" thickBot="1" x14ac:dyDescent="0.35">
      <c r="B477" s="117">
        <v>221</v>
      </c>
      <c r="C477" s="118"/>
      <c r="D477" s="120">
        <f t="shared" ref="D477" si="872">$Q$18</f>
        <v>15.588640673015377</v>
      </c>
      <c r="E477" s="120"/>
      <c r="F477" s="120">
        <f t="shared" ref="F477" si="873">($L$15/12)*J475</f>
        <v>3.0746855229557686</v>
      </c>
      <c r="G477" s="120"/>
      <c r="H477" s="120">
        <f t="shared" ref="H477" si="874">D477-F477</f>
        <v>12.513955150059608</v>
      </c>
      <c r="I477" s="120"/>
      <c r="J477" s="120">
        <f t="shared" ref="J477" si="875">J475-H477</f>
        <v>1105.553507742947</v>
      </c>
      <c r="K477" s="122"/>
    </row>
    <row r="478" spans="2:11" ht="15" thickBot="1" x14ac:dyDescent="0.35">
      <c r="B478" s="41"/>
      <c r="C478" s="35"/>
      <c r="D478" s="121"/>
      <c r="E478" s="121"/>
      <c r="F478" s="121"/>
      <c r="G478" s="121"/>
      <c r="H478" s="121"/>
      <c r="I478" s="121"/>
      <c r="J478" s="121"/>
      <c r="K478" s="123"/>
    </row>
    <row r="479" spans="2:11" ht="15" thickBot="1" x14ac:dyDescent="0.35">
      <c r="B479" s="117">
        <v>222</v>
      </c>
      <c r="C479" s="118"/>
      <c r="D479" s="120">
        <f t="shared" ref="D479" si="876">$Q$18</f>
        <v>15.588640673015377</v>
      </c>
      <c r="E479" s="120"/>
      <c r="F479" s="120">
        <f t="shared" ref="F479" si="877">($L$15/12)*J477</f>
        <v>3.0402721462931046</v>
      </c>
      <c r="G479" s="120"/>
      <c r="H479" s="120">
        <f t="shared" ref="H479" si="878">D479-F479</f>
        <v>12.548368526722271</v>
      </c>
      <c r="I479" s="120"/>
      <c r="J479" s="120">
        <f t="shared" ref="J479" si="879">J477-H479</f>
        <v>1093.0051392162247</v>
      </c>
      <c r="K479" s="122"/>
    </row>
    <row r="480" spans="2:11" ht="15" thickBot="1" x14ac:dyDescent="0.35">
      <c r="B480" s="41"/>
      <c r="C480" s="35"/>
      <c r="D480" s="121"/>
      <c r="E480" s="121"/>
      <c r="F480" s="121"/>
      <c r="G480" s="121"/>
      <c r="H480" s="121"/>
      <c r="I480" s="121"/>
      <c r="J480" s="121"/>
      <c r="K480" s="123"/>
    </row>
    <row r="481" spans="2:11" ht="15" thickBot="1" x14ac:dyDescent="0.35">
      <c r="B481" s="117">
        <v>223</v>
      </c>
      <c r="C481" s="118"/>
      <c r="D481" s="120">
        <f t="shared" ref="D481" si="880">$Q$18</f>
        <v>15.588640673015377</v>
      </c>
      <c r="E481" s="120"/>
      <c r="F481" s="120">
        <f t="shared" ref="F481" si="881">($L$15/12)*J479</f>
        <v>3.0057641328446185</v>
      </c>
      <c r="G481" s="120"/>
      <c r="H481" s="120">
        <f t="shared" ref="H481" si="882">D481-F481</f>
        <v>12.582876540170759</v>
      </c>
      <c r="I481" s="120"/>
      <c r="J481" s="120">
        <f t="shared" ref="J481" si="883">J479-H481</f>
        <v>1080.4222626760541</v>
      </c>
      <c r="K481" s="122"/>
    </row>
    <row r="482" spans="2:11" ht="15" thickBot="1" x14ac:dyDescent="0.35">
      <c r="B482" s="41"/>
      <c r="C482" s="35"/>
      <c r="D482" s="121"/>
      <c r="E482" s="121"/>
      <c r="F482" s="121"/>
      <c r="G482" s="121"/>
      <c r="H482" s="121"/>
      <c r="I482" s="121"/>
      <c r="J482" s="121"/>
      <c r="K482" s="123"/>
    </row>
    <row r="483" spans="2:11" ht="15" thickBot="1" x14ac:dyDescent="0.35">
      <c r="B483" s="117">
        <v>224</v>
      </c>
      <c r="C483" s="118"/>
      <c r="D483" s="120">
        <f t="shared" ref="D483" si="884">$Q$18</f>
        <v>15.588640673015377</v>
      </c>
      <c r="E483" s="120"/>
      <c r="F483" s="120">
        <f t="shared" ref="F483" si="885">($L$15/12)*J481</f>
        <v>2.9711612223591488</v>
      </c>
      <c r="G483" s="120"/>
      <c r="H483" s="120">
        <f t="shared" ref="H483" si="886">D483-F483</f>
        <v>12.617479450656228</v>
      </c>
      <c r="I483" s="120"/>
      <c r="J483" s="120">
        <f t="shared" ref="J483" si="887">J481-H483</f>
        <v>1067.8047832253978</v>
      </c>
      <c r="K483" s="122"/>
    </row>
    <row r="484" spans="2:11" ht="15" thickBot="1" x14ac:dyDescent="0.35">
      <c r="B484" s="41"/>
      <c r="C484" s="35"/>
      <c r="D484" s="121"/>
      <c r="E484" s="121"/>
      <c r="F484" s="121"/>
      <c r="G484" s="121"/>
      <c r="H484" s="121"/>
      <c r="I484" s="121"/>
      <c r="J484" s="121"/>
      <c r="K484" s="123"/>
    </row>
    <row r="485" spans="2:11" ht="15" thickBot="1" x14ac:dyDescent="0.35">
      <c r="B485" s="117">
        <v>225</v>
      </c>
      <c r="C485" s="118"/>
      <c r="D485" s="120">
        <f t="shared" ref="D485" si="888">$Q$18</f>
        <v>15.588640673015377</v>
      </c>
      <c r="E485" s="120"/>
      <c r="F485" s="120">
        <f t="shared" ref="F485" si="889">($L$15/12)*J483</f>
        <v>2.9364631538698442</v>
      </c>
      <c r="G485" s="120"/>
      <c r="H485" s="120">
        <f t="shared" ref="H485" si="890">D485-F485</f>
        <v>12.652177519145532</v>
      </c>
      <c r="I485" s="120"/>
      <c r="J485" s="120">
        <f t="shared" ref="J485" si="891">J483-H485</f>
        <v>1055.1526057062524</v>
      </c>
      <c r="K485" s="122"/>
    </row>
    <row r="486" spans="2:11" ht="15" thickBot="1" x14ac:dyDescent="0.35">
      <c r="B486" s="41"/>
      <c r="C486" s="35"/>
      <c r="D486" s="121"/>
      <c r="E486" s="121"/>
      <c r="F486" s="121"/>
      <c r="G486" s="121"/>
      <c r="H486" s="121"/>
      <c r="I486" s="121"/>
      <c r="J486" s="121"/>
      <c r="K486" s="123"/>
    </row>
    <row r="487" spans="2:11" ht="15" thickBot="1" x14ac:dyDescent="0.35">
      <c r="B487" s="117">
        <v>226</v>
      </c>
      <c r="C487" s="118"/>
      <c r="D487" s="120">
        <f t="shared" ref="D487" si="892">$Q$18</f>
        <v>15.588640673015377</v>
      </c>
      <c r="E487" s="120"/>
      <c r="F487" s="120">
        <f t="shared" ref="F487" si="893">($L$15/12)*J485</f>
        <v>2.9016696656921943</v>
      </c>
      <c r="G487" s="120"/>
      <c r="H487" s="120">
        <f t="shared" ref="H487" si="894">D487-F487</f>
        <v>12.686971007323182</v>
      </c>
      <c r="I487" s="120"/>
      <c r="J487" s="120">
        <f t="shared" ref="J487" si="895">J485-H487</f>
        <v>1042.4656346989293</v>
      </c>
      <c r="K487" s="122"/>
    </row>
    <row r="488" spans="2:11" ht="15" thickBot="1" x14ac:dyDescent="0.35">
      <c r="B488" s="41"/>
      <c r="C488" s="35"/>
      <c r="D488" s="121"/>
      <c r="E488" s="121"/>
      <c r="F488" s="121"/>
      <c r="G488" s="121"/>
      <c r="H488" s="121"/>
      <c r="I488" s="121"/>
      <c r="J488" s="121"/>
      <c r="K488" s="123"/>
    </row>
    <row r="489" spans="2:11" ht="15" thickBot="1" x14ac:dyDescent="0.35">
      <c r="B489" s="117">
        <v>227</v>
      </c>
      <c r="C489" s="118"/>
      <c r="D489" s="120">
        <f t="shared" ref="D489" si="896">$Q$18</f>
        <v>15.588640673015377</v>
      </c>
      <c r="E489" s="120"/>
      <c r="F489" s="120">
        <f t="shared" ref="F489" si="897">($L$15/12)*J487</f>
        <v>2.8667804954220557</v>
      </c>
      <c r="G489" s="120"/>
      <c r="H489" s="120">
        <f t="shared" ref="H489" si="898">D489-F489</f>
        <v>12.721860177593321</v>
      </c>
      <c r="I489" s="120"/>
      <c r="J489" s="120">
        <f t="shared" ref="J489" si="899">J487-H489</f>
        <v>1029.743774521336</v>
      </c>
      <c r="K489" s="122"/>
    </row>
    <row r="490" spans="2:11" ht="15" thickBot="1" x14ac:dyDescent="0.35">
      <c r="B490" s="41"/>
      <c r="C490" s="35"/>
      <c r="D490" s="121"/>
      <c r="E490" s="121"/>
      <c r="F490" s="121"/>
      <c r="G490" s="121"/>
      <c r="H490" s="121"/>
      <c r="I490" s="121"/>
      <c r="J490" s="121"/>
      <c r="K490" s="123"/>
    </row>
    <row r="491" spans="2:11" ht="15" thickBot="1" x14ac:dyDescent="0.35">
      <c r="B491" s="117">
        <v>228</v>
      </c>
      <c r="C491" s="118"/>
      <c r="D491" s="120">
        <f t="shared" ref="D491" si="900">$Q$18</f>
        <v>15.588640673015377</v>
      </c>
      <c r="E491" s="120"/>
      <c r="F491" s="120">
        <f t="shared" ref="F491" si="901">($L$15/12)*J489</f>
        <v>2.8317953799336744</v>
      </c>
      <c r="G491" s="120"/>
      <c r="H491" s="120">
        <f t="shared" ref="H491" si="902">D491-F491</f>
        <v>12.756845293081703</v>
      </c>
      <c r="I491" s="120"/>
      <c r="J491" s="120">
        <f t="shared" ref="J491" si="903">J489-H491</f>
        <v>1016.9869292282543</v>
      </c>
      <c r="K491" s="122"/>
    </row>
    <row r="492" spans="2:11" ht="15" thickBot="1" x14ac:dyDescent="0.35">
      <c r="B492" s="41"/>
      <c r="C492" s="35"/>
      <c r="D492" s="121"/>
      <c r="E492" s="121"/>
      <c r="F492" s="121"/>
      <c r="G492" s="121"/>
      <c r="H492" s="121"/>
      <c r="I492" s="121"/>
      <c r="J492" s="121"/>
      <c r="K492" s="123"/>
    </row>
    <row r="493" spans="2:11" ht="15" thickBot="1" x14ac:dyDescent="0.35">
      <c r="B493" s="117">
        <v>229</v>
      </c>
      <c r="C493" s="118"/>
      <c r="D493" s="120">
        <f t="shared" ref="D493" si="904">$Q$18</f>
        <v>15.588640673015377</v>
      </c>
      <c r="E493" s="120"/>
      <c r="F493" s="120">
        <f t="shared" ref="F493" si="905">($L$15/12)*J491</f>
        <v>2.7967140553776995</v>
      </c>
      <c r="G493" s="120"/>
      <c r="H493" s="120">
        <f t="shared" ref="H493" si="906">D493-F493</f>
        <v>12.791926617637678</v>
      </c>
      <c r="I493" s="120"/>
      <c r="J493" s="120">
        <f t="shared" ref="J493" si="907">J491-H493</f>
        <v>1004.1950026106166</v>
      </c>
      <c r="K493" s="122"/>
    </row>
    <row r="494" spans="2:11" ht="15" thickBot="1" x14ac:dyDescent="0.35">
      <c r="B494" s="41"/>
      <c r="C494" s="35"/>
      <c r="D494" s="121"/>
      <c r="E494" s="121"/>
      <c r="F494" s="121"/>
      <c r="G494" s="121"/>
      <c r="H494" s="121"/>
      <c r="I494" s="121"/>
      <c r="J494" s="121"/>
      <c r="K494" s="123"/>
    </row>
    <row r="495" spans="2:11" ht="15" thickBot="1" x14ac:dyDescent="0.35">
      <c r="B495" s="117">
        <v>230</v>
      </c>
      <c r="C495" s="118"/>
      <c r="D495" s="120">
        <f t="shared" ref="D495" si="908">$Q$18</f>
        <v>15.588640673015377</v>
      </c>
      <c r="E495" s="120"/>
      <c r="F495" s="120">
        <f t="shared" ref="F495" si="909">($L$15/12)*J493</f>
        <v>2.7615362571791957</v>
      </c>
      <c r="G495" s="120"/>
      <c r="H495" s="120">
        <f t="shared" ref="H495" si="910">D495-F495</f>
        <v>12.827104415836182</v>
      </c>
      <c r="I495" s="120"/>
      <c r="J495" s="120">
        <f t="shared" ref="J495" si="911">J493-H495</f>
        <v>991.36789819478042</v>
      </c>
      <c r="K495" s="122"/>
    </row>
    <row r="496" spans="2:11" ht="15" thickBot="1" x14ac:dyDescent="0.35">
      <c r="B496" s="41"/>
      <c r="C496" s="35"/>
      <c r="D496" s="121"/>
      <c r="E496" s="121"/>
      <c r="F496" s="121"/>
      <c r="G496" s="121"/>
      <c r="H496" s="121"/>
      <c r="I496" s="121"/>
      <c r="J496" s="121"/>
      <c r="K496" s="123"/>
    </row>
    <row r="497" spans="2:11" ht="15" thickBot="1" x14ac:dyDescent="0.35">
      <c r="B497" s="117">
        <v>231</v>
      </c>
      <c r="C497" s="118"/>
      <c r="D497" s="120">
        <f t="shared" ref="D497" si="912">$Q$18</f>
        <v>15.588640673015377</v>
      </c>
      <c r="E497" s="120"/>
      <c r="F497" s="120">
        <f t="shared" ref="F497" si="913">($L$15/12)*J495</f>
        <v>2.7262617200356463</v>
      </c>
      <c r="G497" s="120"/>
      <c r="H497" s="120">
        <f t="shared" ref="H497" si="914">D497-F497</f>
        <v>12.86237895297973</v>
      </c>
      <c r="I497" s="120"/>
      <c r="J497" s="120">
        <f t="shared" ref="J497" si="915">J495-H497</f>
        <v>978.5055192418007</v>
      </c>
      <c r="K497" s="122"/>
    </row>
    <row r="498" spans="2:11" ht="15" thickBot="1" x14ac:dyDescent="0.35">
      <c r="B498" s="41"/>
      <c r="C498" s="35"/>
      <c r="D498" s="121"/>
      <c r="E498" s="121"/>
      <c r="F498" s="121"/>
      <c r="G498" s="121"/>
      <c r="H498" s="121"/>
      <c r="I498" s="121"/>
      <c r="J498" s="121"/>
      <c r="K498" s="123"/>
    </row>
    <row r="499" spans="2:11" ht="15" thickBot="1" x14ac:dyDescent="0.35">
      <c r="B499" s="117">
        <v>232</v>
      </c>
      <c r="C499" s="118"/>
      <c r="D499" s="120">
        <f t="shared" ref="D499" si="916">$Q$18</f>
        <v>15.588640673015377</v>
      </c>
      <c r="E499" s="120"/>
      <c r="F499" s="120">
        <f t="shared" ref="F499" si="917">($L$15/12)*J497</f>
        <v>2.6908901779149521</v>
      </c>
      <c r="G499" s="120"/>
      <c r="H499" s="120">
        <f t="shared" ref="H499" si="918">D499-F499</f>
        <v>12.897750495100425</v>
      </c>
      <c r="I499" s="120"/>
      <c r="J499" s="120">
        <f t="shared" ref="J499" si="919">J497-H499</f>
        <v>965.60776874670023</v>
      </c>
      <c r="K499" s="122"/>
    </row>
    <row r="500" spans="2:11" ht="15" thickBot="1" x14ac:dyDescent="0.35">
      <c r="B500" s="41"/>
      <c r="C500" s="35"/>
      <c r="D500" s="121"/>
      <c r="E500" s="121"/>
      <c r="F500" s="121"/>
      <c r="G500" s="121"/>
      <c r="H500" s="121"/>
      <c r="I500" s="121"/>
      <c r="J500" s="121"/>
      <c r="K500" s="123"/>
    </row>
    <row r="501" spans="2:11" ht="15" thickBot="1" x14ac:dyDescent="0.35">
      <c r="B501" s="117">
        <v>233</v>
      </c>
      <c r="C501" s="118"/>
      <c r="D501" s="120">
        <f t="shared" ref="D501" si="920">$Q$18</f>
        <v>15.588640673015377</v>
      </c>
      <c r="E501" s="120"/>
      <c r="F501" s="120">
        <f t="shared" ref="F501" si="921">($L$15/12)*J499</f>
        <v>2.6554213640534261</v>
      </c>
      <c r="G501" s="120"/>
      <c r="H501" s="120">
        <f t="shared" ref="H501" si="922">D501-F501</f>
        <v>12.93321930896195</v>
      </c>
      <c r="I501" s="120"/>
      <c r="J501" s="120">
        <f t="shared" ref="J501" si="923">J499-H501</f>
        <v>952.67454943773828</v>
      </c>
      <c r="K501" s="122"/>
    </row>
    <row r="502" spans="2:11" ht="15" thickBot="1" x14ac:dyDescent="0.35">
      <c r="B502" s="41"/>
      <c r="C502" s="35"/>
      <c r="D502" s="121"/>
      <c r="E502" s="121"/>
      <c r="F502" s="121"/>
      <c r="G502" s="121"/>
      <c r="H502" s="121"/>
      <c r="I502" s="121"/>
      <c r="J502" s="121"/>
      <c r="K502" s="123"/>
    </row>
    <row r="503" spans="2:11" ht="15" thickBot="1" x14ac:dyDescent="0.35">
      <c r="B503" s="117">
        <v>234</v>
      </c>
      <c r="C503" s="118"/>
      <c r="D503" s="120">
        <f t="shared" ref="D503" si="924">$Q$18</f>
        <v>15.588640673015377</v>
      </c>
      <c r="E503" s="120"/>
      <c r="F503" s="120">
        <f t="shared" ref="F503" si="925">($L$15/12)*J501</f>
        <v>2.6198550109537804</v>
      </c>
      <c r="G503" s="120"/>
      <c r="H503" s="120">
        <f t="shared" ref="H503" si="926">D503-F503</f>
        <v>12.968785662061595</v>
      </c>
      <c r="I503" s="120"/>
      <c r="J503" s="120">
        <f t="shared" ref="J503" si="927">J501-H503</f>
        <v>939.7057637756767</v>
      </c>
      <c r="K503" s="122"/>
    </row>
    <row r="504" spans="2:11" ht="15" thickBot="1" x14ac:dyDescent="0.35">
      <c r="B504" s="41"/>
      <c r="C504" s="35"/>
      <c r="D504" s="121"/>
      <c r="E504" s="121"/>
      <c r="F504" s="121"/>
      <c r="G504" s="121"/>
      <c r="H504" s="121"/>
      <c r="I504" s="121"/>
      <c r="J504" s="121"/>
      <c r="K504" s="123"/>
    </row>
    <row r="505" spans="2:11" ht="15" thickBot="1" x14ac:dyDescent="0.35">
      <c r="B505" s="117">
        <v>235</v>
      </c>
      <c r="C505" s="118"/>
      <c r="D505" s="120">
        <f t="shared" ref="D505" si="928">$Q$18</f>
        <v>15.588640673015377</v>
      </c>
      <c r="E505" s="120"/>
      <c r="F505" s="120">
        <f t="shared" ref="F505" si="929">($L$15/12)*J503</f>
        <v>2.584190850383111</v>
      </c>
      <c r="G505" s="120"/>
      <c r="H505" s="120">
        <f t="shared" ref="H505" si="930">D505-F505</f>
        <v>13.004449822632266</v>
      </c>
      <c r="I505" s="120"/>
      <c r="J505" s="120">
        <f t="shared" ref="J505" si="931">J503-H505</f>
        <v>926.70131395304441</v>
      </c>
      <c r="K505" s="122"/>
    </row>
    <row r="506" spans="2:11" ht="15" thickBot="1" x14ac:dyDescent="0.35">
      <c r="B506" s="41"/>
      <c r="C506" s="35"/>
      <c r="D506" s="121"/>
      <c r="E506" s="121"/>
      <c r="F506" s="121"/>
      <c r="G506" s="121"/>
      <c r="H506" s="121"/>
      <c r="I506" s="121"/>
      <c r="J506" s="121"/>
      <c r="K506" s="123"/>
    </row>
    <row r="507" spans="2:11" ht="15" thickBot="1" x14ac:dyDescent="0.35">
      <c r="B507" s="117">
        <v>236</v>
      </c>
      <c r="C507" s="118"/>
      <c r="D507" s="120">
        <f t="shared" ref="D507" si="932">$Q$18</f>
        <v>15.588640673015377</v>
      </c>
      <c r="E507" s="120"/>
      <c r="F507" s="120">
        <f t="shared" ref="F507" si="933">($L$15/12)*J505</f>
        <v>2.5484286133708722</v>
      </c>
      <c r="G507" s="120"/>
      <c r="H507" s="120">
        <f t="shared" ref="H507" si="934">D507-F507</f>
        <v>13.040212059644505</v>
      </c>
      <c r="I507" s="120"/>
      <c r="J507" s="120">
        <f t="shared" ref="J507" si="935">J505-H507</f>
        <v>913.66110189339986</v>
      </c>
      <c r="K507" s="122"/>
    </row>
    <row r="508" spans="2:11" ht="15" thickBot="1" x14ac:dyDescent="0.35">
      <c r="B508" s="41"/>
      <c r="C508" s="35"/>
      <c r="D508" s="121"/>
      <c r="E508" s="121"/>
      <c r="F508" s="121"/>
      <c r="G508" s="121"/>
      <c r="H508" s="121"/>
      <c r="I508" s="121"/>
      <c r="J508" s="121"/>
      <c r="K508" s="123"/>
    </row>
    <row r="509" spans="2:11" ht="15" thickBot="1" x14ac:dyDescent="0.35">
      <c r="B509" s="117">
        <v>237</v>
      </c>
      <c r="C509" s="118"/>
      <c r="D509" s="120">
        <f t="shared" ref="D509" si="936">$Q$18</f>
        <v>15.588640673015377</v>
      </c>
      <c r="E509" s="120"/>
      <c r="F509" s="120">
        <f t="shared" ref="F509" si="937">($L$15/12)*J507</f>
        <v>2.5125680302068498</v>
      </c>
      <c r="G509" s="120"/>
      <c r="H509" s="120">
        <f t="shared" ref="H509" si="938">D509-F509</f>
        <v>13.076072642808526</v>
      </c>
      <c r="I509" s="120"/>
      <c r="J509" s="120">
        <f t="shared" ref="J509" si="939">J507-H509</f>
        <v>900.58502925059133</v>
      </c>
      <c r="K509" s="122"/>
    </row>
    <row r="510" spans="2:11" ht="15" thickBot="1" x14ac:dyDescent="0.35">
      <c r="B510" s="41"/>
      <c r="C510" s="35"/>
      <c r="D510" s="121"/>
      <c r="E510" s="121"/>
      <c r="F510" s="121"/>
      <c r="G510" s="121"/>
      <c r="H510" s="121"/>
      <c r="I510" s="121"/>
      <c r="J510" s="121"/>
      <c r="K510" s="123"/>
    </row>
    <row r="511" spans="2:11" ht="15" thickBot="1" x14ac:dyDescent="0.35">
      <c r="B511" s="117">
        <v>238</v>
      </c>
      <c r="C511" s="118"/>
      <c r="D511" s="120">
        <f t="shared" ref="D511" si="940">$Q$18</f>
        <v>15.588640673015377</v>
      </c>
      <c r="E511" s="120"/>
      <c r="F511" s="120">
        <f t="shared" ref="F511" si="941">($L$15/12)*J509</f>
        <v>2.4766088304391265</v>
      </c>
      <c r="G511" s="120"/>
      <c r="H511" s="120">
        <f t="shared" ref="H511" si="942">D511-F511</f>
        <v>13.112031842576251</v>
      </c>
      <c r="I511" s="120"/>
      <c r="J511" s="120">
        <f t="shared" ref="J511" si="943">J509-H511</f>
        <v>887.47299740801509</v>
      </c>
      <c r="K511" s="122"/>
    </row>
    <row r="512" spans="2:11" ht="15" thickBot="1" x14ac:dyDescent="0.35">
      <c r="B512" s="41"/>
      <c r="C512" s="35"/>
      <c r="D512" s="121"/>
      <c r="E512" s="121"/>
      <c r="F512" s="121"/>
      <c r="G512" s="121"/>
      <c r="H512" s="121"/>
      <c r="I512" s="121"/>
      <c r="J512" s="121"/>
      <c r="K512" s="123"/>
    </row>
    <row r="513" spans="2:11" ht="15" thickBot="1" x14ac:dyDescent="0.35">
      <c r="B513" s="117">
        <v>239</v>
      </c>
      <c r="C513" s="118"/>
      <c r="D513" s="120">
        <f t="shared" ref="D513" si="944">$Q$18</f>
        <v>15.588640673015377</v>
      </c>
      <c r="E513" s="120"/>
      <c r="F513" s="120">
        <f t="shared" ref="F513" si="945">($L$15/12)*J511</f>
        <v>2.4405507428720417</v>
      </c>
      <c r="G513" s="120"/>
      <c r="H513" s="120">
        <f t="shared" ref="H513" si="946">D513-F513</f>
        <v>13.148089930143335</v>
      </c>
      <c r="I513" s="120"/>
      <c r="J513" s="120">
        <f t="shared" ref="J513" si="947">J511-H513</f>
        <v>874.32490747787176</v>
      </c>
      <c r="K513" s="122"/>
    </row>
    <row r="514" spans="2:11" ht="15" thickBot="1" x14ac:dyDescent="0.35">
      <c r="B514" s="41"/>
      <c r="C514" s="35"/>
      <c r="D514" s="121"/>
      <c r="E514" s="121"/>
      <c r="F514" s="121"/>
      <c r="G514" s="121"/>
      <c r="H514" s="121"/>
      <c r="I514" s="121"/>
      <c r="J514" s="121"/>
      <c r="K514" s="123"/>
    </row>
    <row r="515" spans="2:11" ht="15" thickBot="1" x14ac:dyDescent="0.35">
      <c r="B515" s="117">
        <v>240</v>
      </c>
      <c r="C515" s="118"/>
      <c r="D515" s="120">
        <f t="shared" ref="D515" si="948">$Q$18</f>
        <v>15.588640673015377</v>
      </c>
      <c r="E515" s="120"/>
      <c r="F515" s="120">
        <f t="shared" ref="F515" si="949">($L$15/12)*J513</f>
        <v>2.4043934955641477</v>
      </c>
      <c r="G515" s="120"/>
      <c r="H515" s="120">
        <f t="shared" ref="H515" si="950">D515-F515</f>
        <v>13.18424717745123</v>
      </c>
      <c r="I515" s="120"/>
      <c r="J515" s="120">
        <f t="shared" ref="J515" si="951">J513-H515</f>
        <v>861.14066030042056</v>
      </c>
      <c r="K515" s="122"/>
    </row>
    <row r="516" spans="2:11" ht="15" thickBot="1" x14ac:dyDescent="0.35">
      <c r="B516" s="41"/>
      <c r="C516" s="35"/>
      <c r="D516" s="121"/>
      <c r="E516" s="121"/>
      <c r="F516" s="121"/>
      <c r="G516" s="121"/>
      <c r="H516" s="121"/>
      <c r="I516" s="121"/>
      <c r="J516" s="121"/>
      <c r="K516" s="123"/>
    </row>
    <row r="517" spans="2:11" ht="15" thickBot="1" x14ac:dyDescent="0.35">
      <c r="B517" s="117">
        <v>241</v>
      </c>
      <c r="C517" s="118"/>
      <c r="D517" s="120">
        <f t="shared" ref="D517" si="952">$Q$18</f>
        <v>15.588640673015377</v>
      </c>
      <c r="E517" s="120"/>
      <c r="F517" s="120">
        <f t="shared" ref="F517" si="953">($L$15/12)*J515</f>
        <v>2.3681368158261566</v>
      </c>
      <c r="G517" s="120"/>
      <c r="H517" s="120">
        <f t="shared" ref="H517" si="954">D517-F517</f>
        <v>13.22050385718922</v>
      </c>
      <c r="I517" s="120"/>
      <c r="J517" s="120">
        <f t="shared" ref="J517" si="955">J515-H517</f>
        <v>847.92015644323135</v>
      </c>
      <c r="K517" s="122"/>
    </row>
    <row r="518" spans="2:11" ht="15" thickBot="1" x14ac:dyDescent="0.35">
      <c r="B518" s="41"/>
      <c r="C518" s="35"/>
      <c r="D518" s="121"/>
      <c r="E518" s="121"/>
      <c r="F518" s="121"/>
      <c r="G518" s="121"/>
      <c r="H518" s="121"/>
      <c r="I518" s="121"/>
      <c r="J518" s="121"/>
      <c r="K518" s="123"/>
    </row>
    <row r="519" spans="2:11" ht="15" thickBot="1" x14ac:dyDescent="0.35">
      <c r="B519" s="117">
        <v>242</v>
      </c>
      <c r="C519" s="118"/>
      <c r="D519" s="120">
        <f t="shared" ref="D519" si="956">$Q$18</f>
        <v>15.588640673015377</v>
      </c>
      <c r="E519" s="120"/>
      <c r="F519" s="120">
        <f t="shared" ref="F519" si="957">($L$15/12)*J517</f>
        <v>2.3317804302188865</v>
      </c>
      <c r="G519" s="120"/>
      <c r="H519" s="120">
        <f t="shared" ref="H519" si="958">D519-F519</f>
        <v>13.25686024279649</v>
      </c>
      <c r="I519" s="120"/>
      <c r="J519" s="120">
        <f t="shared" ref="J519" si="959">J517-H519</f>
        <v>834.66329620043484</v>
      </c>
      <c r="K519" s="122"/>
    </row>
    <row r="520" spans="2:11" ht="15" thickBot="1" x14ac:dyDescent="0.35">
      <c r="B520" s="41"/>
      <c r="C520" s="35"/>
      <c r="D520" s="121"/>
      <c r="E520" s="121"/>
      <c r="F520" s="121"/>
      <c r="G520" s="121"/>
      <c r="H520" s="121"/>
      <c r="I520" s="121"/>
      <c r="J520" s="121"/>
      <c r="K520" s="123"/>
    </row>
    <row r="521" spans="2:11" ht="15" thickBot="1" x14ac:dyDescent="0.35">
      <c r="B521" s="117">
        <v>243</v>
      </c>
      <c r="C521" s="118"/>
      <c r="D521" s="120">
        <f t="shared" ref="D521" si="960">$Q$18</f>
        <v>15.588640673015377</v>
      </c>
      <c r="E521" s="120"/>
      <c r="F521" s="120">
        <f t="shared" ref="F521" si="961">($L$15/12)*J519</f>
        <v>2.2953240645511959</v>
      </c>
      <c r="G521" s="120"/>
      <c r="H521" s="120">
        <f t="shared" ref="H521" si="962">D521-F521</f>
        <v>13.293316608464181</v>
      </c>
      <c r="I521" s="120"/>
      <c r="J521" s="120">
        <f t="shared" ref="J521" si="963">J519-H521</f>
        <v>821.3699795919706</v>
      </c>
      <c r="K521" s="122"/>
    </row>
    <row r="522" spans="2:11" ht="15" thickBot="1" x14ac:dyDescent="0.35">
      <c r="B522" s="41"/>
      <c r="C522" s="35"/>
      <c r="D522" s="121"/>
      <c r="E522" s="121"/>
      <c r="F522" s="121"/>
      <c r="G522" s="121"/>
      <c r="H522" s="121"/>
      <c r="I522" s="121"/>
      <c r="J522" s="121"/>
      <c r="K522" s="123"/>
    </row>
    <row r="523" spans="2:11" ht="15" thickBot="1" x14ac:dyDescent="0.35">
      <c r="B523" s="117">
        <v>244</v>
      </c>
      <c r="C523" s="118"/>
      <c r="D523" s="120">
        <f t="shared" ref="D523" si="964">$Q$18</f>
        <v>15.588640673015377</v>
      </c>
      <c r="E523" s="120"/>
      <c r="F523" s="120">
        <f t="shared" ref="F523" si="965">($L$15/12)*J521</f>
        <v>2.2587674438779195</v>
      </c>
      <c r="G523" s="120"/>
      <c r="H523" s="120">
        <f t="shared" ref="H523" si="966">D523-F523</f>
        <v>13.329873229137457</v>
      </c>
      <c r="I523" s="120"/>
      <c r="J523" s="120">
        <f t="shared" ref="J523" si="967">J521-H523</f>
        <v>808.04010636283317</v>
      </c>
      <c r="K523" s="122"/>
    </row>
    <row r="524" spans="2:11" ht="15" thickBot="1" x14ac:dyDescent="0.35">
      <c r="B524" s="41"/>
      <c r="C524" s="35"/>
      <c r="D524" s="121"/>
      <c r="E524" s="121"/>
      <c r="F524" s="121"/>
      <c r="G524" s="121"/>
      <c r="H524" s="121"/>
      <c r="I524" s="121"/>
      <c r="J524" s="121"/>
      <c r="K524" s="123"/>
    </row>
    <row r="525" spans="2:11" ht="15" thickBot="1" x14ac:dyDescent="0.35">
      <c r="B525" s="117">
        <v>245</v>
      </c>
      <c r="C525" s="118"/>
      <c r="D525" s="120">
        <f t="shared" ref="D525" si="968">$Q$18</f>
        <v>15.588640673015377</v>
      </c>
      <c r="E525" s="120"/>
      <c r="F525" s="120">
        <f t="shared" ref="F525" si="969">($L$15/12)*J523</f>
        <v>2.2221102924977916</v>
      </c>
      <c r="G525" s="120"/>
      <c r="H525" s="120">
        <f t="shared" ref="H525" si="970">D525-F525</f>
        <v>13.366530380517585</v>
      </c>
      <c r="I525" s="120"/>
      <c r="J525" s="120">
        <f t="shared" ref="J525" si="971">J523-H525</f>
        <v>794.67357598231558</v>
      </c>
      <c r="K525" s="122"/>
    </row>
    <row r="526" spans="2:11" ht="15" thickBot="1" x14ac:dyDescent="0.35">
      <c r="B526" s="41"/>
      <c r="C526" s="35"/>
      <c r="D526" s="121"/>
      <c r="E526" s="121"/>
      <c r="F526" s="121"/>
      <c r="G526" s="121"/>
      <c r="H526" s="121"/>
      <c r="I526" s="121"/>
      <c r="J526" s="121"/>
      <c r="K526" s="123"/>
    </row>
    <row r="527" spans="2:11" ht="15" thickBot="1" x14ac:dyDescent="0.35">
      <c r="B527" s="117">
        <v>246</v>
      </c>
      <c r="C527" s="118"/>
      <c r="D527" s="120">
        <f t="shared" ref="D527" si="972">$Q$18</f>
        <v>15.588640673015377</v>
      </c>
      <c r="E527" s="120"/>
      <c r="F527" s="120">
        <f t="shared" ref="F527" si="973">($L$15/12)*J525</f>
        <v>2.1853523339513679</v>
      </c>
      <c r="G527" s="120"/>
      <c r="H527" s="120">
        <f t="shared" ref="H527" si="974">D527-F527</f>
        <v>13.403288339064009</v>
      </c>
      <c r="I527" s="120"/>
      <c r="J527" s="120">
        <f t="shared" ref="J527" si="975">J525-H527</f>
        <v>781.27028764325155</v>
      </c>
      <c r="K527" s="122"/>
    </row>
    <row r="528" spans="2:11" ht="15" thickBot="1" x14ac:dyDescent="0.35">
      <c r="B528" s="41"/>
      <c r="C528" s="35"/>
      <c r="D528" s="121"/>
      <c r="E528" s="121"/>
      <c r="F528" s="121"/>
      <c r="G528" s="121"/>
      <c r="H528" s="121"/>
      <c r="I528" s="121"/>
      <c r="J528" s="121"/>
      <c r="K528" s="123"/>
    </row>
    <row r="529" spans="2:11" ht="15" thickBot="1" x14ac:dyDescent="0.35">
      <c r="B529" s="117">
        <v>247</v>
      </c>
      <c r="C529" s="118"/>
      <c r="D529" s="120">
        <f t="shared" ref="D529" si="976">$Q$18</f>
        <v>15.588640673015377</v>
      </c>
      <c r="E529" s="120"/>
      <c r="F529" s="120">
        <f t="shared" ref="F529" si="977">($L$15/12)*J527</f>
        <v>2.148493291018942</v>
      </c>
      <c r="G529" s="120"/>
      <c r="H529" s="120">
        <f t="shared" ref="H529" si="978">D529-F529</f>
        <v>13.440147381996434</v>
      </c>
      <c r="I529" s="120"/>
      <c r="J529" s="120">
        <f t="shared" ref="J529" si="979">J527-H529</f>
        <v>767.83014026125511</v>
      </c>
      <c r="K529" s="122"/>
    </row>
    <row r="530" spans="2:11" ht="15" thickBot="1" x14ac:dyDescent="0.35">
      <c r="B530" s="41"/>
      <c r="C530" s="35"/>
      <c r="D530" s="121"/>
      <c r="E530" s="121"/>
      <c r="F530" s="121"/>
      <c r="G530" s="121"/>
      <c r="H530" s="121"/>
      <c r="I530" s="121"/>
      <c r="J530" s="121"/>
      <c r="K530" s="123"/>
    </row>
    <row r="531" spans="2:11" ht="15" thickBot="1" x14ac:dyDescent="0.35">
      <c r="B531" s="117">
        <v>248</v>
      </c>
      <c r="C531" s="118"/>
      <c r="D531" s="120">
        <f t="shared" ref="D531" si="980">$Q$18</f>
        <v>15.588640673015377</v>
      </c>
      <c r="E531" s="120"/>
      <c r="F531" s="120">
        <f t="shared" ref="F531" si="981">($L$15/12)*J529</f>
        <v>2.1115328857184519</v>
      </c>
      <c r="G531" s="120"/>
      <c r="H531" s="120">
        <f t="shared" ref="H531" si="982">D531-F531</f>
        <v>13.477107787296925</v>
      </c>
      <c r="I531" s="120"/>
      <c r="J531" s="120">
        <f t="shared" ref="J531" si="983">J529-H531</f>
        <v>754.35303247395814</v>
      </c>
      <c r="K531" s="122"/>
    </row>
    <row r="532" spans="2:11" ht="15" thickBot="1" x14ac:dyDescent="0.35">
      <c r="B532" s="41"/>
      <c r="C532" s="35"/>
      <c r="D532" s="121"/>
      <c r="E532" s="121"/>
      <c r="F532" s="121"/>
      <c r="G532" s="121"/>
      <c r="H532" s="121"/>
      <c r="I532" s="121"/>
      <c r="J532" s="121"/>
      <c r="K532" s="123"/>
    </row>
    <row r="533" spans="2:11" ht="15" thickBot="1" x14ac:dyDescent="0.35">
      <c r="B533" s="117">
        <v>249</v>
      </c>
      <c r="C533" s="118"/>
      <c r="D533" s="120">
        <f t="shared" ref="D533" si="984">$Q$18</f>
        <v>15.588640673015377</v>
      </c>
      <c r="E533" s="120"/>
      <c r="F533" s="120">
        <f t="shared" ref="F533" si="985">($L$15/12)*J531</f>
        <v>2.0744708393033853</v>
      </c>
      <c r="G533" s="120"/>
      <c r="H533" s="120">
        <f t="shared" ref="H533" si="986">D533-F533</f>
        <v>13.514169833711991</v>
      </c>
      <c r="I533" s="120"/>
      <c r="J533" s="120">
        <f t="shared" ref="J533" si="987">J531-H533</f>
        <v>740.83886264024613</v>
      </c>
      <c r="K533" s="122"/>
    </row>
    <row r="534" spans="2:11" ht="15" thickBot="1" x14ac:dyDescent="0.35">
      <c r="B534" s="41"/>
      <c r="C534" s="35"/>
      <c r="D534" s="121"/>
      <c r="E534" s="121"/>
      <c r="F534" s="121"/>
      <c r="G534" s="121"/>
      <c r="H534" s="121"/>
      <c r="I534" s="121"/>
      <c r="J534" s="121"/>
      <c r="K534" s="123"/>
    </row>
    <row r="535" spans="2:11" ht="15" thickBot="1" x14ac:dyDescent="0.35">
      <c r="B535" s="117">
        <v>250</v>
      </c>
      <c r="C535" s="118"/>
      <c r="D535" s="120">
        <f t="shared" ref="D535" si="988">$Q$18</f>
        <v>15.588640673015377</v>
      </c>
      <c r="E535" s="120"/>
      <c r="F535" s="120">
        <f t="shared" ref="F535" si="989">($L$15/12)*J533</f>
        <v>2.0373068722606771</v>
      </c>
      <c r="G535" s="120"/>
      <c r="H535" s="120">
        <f t="shared" ref="H535" si="990">D535-F535</f>
        <v>13.5513338007547</v>
      </c>
      <c r="I535" s="120"/>
      <c r="J535" s="120">
        <f t="shared" ref="J535" si="991">J533-H535</f>
        <v>727.28752883949142</v>
      </c>
      <c r="K535" s="122"/>
    </row>
    <row r="536" spans="2:11" ht="15" thickBot="1" x14ac:dyDescent="0.35">
      <c r="B536" s="41"/>
      <c r="C536" s="35"/>
      <c r="D536" s="121"/>
      <c r="E536" s="121"/>
      <c r="F536" s="121"/>
      <c r="G536" s="121"/>
      <c r="H536" s="121"/>
      <c r="I536" s="121"/>
      <c r="J536" s="121"/>
      <c r="K536" s="123"/>
    </row>
    <row r="537" spans="2:11" ht="15" thickBot="1" x14ac:dyDescent="0.35">
      <c r="B537" s="117">
        <v>251</v>
      </c>
      <c r="C537" s="118"/>
      <c r="D537" s="120">
        <f t="shared" ref="D537" si="992">$Q$18</f>
        <v>15.588640673015377</v>
      </c>
      <c r="E537" s="120"/>
      <c r="F537" s="120">
        <f t="shared" ref="F537" si="993">($L$15/12)*J535</f>
        <v>2.0000407043086015</v>
      </c>
      <c r="G537" s="120"/>
      <c r="H537" s="120">
        <f t="shared" ref="H537" si="994">D537-F537</f>
        <v>13.588599968706776</v>
      </c>
      <c r="I537" s="120"/>
      <c r="J537" s="120">
        <f t="shared" ref="J537" si="995">J535-H537</f>
        <v>713.69892887078458</v>
      </c>
      <c r="K537" s="122"/>
    </row>
    <row r="538" spans="2:11" ht="15" thickBot="1" x14ac:dyDescent="0.35">
      <c r="B538" s="41"/>
      <c r="C538" s="35"/>
      <c r="D538" s="121"/>
      <c r="E538" s="121"/>
      <c r="F538" s="121"/>
      <c r="G538" s="121"/>
      <c r="H538" s="121"/>
      <c r="I538" s="121"/>
      <c r="J538" s="121"/>
      <c r="K538" s="123"/>
    </row>
    <row r="539" spans="2:11" ht="15" thickBot="1" x14ac:dyDescent="0.35">
      <c r="B539" s="117">
        <v>252</v>
      </c>
      <c r="C539" s="118"/>
      <c r="D539" s="120">
        <f t="shared" ref="D539" si="996">$Q$18</f>
        <v>15.588640673015377</v>
      </c>
      <c r="E539" s="120"/>
      <c r="F539" s="120">
        <f t="shared" ref="F539" si="997">($L$15/12)*J537</f>
        <v>1.9626720543946579</v>
      </c>
      <c r="G539" s="120"/>
      <c r="H539" s="120">
        <f t="shared" ref="H539" si="998">D539-F539</f>
        <v>13.625968618620719</v>
      </c>
      <c r="I539" s="120"/>
      <c r="J539" s="120">
        <f t="shared" ref="J539" si="999">J537-H539</f>
        <v>700.07296025216385</v>
      </c>
      <c r="K539" s="122"/>
    </row>
    <row r="540" spans="2:11" ht="15" thickBot="1" x14ac:dyDescent="0.35">
      <c r="B540" s="41"/>
      <c r="C540" s="35"/>
      <c r="D540" s="121"/>
      <c r="E540" s="121"/>
      <c r="F540" s="121"/>
      <c r="G540" s="121"/>
      <c r="H540" s="121"/>
      <c r="I540" s="121"/>
      <c r="J540" s="121"/>
      <c r="K540" s="123"/>
    </row>
    <row r="541" spans="2:11" ht="15" thickBot="1" x14ac:dyDescent="0.35">
      <c r="B541" s="117">
        <v>253</v>
      </c>
      <c r="C541" s="118"/>
      <c r="D541" s="120">
        <f t="shared" ref="D541" si="1000">$Q$18</f>
        <v>15.588640673015377</v>
      </c>
      <c r="E541" s="120"/>
      <c r="F541" s="120">
        <f t="shared" ref="F541" si="1001">($L$15/12)*J539</f>
        <v>1.9252006406934508</v>
      </c>
      <c r="G541" s="120"/>
      <c r="H541" s="120">
        <f t="shared" ref="H541" si="1002">D541-F541</f>
        <v>13.663440032321926</v>
      </c>
      <c r="I541" s="120"/>
      <c r="J541" s="120">
        <f t="shared" ref="J541" si="1003">J539-H541</f>
        <v>686.40952021984197</v>
      </c>
      <c r="K541" s="122"/>
    </row>
    <row r="542" spans="2:11" ht="15" thickBot="1" x14ac:dyDescent="0.35">
      <c r="B542" s="41"/>
      <c r="C542" s="35"/>
      <c r="D542" s="121"/>
      <c r="E542" s="121"/>
      <c r="F542" s="121"/>
      <c r="G542" s="121"/>
      <c r="H542" s="121"/>
      <c r="I542" s="121"/>
      <c r="J542" s="121"/>
      <c r="K542" s="123"/>
    </row>
    <row r="543" spans="2:11" ht="15" thickBot="1" x14ac:dyDescent="0.35">
      <c r="B543" s="117">
        <v>254</v>
      </c>
      <c r="C543" s="118"/>
      <c r="D543" s="120">
        <f t="shared" ref="D543" si="1004">$Q$18</f>
        <v>15.588640673015377</v>
      </c>
      <c r="E543" s="120"/>
      <c r="F543" s="120">
        <f t="shared" ref="F543" si="1005">($L$15/12)*J541</f>
        <v>1.8876261806045656</v>
      </c>
      <c r="G543" s="120"/>
      <c r="H543" s="120">
        <f t="shared" ref="H543" si="1006">D543-F543</f>
        <v>13.701014492410811</v>
      </c>
      <c r="I543" s="120"/>
      <c r="J543" s="120">
        <f t="shared" ref="J543" si="1007">J541-H543</f>
        <v>672.7085057274312</v>
      </c>
      <c r="K543" s="122"/>
    </row>
    <row r="544" spans="2:11" ht="15" thickBot="1" x14ac:dyDescent="0.35">
      <c r="B544" s="41"/>
      <c r="C544" s="35"/>
      <c r="D544" s="121"/>
      <c r="E544" s="121"/>
      <c r="F544" s="121"/>
      <c r="G544" s="121"/>
      <c r="H544" s="121"/>
      <c r="I544" s="121"/>
      <c r="J544" s="121"/>
      <c r="K544" s="123"/>
    </row>
    <row r="545" spans="2:11" ht="15" thickBot="1" x14ac:dyDescent="0.35">
      <c r="B545" s="117">
        <v>255</v>
      </c>
      <c r="C545" s="118"/>
      <c r="D545" s="120">
        <f t="shared" ref="D545" si="1008">$Q$18</f>
        <v>15.588640673015377</v>
      </c>
      <c r="E545" s="120"/>
      <c r="F545" s="120">
        <f t="shared" ref="F545" si="1009">($L$15/12)*J543</f>
        <v>1.8499483907504359</v>
      </c>
      <c r="G545" s="120"/>
      <c r="H545" s="120">
        <f t="shared" ref="H545" si="1010">D545-F545</f>
        <v>13.738692282264941</v>
      </c>
      <c r="I545" s="120"/>
      <c r="J545" s="120">
        <f t="shared" ref="J545" si="1011">J543-H545</f>
        <v>658.96981344516621</v>
      </c>
      <c r="K545" s="122"/>
    </row>
    <row r="546" spans="2:11" ht="15" thickBot="1" x14ac:dyDescent="0.35">
      <c r="B546" s="41"/>
      <c r="C546" s="35"/>
      <c r="D546" s="121"/>
      <c r="E546" s="121"/>
      <c r="F546" s="121"/>
      <c r="G546" s="121"/>
      <c r="H546" s="121"/>
      <c r="I546" s="121"/>
      <c r="J546" s="121"/>
      <c r="K546" s="123"/>
    </row>
    <row r="547" spans="2:11" ht="15" thickBot="1" x14ac:dyDescent="0.35">
      <c r="B547" s="117">
        <v>256</v>
      </c>
      <c r="C547" s="118"/>
      <c r="D547" s="120">
        <f t="shared" ref="D547" si="1012">$Q$18</f>
        <v>15.588640673015377</v>
      </c>
      <c r="E547" s="120"/>
      <c r="F547" s="120">
        <f t="shared" ref="F547" si="1013">($L$15/12)*J545</f>
        <v>1.8121669869742072</v>
      </c>
      <c r="G547" s="120"/>
      <c r="H547" s="120">
        <f t="shared" ref="H547" si="1014">D547-F547</f>
        <v>13.77647368604117</v>
      </c>
      <c r="I547" s="120"/>
      <c r="J547" s="120">
        <f t="shared" ref="J547" si="1015">J545-H547</f>
        <v>645.19333975912502</v>
      </c>
      <c r="K547" s="122"/>
    </row>
    <row r="548" spans="2:11" ht="15" thickBot="1" x14ac:dyDescent="0.35">
      <c r="B548" s="41"/>
      <c r="C548" s="35"/>
      <c r="D548" s="121"/>
      <c r="E548" s="121"/>
      <c r="F548" s="121"/>
      <c r="G548" s="121"/>
      <c r="H548" s="121"/>
      <c r="I548" s="121"/>
      <c r="J548" s="121"/>
      <c r="K548" s="123"/>
    </row>
    <row r="549" spans="2:11" ht="15" thickBot="1" x14ac:dyDescent="0.35">
      <c r="B549" s="117">
        <v>257</v>
      </c>
      <c r="C549" s="118"/>
      <c r="D549" s="120">
        <f t="shared" ref="D549" si="1016">$Q$18</f>
        <v>15.588640673015377</v>
      </c>
      <c r="E549" s="120"/>
      <c r="F549" s="120">
        <f t="shared" ref="F549" si="1017">($L$15/12)*J547</f>
        <v>1.7742816843375939</v>
      </c>
      <c r="G549" s="120"/>
      <c r="H549" s="120">
        <f t="shared" ref="H549" si="1018">D549-F549</f>
        <v>13.814358988677782</v>
      </c>
      <c r="I549" s="120"/>
      <c r="J549" s="120">
        <f t="shared" ref="J549" si="1019">J547-H549</f>
        <v>631.37898077044724</v>
      </c>
      <c r="K549" s="122"/>
    </row>
    <row r="550" spans="2:11" ht="15" thickBot="1" x14ac:dyDescent="0.35">
      <c r="B550" s="41"/>
      <c r="C550" s="35"/>
      <c r="D550" s="121"/>
      <c r="E550" s="121"/>
      <c r="F550" s="121"/>
      <c r="G550" s="121"/>
      <c r="H550" s="121"/>
      <c r="I550" s="121"/>
      <c r="J550" s="121"/>
      <c r="K550" s="123"/>
    </row>
    <row r="551" spans="2:11" ht="15" thickBot="1" x14ac:dyDescent="0.35">
      <c r="B551" s="117">
        <v>258</v>
      </c>
      <c r="C551" s="118"/>
      <c r="D551" s="120">
        <f t="shared" ref="D551" si="1020">$Q$18</f>
        <v>15.588640673015377</v>
      </c>
      <c r="E551" s="120"/>
      <c r="F551" s="120">
        <f t="shared" ref="F551" si="1021">($L$15/12)*J549</f>
        <v>1.7362921971187302</v>
      </c>
      <c r="G551" s="120"/>
      <c r="H551" s="120">
        <f t="shared" ref="H551" si="1022">D551-F551</f>
        <v>13.852348475896646</v>
      </c>
      <c r="I551" s="120"/>
      <c r="J551" s="120">
        <f t="shared" ref="J551" si="1023">J549-H551</f>
        <v>617.52663229455061</v>
      </c>
      <c r="K551" s="122"/>
    </row>
    <row r="552" spans="2:11" ht="15" thickBot="1" x14ac:dyDescent="0.35">
      <c r="B552" s="41"/>
      <c r="C552" s="35"/>
      <c r="D552" s="121"/>
      <c r="E552" s="121"/>
      <c r="F552" s="121"/>
      <c r="G552" s="121"/>
      <c r="H552" s="121"/>
      <c r="I552" s="121"/>
      <c r="J552" s="121"/>
      <c r="K552" s="123"/>
    </row>
    <row r="553" spans="2:11" ht="15" thickBot="1" x14ac:dyDescent="0.35">
      <c r="B553" s="117">
        <v>259</v>
      </c>
      <c r="C553" s="118"/>
      <c r="D553" s="120">
        <f t="shared" ref="D553" si="1024">$Q$18</f>
        <v>15.588640673015377</v>
      </c>
      <c r="E553" s="120"/>
      <c r="F553" s="120">
        <f t="shared" ref="F553" si="1025">($L$15/12)*J551</f>
        <v>1.6981982388100143</v>
      </c>
      <c r="G553" s="120"/>
      <c r="H553" s="120">
        <f t="shared" ref="H553" si="1026">D553-F553</f>
        <v>13.890442434205362</v>
      </c>
      <c r="I553" s="120"/>
      <c r="J553" s="120">
        <f t="shared" ref="J553" si="1027">J551-H553</f>
        <v>603.63618986034521</v>
      </c>
      <c r="K553" s="122"/>
    </row>
    <row r="554" spans="2:11" ht="15" thickBot="1" x14ac:dyDescent="0.35">
      <c r="B554" s="41"/>
      <c r="C554" s="35"/>
      <c r="D554" s="121"/>
      <c r="E554" s="121"/>
      <c r="F554" s="121"/>
      <c r="G554" s="121"/>
      <c r="H554" s="121"/>
      <c r="I554" s="121"/>
      <c r="J554" s="121"/>
      <c r="K554" s="123"/>
    </row>
    <row r="555" spans="2:11" ht="15" thickBot="1" x14ac:dyDescent="0.35">
      <c r="B555" s="117">
        <v>260</v>
      </c>
      <c r="C555" s="118"/>
      <c r="D555" s="120">
        <f t="shared" ref="D555" si="1028">$Q$18</f>
        <v>15.588640673015377</v>
      </c>
      <c r="E555" s="120"/>
      <c r="F555" s="120">
        <f t="shared" ref="F555" si="1029">($L$15/12)*J553</f>
        <v>1.6599995221159496</v>
      </c>
      <c r="G555" s="120"/>
      <c r="H555" s="120">
        <f t="shared" ref="H555" si="1030">D555-F555</f>
        <v>13.928641150899427</v>
      </c>
      <c r="I555" s="120"/>
      <c r="J555" s="120">
        <f t="shared" ref="J555" si="1031">J553-H555</f>
        <v>589.70754870944575</v>
      </c>
      <c r="K555" s="122"/>
    </row>
    <row r="556" spans="2:11" ht="15" thickBot="1" x14ac:dyDescent="0.35">
      <c r="B556" s="41"/>
      <c r="C556" s="35"/>
      <c r="D556" s="121"/>
      <c r="E556" s="121"/>
      <c r="F556" s="121"/>
      <c r="G556" s="121"/>
      <c r="H556" s="121"/>
      <c r="I556" s="121"/>
      <c r="J556" s="121"/>
      <c r="K556" s="123"/>
    </row>
    <row r="557" spans="2:11" ht="15" thickBot="1" x14ac:dyDescent="0.35">
      <c r="B557" s="117">
        <v>261</v>
      </c>
      <c r="C557" s="118"/>
      <c r="D557" s="120">
        <f t="shared" ref="D557" si="1032">$Q$18</f>
        <v>15.588640673015377</v>
      </c>
      <c r="E557" s="120"/>
      <c r="F557" s="120">
        <f t="shared" ref="F557" si="1033">($L$15/12)*J555</f>
        <v>1.621695758950976</v>
      </c>
      <c r="G557" s="120"/>
      <c r="H557" s="120">
        <f t="shared" ref="H557" si="1034">D557-F557</f>
        <v>13.966944914064401</v>
      </c>
      <c r="I557" s="120"/>
      <c r="J557" s="120">
        <f t="shared" ref="J557" si="1035">J555-H557</f>
        <v>575.74060379538139</v>
      </c>
      <c r="K557" s="122"/>
    </row>
    <row r="558" spans="2:11" ht="15" thickBot="1" x14ac:dyDescent="0.35">
      <c r="B558" s="41"/>
      <c r="C558" s="35"/>
      <c r="D558" s="121"/>
      <c r="E558" s="121"/>
      <c r="F558" s="121"/>
      <c r="G558" s="121"/>
      <c r="H558" s="121"/>
      <c r="I558" s="121"/>
      <c r="J558" s="121"/>
      <c r="K558" s="123"/>
    </row>
    <row r="559" spans="2:11" ht="15" thickBot="1" x14ac:dyDescent="0.35">
      <c r="B559" s="117">
        <v>262</v>
      </c>
      <c r="C559" s="118"/>
      <c r="D559" s="120">
        <f t="shared" ref="D559" si="1036">$Q$18</f>
        <v>15.588640673015377</v>
      </c>
      <c r="E559" s="120"/>
      <c r="F559" s="120">
        <f t="shared" ref="F559" si="1037">($L$15/12)*J557</f>
        <v>1.583286660437299</v>
      </c>
      <c r="G559" s="120"/>
      <c r="H559" s="120">
        <f t="shared" ref="H559" si="1038">D559-F559</f>
        <v>14.005354012578078</v>
      </c>
      <c r="I559" s="120"/>
      <c r="J559" s="120">
        <f t="shared" ref="J559" si="1039">J557-H559</f>
        <v>561.73524978280329</v>
      </c>
      <c r="K559" s="122"/>
    </row>
    <row r="560" spans="2:11" ht="15" thickBot="1" x14ac:dyDescent="0.35">
      <c r="B560" s="41"/>
      <c r="C560" s="35"/>
      <c r="D560" s="121"/>
      <c r="E560" s="121"/>
      <c r="F560" s="121"/>
      <c r="G560" s="121"/>
      <c r="H560" s="121"/>
      <c r="I560" s="121"/>
      <c r="J560" s="121"/>
      <c r="K560" s="123"/>
    </row>
    <row r="561" spans="2:11" ht="15" thickBot="1" x14ac:dyDescent="0.35">
      <c r="B561" s="117">
        <v>263</v>
      </c>
      <c r="C561" s="118"/>
      <c r="D561" s="120">
        <f t="shared" ref="D561" si="1040">$Q$18</f>
        <v>15.588640673015377</v>
      </c>
      <c r="E561" s="120"/>
      <c r="F561" s="120">
        <f t="shared" ref="F561" si="1041">($L$15/12)*J559</f>
        <v>1.5447719369027093</v>
      </c>
      <c r="G561" s="120"/>
      <c r="H561" s="120">
        <f t="shared" ref="H561" si="1042">D561-F561</f>
        <v>14.043868736112668</v>
      </c>
      <c r="I561" s="120"/>
      <c r="J561" s="120">
        <f t="shared" ref="J561" si="1043">J559-H561</f>
        <v>547.69138104669059</v>
      </c>
      <c r="K561" s="122"/>
    </row>
    <row r="562" spans="2:11" ht="15" thickBot="1" x14ac:dyDescent="0.35">
      <c r="B562" s="41"/>
      <c r="C562" s="35"/>
      <c r="D562" s="121"/>
      <c r="E562" s="121"/>
      <c r="F562" s="121"/>
      <c r="G562" s="121"/>
      <c r="H562" s="121"/>
      <c r="I562" s="121"/>
      <c r="J562" s="121"/>
      <c r="K562" s="123"/>
    </row>
    <row r="563" spans="2:11" ht="15" thickBot="1" x14ac:dyDescent="0.35">
      <c r="B563" s="117">
        <v>264</v>
      </c>
      <c r="C563" s="118"/>
      <c r="D563" s="120">
        <f t="shared" ref="D563" si="1044">$Q$18</f>
        <v>15.588640673015377</v>
      </c>
      <c r="E563" s="120"/>
      <c r="F563" s="120">
        <f t="shared" ref="F563" si="1045">($L$15/12)*J561</f>
        <v>1.5061512978783993</v>
      </c>
      <c r="G563" s="120"/>
      <c r="H563" s="120">
        <f t="shared" ref="H563" si="1046">D563-F563</f>
        <v>14.082489375136976</v>
      </c>
      <c r="I563" s="120"/>
      <c r="J563" s="120">
        <f t="shared" ref="J563" si="1047">J561-H563</f>
        <v>533.60889167155358</v>
      </c>
      <c r="K563" s="122"/>
    </row>
    <row r="564" spans="2:11" ht="15" thickBot="1" x14ac:dyDescent="0.35">
      <c r="B564" s="41"/>
      <c r="C564" s="35"/>
      <c r="D564" s="121"/>
      <c r="E564" s="121"/>
      <c r="F564" s="121"/>
      <c r="G564" s="121"/>
      <c r="H564" s="121"/>
      <c r="I564" s="121"/>
      <c r="J564" s="121"/>
      <c r="K564" s="123"/>
    </row>
    <row r="565" spans="2:11" ht="15" thickBot="1" x14ac:dyDescent="0.35">
      <c r="B565" s="117">
        <v>265</v>
      </c>
      <c r="C565" s="118"/>
      <c r="D565" s="120">
        <f t="shared" ref="D565" si="1048">$Q$18</f>
        <v>15.588640673015377</v>
      </c>
      <c r="E565" s="120"/>
      <c r="F565" s="120">
        <f t="shared" ref="F565" si="1049">($L$15/12)*J563</f>
        <v>1.4674244520967725</v>
      </c>
      <c r="G565" s="120"/>
      <c r="H565" s="120">
        <f t="shared" ref="H565" si="1050">D565-F565</f>
        <v>14.121216220918605</v>
      </c>
      <c r="I565" s="120"/>
      <c r="J565" s="120">
        <f t="shared" ref="J565" si="1051">J563-H565</f>
        <v>519.48767545063492</v>
      </c>
      <c r="K565" s="122"/>
    </row>
    <row r="566" spans="2:11" ht="15" thickBot="1" x14ac:dyDescent="0.35">
      <c r="B566" s="41"/>
      <c r="C566" s="35"/>
      <c r="D566" s="121"/>
      <c r="E566" s="121"/>
      <c r="F566" s="121"/>
      <c r="G566" s="121"/>
      <c r="H566" s="121"/>
      <c r="I566" s="121"/>
      <c r="J566" s="121"/>
      <c r="K566" s="123"/>
    </row>
    <row r="567" spans="2:11" ht="15" thickBot="1" x14ac:dyDescent="0.35">
      <c r="B567" s="117">
        <v>266</v>
      </c>
      <c r="C567" s="118"/>
      <c r="D567" s="120">
        <f t="shared" ref="D567" si="1052">$Q$18</f>
        <v>15.588640673015377</v>
      </c>
      <c r="E567" s="120"/>
      <c r="F567" s="120">
        <f t="shared" ref="F567" si="1053">($L$15/12)*J565</f>
        <v>1.4285911074892461</v>
      </c>
      <c r="G567" s="120"/>
      <c r="H567" s="120">
        <f t="shared" ref="H567" si="1054">D567-F567</f>
        <v>14.16004956552613</v>
      </c>
      <c r="I567" s="120"/>
      <c r="J567" s="120">
        <f t="shared" ref="J567" si="1055">J565-H567</f>
        <v>505.32762588510877</v>
      </c>
      <c r="K567" s="122"/>
    </row>
    <row r="568" spans="2:11" ht="15" thickBot="1" x14ac:dyDescent="0.35">
      <c r="B568" s="41"/>
      <c r="C568" s="35"/>
      <c r="D568" s="121"/>
      <c r="E568" s="121"/>
      <c r="F568" s="121"/>
      <c r="G568" s="121"/>
      <c r="H568" s="121"/>
      <c r="I568" s="121"/>
      <c r="J568" s="121"/>
      <c r="K568" s="123"/>
    </row>
    <row r="569" spans="2:11" ht="15" thickBot="1" x14ac:dyDescent="0.35">
      <c r="B569" s="117">
        <v>267</v>
      </c>
      <c r="C569" s="118"/>
      <c r="D569" s="120">
        <f t="shared" ref="D569" si="1056">$Q$18</f>
        <v>15.588640673015377</v>
      </c>
      <c r="E569" s="120"/>
      <c r="F569" s="120">
        <f t="shared" ref="F569" si="1057">($L$15/12)*J567</f>
        <v>1.3896509711840492</v>
      </c>
      <c r="G569" s="120"/>
      <c r="H569" s="120">
        <f t="shared" ref="H569" si="1058">D569-F569</f>
        <v>14.198989701831326</v>
      </c>
      <c r="I569" s="120"/>
      <c r="J569" s="120">
        <f t="shared" ref="J569" si="1059">J567-H569</f>
        <v>491.12863618327742</v>
      </c>
      <c r="K569" s="122"/>
    </row>
    <row r="570" spans="2:11" ht="15" thickBot="1" x14ac:dyDescent="0.35">
      <c r="B570" s="41"/>
      <c r="C570" s="35"/>
      <c r="D570" s="121"/>
      <c r="E570" s="121"/>
      <c r="F570" s="121"/>
      <c r="G570" s="121"/>
      <c r="H570" s="121"/>
      <c r="I570" s="121"/>
      <c r="J570" s="121"/>
      <c r="K570" s="123"/>
    </row>
    <row r="571" spans="2:11" ht="15" thickBot="1" x14ac:dyDescent="0.35">
      <c r="B571" s="117">
        <v>268</v>
      </c>
      <c r="C571" s="118"/>
      <c r="D571" s="120">
        <f t="shared" ref="D571" si="1060">$Q$18</f>
        <v>15.588640673015377</v>
      </c>
      <c r="E571" s="120"/>
      <c r="F571" s="120">
        <f t="shared" ref="F571" si="1061">($L$15/12)*J569</f>
        <v>1.3506037495040131</v>
      </c>
      <c r="G571" s="120"/>
      <c r="H571" s="120">
        <f t="shared" ref="H571" si="1062">D571-F571</f>
        <v>14.238036923511363</v>
      </c>
      <c r="I571" s="120"/>
      <c r="J571" s="120">
        <f t="shared" ref="J571" si="1063">J569-H571</f>
        <v>476.89059925976608</v>
      </c>
      <c r="K571" s="122"/>
    </row>
    <row r="572" spans="2:11" ht="15" thickBot="1" x14ac:dyDescent="0.35">
      <c r="B572" s="41"/>
      <c r="C572" s="35"/>
      <c r="D572" s="121"/>
      <c r="E572" s="121"/>
      <c r="F572" s="121"/>
      <c r="G572" s="121"/>
      <c r="H572" s="121"/>
      <c r="I572" s="121"/>
      <c r="J572" s="121"/>
      <c r="K572" s="123"/>
    </row>
    <row r="573" spans="2:11" ht="15" thickBot="1" x14ac:dyDescent="0.35">
      <c r="B573" s="117">
        <v>269</v>
      </c>
      <c r="C573" s="118"/>
      <c r="D573" s="120">
        <f t="shared" ref="D573" si="1064">$Q$18</f>
        <v>15.588640673015377</v>
      </c>
      <c r="E573" s="120"/>
      <c r="F573" s="120">
        <f t="shared" ref="F573" si="1065">($L$15/12)*J571</f>
        <v>1.3114491479643569</v>
      </c>
      <c r="G573" s="120"/>
      <c r="H573" s="120">
        <f t="shared" ref="H573" si="1066">D573-F573</f>
        <v>14.27719152505102</v>
      </c>
      <c r="I573" s="120"/>
      <c r="J573" s="120">
        <f t="shared" ref="J573" si="1067">J571-H573</f>
        <v>462.61340773471505</v>
      </c>
      <c r="K573" s="122"/>
    </row>
    <row r="574" spans="2:11" ht="15" thickBot="1" x14ac:dyDescent="0.35">
      <c r="B574" s="41"/>
      <c r="C574" s="35"/>
      <c r="D574" s="121"/>
      <c r="E574" s="121"/>
      <c r="F574" s="121"/>
      <c r="G574" s="121"/>
      <c r="H574" s="121"/>
      <c r="I574" s="121"/>
      <c r="J574" s="121"/>
      <c r="K574" s="123"/>
    </row>
    <row r="575" spans="2:11" ht="15" thickBot="1" x14ac:dyDescent="0.35">
      <c r="B575" s="117">
        <v>270</v>
      </c>
      <c r="C575" s="118"/>
      <c r="D575" s="120">
        <f t="shared" ref="D575" si="1068">$Q$18</f>
        <v>15.588640673015377</v>
      </c>
      <c r="E575" s="120"/>
      <c r="F575" s="120">
        <f t="shared" ref="F575" si="1069">($L$15/12)*J573</f>
        <v>1.2721868712704665</v>
      </c>
      <c r="G575" s="120"/>
      <c r="H575" s="120">
        <f t="shared" ref="H575" si="1070">D575-F575</f>
        <v>14.31645380174491</v>
      </c>
      <c r="I575" s="120"/>
      <c r="J575" s="120">
        <f t="shared" ref="J575" si="1071">J573-H575</f>
        <v>448.29695393297015</v>
      </c>
      <c r="K575" s="122"/>
    </row>
    <row r="576" spans="2:11" ht="15" thickBot="1" x14ac:dyDescent="0.35">
      <c r="B576" s="41"/>
      <c r="C576" s="35"/>
      <c r="D576" s="121"/>
      <c r="E576" s="121"/>
      <c r="F576" s="121"/>
      <c r="G576" s="121"/>
      <c r="H576" s="121"/>
      <c r="I576" s="121"/>
      <c r="J576" s="121"/>
      <c r="K576" s="123"/>
    </row>
    <row r="577" spans="2:11" ht="15" thickBot="1" x14ac:dyDescent="0.35">
      <c r="B577" s="117">
        <v>271</v>
      </c>
      <c r="C577" s="118"/>
      <c r="D577" s="120">
        <f t="shared" ref="D577" si="1072">$Q$18</f>
        <v>15.588640673015377</v>
      </c>
      <c r="E577" s="120"/>
      <c r="F577" s="120">
        <f t="shared" ref="F577" si="1073">($L$15/12)*J575</f>
        <v>1.2328166233156681</v>
      </c>
      <c r="G577" s="120"/>
      <c r="H577" s="120">
        <f t="shared" ref="H577" si="1074">D577-F577</f>
        <v>14.355824049699709</v>
      </c>
      <c r="I577" s="120"/>
      <c r="J577" s="120">
        <f t="shared" ref="J577" si="1075">J575-H577</f>
        <v>433.94112988327043</v>
      </c>
      <c r="K577" s="122"/>
    </row>
    <row r="578" spans="2:11" ht="15" thickBot="1" x14ac:dyDescent="0.35">
      <c r="B578" s="41"/>
      <c r="C578" s="35"/>
      <c r="D578" s="121"/>
      <c r="E578" s="121"/>
      <c r="F578" s="121"/>
      <c r="G578" s="121"/>
      <c r="H578" s="121"/>
      <c r="I578" s="121"/>
      <c r="J578" s="121"/>
      <c r="K578" s="123"/>
    </row>
    <row r="579" spans="2:11" ht="15" thickBot="1" x14ac:dyDescent="0.35">
      <c r="B579" s="117">
        <v>272</v>
      </c>
      <c r="C579" s="118"/>
      <c r="D579" s="120">
        <f t="shared" ref="D579" si="1076">$Q$18</f>
        <v>15.588640673015377</v>
      </c>
      <c r="E579" s="120"/>
      <c r="F579" s="120">
        <f t="shared" ref="F579" si="1077">($L$15/12)*J577</f>
        <v>1.1933381071789939</v>
      </c>
      <c r="G579" s="120"/>
      <c r="H579" s="120">
        <f t="shared" ref="H579" si="1078">D579-F579</f>
        <v>14.395302565836383</v>
      </c>
      <c r="I579" s="120"/>
      <c r="J579" s="120">
        <f t="shared" ref="J579" si="1079">J577-H579</f>
        <v>419.54582731743403</v>
      </c>
      <c r="K579" s="122"/>
    </row>
    <row r="580" spans="2:11" ht="15" thickBot="1" x14ac:dyDescent="0.35">
      <c r="B580" s="41"/>
      <c r="C580" s="35"/>
      <c r="D580" s="121"/>
      <c r="E580" s="121"/>
      <c r="F580" s="121"/>
      <c r="G580" s="121"/>
      <c r="H580" s="121"/>
      <c r="I580" s="121"/>
      <c r="J580" s="121"/>
      <c r="K580" s="123"/>
    </row>
    <row r="581" spans="2:11" ht="15" thickBot="1" x14ac:dyDescent="0.35">
      <c r="B581" s="117">
        <v>273</v>
      </c>
      <c r="C581" s="118"/>
      <c r="D581" s="120">
        <f t="shared" ref="D581" si="1080">$Q$18</f>
        <v>15.588640673015377</v>
      </c>
      <c r="E581" s="120"/>
      <c r="F581" s="120">
        <f t="shared" ref="F581" si="1081">($L$15/12)*J579</f>
        <v>1.1537510251229437</v>
      </c>
      <c r="G581" s="120"/>
      <c r="H581" s="120">
        <f t="shared" ref="H581" si="1082">D581-F581</f>
        <v>14.434889647892433</v>
      </c>
      <c r="I581" s="120"/>
      <c r="J581" s="120">
        <f t="shared" ref="J581" si="1083">J579-H581</f>
        <v>405.11093766954161</v>
      </c>
      <c r="K581" s="122"/>
    </row>
    <row r="582" spans="2:11" ht="15" thickBot="1" x14ac:dyDescent="0.35">
      <c r="B582" s="41"/>
      <c r="C582" s="35"/>
      <c r="D582" s="121"/>
      <c r="E582" s="121"/>
      <c r="F582" s="121"/>
      <c r="G582" s="121"/>
      <c r="H582" s="121"/>
      <c r="I582" s="121"/>
      <c r="J582" s="121"/>
      <c r="K582" s="123"/>
    </row>
    <row r="583" spans="2:11" ht="15" thickBot="1" x14ac:dyDescent="0.35">
      <c r="B583" s="117">
        <v>274</v>
      </c>
      <c r="C583" s="118"/>
      <c r="D583" s="120">
        <f t="shared" ref="D583" si="1084">$Q$18</f>
        <v>15.588640673015377</v>
      </c>
      <c r="E583" s="120"/>
      <c r="F583" s="120">
        <f t="shared" ref="F583" si="1085">($L$15/12)*J581</f>
        <v>1.1140550785912395</v>
      </c>
      <c r="G583" s="120"/>
      <c r="H583" s="120">
        <f t="shared" ref="H583" si="1086">D583-F583</f>
        <v>14.474585594424138</v>
      </c>
      <c r="I583" s="120"/>
      <c r="J583" s="120">
        <f t="shared" ref="J583" si="1087">J581-H583</f>
        <v>390.63635207511749</v>
      </c>
      <c r="K583" s="122"/>
    </row>
    <row r="584" spans="2:11" ht="15" thickBot="1" x14ac:dyDescent="0.35">
      <c r="B584" s="41"/>
      <c r="C584" s="35"/>
      <c r="D584" s="121"/>
      <c r="E584" s="121"/>
      <c r="F584" s="121"/>
      <c r="G584" s="121"/>
      <c r="H584" s="121"/>
      <c r="I584" s="121"/>
      <c r="J584" s="121"/>
      <c r="K584" s="123"/>
    </row>
    <row r="585" spans="2:11" ht="15" thickBot="1" x14ac:dyDescent="0.35">
      <c r="B585" s="117">
        <v>275</v>
      </c>
      <c r="C585" s="118"/>
      <c r="D585" s="120">
        <f t="shared" ref="D585" si="1088">$Q$18</f>
        <v>15.588640673015377</v>
      </c>
      <c r="E585" s="120"/>
      <c r="F585" s="120">
        <f t="shared" ref="F585" si="1089">($L$15/12)*J583</f>
        <v>1.0742499682065731</v>
      </c>
      <c r="G585" s="120"/>
      <c r="H585" s="120">
        <f t="shared" ref="H585" si="1090">D585-F585</f>
        <v>14.514390704808804</v>
      </c>
      <c r="I585" s="120"/>
      <c r="J585" s="120">
        <f t="shared" ref="J585" si="1091">J583-H585</f>
        <v>376.12196137030867</v>
      </c>
      <c r="K585" s="122"/>
    </row>
    <row r="586" spans="2:11" ht="15" thickBot="1" x14ac:dyDescent="0.35">
      <c r="B586" s="41"/>
      <c r="C586" s="35"/>
      <c r="D586" s="121"/>
      <c r="E586" s="121"/>
      <c r="F586" s="121"/>
      <c r="G586" s="121"/>
      <c r="H586" s="121"/>
      <c r="I586" s="121"/>
      <c r="J586" s="121"/>
      <c r="K586" s="123"/>
    </row>
    <row r="587" spans="2:11" ht="15" thickBot="1" x14ac:dyDescent="0.35">
      <c r="B587" s="117">
        <v>276</v>
      </c>
      <c r="C587" s="118"/>
      <c r="D587" s="120">
        <f t="shared" ref="D587" si="1092">$Q$18</f>
        <v>15.588640673015377</v>
      </c>
      <c r="E587" s="120"/>
      <c r="F587" s="120">
        <f t="shared" ref="F587" si="1093">($L$15/12)*J585</f>
        <v>1.034335393768349</v>
      </c>
      <c r="G587" s="120"/>
      <c r="H587" s="120">
        <f t="shared" ref="H587" si="1094">D587-F587</f>
        <v>14.554305279247028</v>
      </c>
      <c r="I587" s="120"/>
      <c r="J587" s="120">
        <f t="shared" ref="J587" si="1095">J585-H587</f>
        <v>361.56765609106162</v>
      </c>
      <c r="K587" s="122"/>
    </row>
    <row r="588" spans="2:11" ht="15" thickBot="1" x14ac:dyDescent="0.35">
      <c r="B588" s="41"/>
      <c r="C588" s="35"/>
      <c r="D588" s="121"/>
      <c r="E588" s="121"/>
      <c r="F588" s="121"/>
      <c r="G588" s="121"/>
      <c r="H588" s="121"/>
      <c r="I588" s="121"/>
      <c r="J588" s="121"/>
      <c r="K588" s="123"/>
    </row>
    <row r="589" spans="2:11" ht="15" thickBot="1" x14ac:dyDescent="0.35">
      <c r="B589" s="117">
        <v>277</v>
      </c>
      <c r="C589" s="118"/>
      <c r="D589" s="120">
        <f t="shared" ref="D589" si="1096">$Q$18</f>
        <v>15.588640673015377</v>
      </c>
      <c r="E589" s="120"/>
      <c r="F589" s="120">
        <f t="shared" ref="F589" si="1097">($L$15/12)*J587</f>
        <v>0.99431105425041955</v>
      </c>
      <c r="G589" s="120"/>
      <c r="H589" s="120">
        <f t="shared" ref="H589" si="1098">D589-F589</f>
        <v>14.594329618764958</v>
      </c>
      <c r="I589" s="120"/>
      <c r="J589" s="120">
        <f t="shared" ref="J589" si="1099">J587-H589</f>
        <v>346.97332647229666</v>
      </c>
      <c r="K589" s="122"/>
    </row>
    <row r="590" spans="2:11" ht="15" thickBot="1" x14ac:dyDescent="0.35">
      <c r="B590" s="41"/>
      <c r="C590" s="35"/>
      <c r="D590" s="121"/>
      <c r="E590" s="121"/>
      <c r="F590" s="121"/>
      <c r="G590" s="121"/>
      <c r="H590" s="121"/>
      <c r="I590" s="121"/>
      <c r="J590" s="121"/>
      <c r="K590" s="123"/>
    </row>
    <row r="591" spans="2:11" ht="15" thickBot="1" x14ac:dyDescent="0.35">
      <c r="B591" s="117">
        <v>278</v>
      </c>
      <c r="C591" s="118"/>
      <c r="D591" s="120">
        <f t="shared" ref="D591" si="1100">$Q$18</f>
        <v>15.588640673015377</v>
      </c>
      <c r="E591" s="120"/>
      <c r="F591" s="120">
        <f t="shared" ref="F591" si="1101">($L$15/12)*J589</f>
        <v>0.95417664779881595</v>
      </c>
      <c r="G591" s="120"/>
      <c r="H591" s="120">
        <f t="shared" ref="H591" si="1102">D591-F591</f>
        <v>14.634464025216561</v>
      </c>
      <c r="I591" s="120"/>
      <c r="J591" s="120">
        <f t="shared" ref="J591" si="1103">J589-H591</f>
        <v>332.33886244708009</v>
      </c>
      <c r="K591" s="122"/>
    </row>
    <row r="592" spans="2:11" ht="15" thickBot="1" x14ac:dyDescent="0.35">
      <c r="B592" s="41"/>
      <c r="C592" s="35"/>
      <c r="D592" s="121"/>
      <c r="E592" s="121"/>
      <c r="F592" s="121"/>
      <c r="G592" s="121"/>
      <c r="H592" s="121"/>
      <c r="I592" s="121"/>
      <c r="J592" s="121"/>
      <c r="K592" s="123"/>
    </row>
    <row r="593" spans="2:11" ht="15" thickBot="1" x14ac:dyDescent="0.35">
      <c r="B593" s="117">
        <v>279</v>
      </c>
      <c r="C593" s="118"/>
      <c r="D593" s="120">
        <f t="shared" ref="D593" si="1104">$Q$18</f>
        <v>15.588640673015377</v>
      </c>
      <c r="E593" s="120"/>
      <c r="F593" s="120">
        <f t="shared" ref="F593" si="1105">($L$15/12)*J591</f>
        <v>0.91393187172947032</v>
      </c>
      <c r="G593" s="120"/>
      <c r="H593" s="120">
        <f t="shared" ref="H593" si="1106">D593-F593</f>
        <v>14.674708801285906</v>
      </c>
      <c r="I593" s="120"/>
      <c r="J593" s="120">
        <f t="shared" ref="J593" si="1107">J591-H593</f>
        <v>317.66415364579416</v>
      </c>
      <c r="K593" s="122"/>
    </row>
    <row r="594" spans="2:11" ht="15" thickBot="1" x14ac:dyDescent="0.35">
      <c r="B594" s="41"/>
      <c r="C594" s="35"/>
      <c r="D594" s="121"/>
      <c r="E594" s="121"/>
      <c r="F594" s="121"/>
      <c r="G594" s="121"/>
      <c r="H594" s="121"/>
      <c r="I594" s="121"/>
      <c r="J594" s="121"/>
      <c r="K594" s="123"/>
    </row>
    <row r="595" spans="2:11" ht="15" thickBot="1" x14ac:dyDescent="0.35">
      <c r="B595" s="117">
        <v>280</v>
      </c>
      <c r="C595" s="118"/>
      <c r="D595" s="120">
        <f t="shared" ref="D595" si="1108">$Q$18</f>
        <v>15.588640673015377</v>
      </c>
      <c r="E595" s="120"/>
      <c r="F595" s="120">
        <f t="shared" ref="F595" si="1109">($L$15/12)*J593</f>
        <v>0.87357642252593404</v>
      </c>
      <c r="G595" s="120"/>
      <c r="H595" s="120">
        <f t="shared" ref="H595" si="1110">D595-F595</f>
        <v>14.715064250489442</v>
      </c>
      <c r="I595" s="120"/>
      <c r="J595" s="120">
        <f t="shared" ref="J595" si="1111">J593-H595</f>
        <v>302.94908939530472</v>
      </c>
      <c r="K595" s="122"/>
    </row>
    <row r="596" spans="2:11" ht="15" thickBot="1" x14ac:dyDescent="0.35">
      <c r="B596" s="41"/>
      <c r="C596" s="35"/>
      <c r="D596" s="121"/>
      <c r="E596" s="121"/>
      <c r="F596" s="121"/>
      <c r="G596" s="121"/>
      <c r="H596" s="121"/>
      <c r="I596" s="121"/>
      <c r="J596" s="121"/>
      <c r="K596" s="123"/>
    </row>
    <row r="597" spans="2:11" ht="15" thickBot="1" x14ac:dyDescent="0.35">
      <c r="B597" s="117">
        <v>281</v>
      </c>
      <c r="C597" s="118"/>
      <c r="D597" s="120">
        <f t="shared" ref="D597" si="1112">$Q$18</f>
        <v>15.588640673015377</v>
      </c>
      <c r="E597" s="120"/>
      <c r="F597" s="120">
        <f t="shared" ref="F597" si="1113">($L$15/12)*J595</f>
        <v>0.83310999583708811</v>
      </c>
      <c r="G597" s="120"/>
      <c r="H597" s="120">
        <f t="shared" ref="H597" si="1114">D597-F597</f>
        <v>14.755530677178289</v>
      </c>
      <c r="I597" s="120"/>
      <c r="J597" s="120">
        <f t="shared" ref="J597" si="1115">J595-H597</f>
        <v>288.19355871812644</v>
      </c>
      <c r="K597" s="122"/>
    </row>
    <row r="598" spans="2:11" ht="15" thickBot="1" x14ac:dyDescent="0.35">
      <c r="B598" s="41"/>
      <c r="C598" s="35"/>
      <c r="D598" s="121"/>
      <c r="E598" s="121"/>
      <c r="F598" s="121"/>
      <c r="G598" s="121"/>
      <c r="H598" s="121"/>
      <c r="I598" s="121"/>
      <c r="J598" s="121"/>
      <c r="K598" s="123"/>
    </row>
    <row r="599" spans="2:11" ht="15" thickBot="1" x14ac:dyDescent="0.35">
      <c r="B599" s="117">
        <v>282</v>
      </c>
      <c r="C599" s="118"/>
      <c r="D599" s="120">
        <f t="shared" ref="D599" si="1116">$Q$18</f>
        <v>15.588640673015377</v>
      </c>
      <c r="E599" s="120"/>
      <c r="F599" s="120">
        <f t="shared" ref="F599" si="1117">($L$15/12)*J597</f>
        <v>0.79253228647484775</v>
      </c>
      <c r="G599" s="120"/>
      <c r="H599" s="120">
        <f t="shared" ref="H599" si="1118">D599-F599</f>
        <v>14.79610838654053</v>
      </c>
      <c r="I599" s="120"/>
      <c r="J599" s="120">
        <f t="shared" ref="J599" si="1119">J597-H599</f>
        <v>273.3974503315859</v>
      </c>
      <c r="K599" s="122"/>
    </row>
    <row r="600" spans="2:11" ht="15" thickBot="1" x14ac:dyDescent="0.35">
      <c r="B600" s="41"/>
      <c r="C600" s="35"/>
      <c r="D600" s="121"/>
      <c r="E600" s="121"/>
      <c r="F600" s="121"/>
      <c r="G600" s="121"/>
      <c r="H600" s="121"/>
      <c r="I600" s="121"/>
      <c r="J600" s="121"/>
      <c r="K600" s="123"/>
    </row>
    <row r="601" spans="2:11" ht="15" thickBot="1" x14ac:dyDescent="0.35">
      <c r="B601" s="117">
        <v>283</v>
      </c>
      <c r="C601" s="118"/>
      <c r="D601" s="120">
        <f t="shared" ref="D601" si="1120">$Q$18</f>
        <v>15.588640673015377</v>
      </c>
      <c r="E601" s="120"/>
      <c r="F601" s="120">
        <f t="shared" ref="F601" si="1121">($L$15/12)*J599</f>
        <v>0.75184298841186126</v>
      </c>
      <c r="G601" s="120"/>
      <c r="H601" s="120">
        <f t="shared" ref="H601" si="1122">D601-F601</f>
        <v>14.836797684603516</v>
      </c>
      <c r="I601" s="120"/>
      <c r="J601" s="120">
        <f t="shared" ref="J601" si="1123">J599-H601</f>
        <v>258.56065264698236</v>
      </c>
      <c r="K601" s="122"/>
    </row>
    <row r="602" spans="2:11" ht="15" thickBot="1" x14ac:dyDescent="0.35">
      <c r="B602" s="41"/>
      <c r="C602" s="35"/>
      <c r="D602" s="121"/>
      <c r="E602" s="121"/>
      <c r="F602" s="121"/>
      <c r="G602" s="121"/>
      <c r="H602" s="121"/>
      <c r="I602" s="121"/>
      <c r="J602" s="121"/>
      <c r="K602" s="123"/>
    </row>
    <row r="603" spans="2:11" ht="15" thickBot="1" x14ac:dyDescent="0.35">
      <c r="B603" s="117">
        <v>284</v>
      </c>
      <c r="C603" s="118"/>
      <c r="D603" s="120">
        <f t="shared" ref="D603" si="1124">$Q$18</f>
        <v>15.588640673015377</v>
      </c>
      <c r="E603" s="120"/>
      <c r="F603" s="120">
        <f t="shared" ref="F603" si="1125">($L$15/12)*J601</f>
        <v>0.7110417947792016</v>
      </c>
      <c r="G603" s="120"/>
      <c r="H603" s="120">
        <f t="shared" ref="H603" si="1126">D603-F603</f>
        <v>14.877598878236174</v>
      </c>
      <c r="I603" s="120"/>
      <c r="J603" s="120">
        <f t="shared" ref="J603" si="1127">J601-H603</f>
        <v>243.68305376874619</v>
      </c>
      <c r="K603" s="122"/>
    </row>
    <row r="604" spans="2:11" ht="15" thickBot="1" x14ac:dyDescent="0.35">
      <c r="B604" s="41"/>
      <c r="C604" s="35"/>
      <c r="D604" s="121"/>
      <c r="E604" s="121"/>
      <c r="F604" s="121"/>
      <c r="G604" s="121"/>
      <c r="H604" s="121"/>
      <c r="I604" s="121"/>
      <c r="J604" s="121"/>
      <c r="K604" s="123"/>
    </row>
    <row r="605" spans="2:11" ht="15" thickBot="1" x14ac:dyDescent="0.35">
      <c r="B605" s="117">
        <v>285</v>
      </c>
      <c r="C605" s="118"/>
      <c r="D605" s="120">
        <f t="shared" ref="D605" si="1128">$Q$18</f>
        <v>15.588640673015377</v>
      </c>
      <c r="E605" s="120"/>
      <c r="F605" s="120">
        <f t="shared" ref="F605" si="1129">($L$15/12)*J603</f>
        <v>0.67012839786405209</v>
      </c>
      <c r="G605" s="120"/>
      <c r="H605" s="120">
        <f t="shared" ref="H605" si="1130">D605-F605</f>
        <v>14.918512275151324</v>
      </c>
      <c r="I605" s="120"/>
      <c r="J605" s="120">
        <f t="shared" ref="J605" si="1131">J603-H605</f>
        <v>228.76454149359486</v>
      </c>
      <c r="K605" s="122"/>
    </row>
    <row r="606" spans="2:11" ht="15" thickBot="1" x14ac:dyDescent="0.35">
      <c r="B606" s="41"/>
      <c r="C606" s="35"/>
      <c r="D606" s="121"/>
      <c r="E606" s="121"/>
      <c r="F606" s="121"/>
      <c r="G606" s="121"/>
      <c r="H606" s="121"/>
      <c r="I606" s="121"/>
      <c r="J606" s="121"/>
      <c r="K606" s="123"/>
    </row>
    <row r="607" spans="2:11" ht="15" thickBot="1" x14ac:dyDescent="0.35">
      <c r="B607" s="117">
        <v>286</v>
      </c>
      <c r="C607" s="118"/>
      <c r="D607" s="120">
        <f t="shared" ref="D607" si="1132">$Q$18</f>
        <v>15.588640673015377</v>
      </c>
      <c r="E607" s="120"/>
      <c r="F607" s="120">
        <f t="shared" ref="F607" si="1133">($L$15/12)*J605</f>
        <v>0.62910248910738598</v>
      </c>
      <c r="G607" s="120"/>
      <c r="H607" s="120">
        <f t="shared" ref="H607" si="1134">D607-F607</f>
        <v>14.959538183907991</v>
      </c>
      <c r="I607" s="120"/>
      <c r="J607" s="120">
        <f t="shared" ref="J607" si="1135">J605-H607</f>
        <v>213.80500330968687</v>
      </c>
      <c r="K607" s="122"/>
    </row>
    <row r="608" spans="2:11" ht="15" thickBot="1" x14ac:dyDescent="0.35">
      <c r="B608" s="41"/>
      <c r="C608" s="35"/>
      <c r="D608" s="121"/>
      <c r="E608" s="121"/>
      <c r="F608" s="121"/>
      <c r="G608" s="121"/>
      <c r="H608" s="121"/>
      <c r="I608" s="121"/>
      <c r="J608" s="121"/>
      <c r="K608" s="123"/>
    </row>
    <row r="609" spans="2:11" ht="15" thickBot="1" x14ac:dyDescent="0.35">
      <c r="B609" s="117">
        <v>287</v>
      </c>
      <c r="C609" s="118"/>
      <c r="D609" s="120">
        <f t="shared" ref="D609" si="1136">$Q$18</f>
        <v>15.588640673015377</v>
      </c>
      <c r="E609" s="120"/>
      <c r="F609" s="120">
        <f t="shared" ref="F609" si="1137">($L$15/12)*J607</f>
        <v>0.58796375910163889</v>
      </c>
      <c r="G609" s="120"/>
      <c r="H609" s="120">
        <f t="shared" ref="H609" si="1138">D609-F609</f>
        <v>15.000676913913738</v>
      </c>
      <c r="I609" s="120"/>
      <c r="J609" s="120">
        <f t="shared" ref="J609" si="1139">J607-H609</f>
        <v>198.80432639577313</v>
      </c>
      <c r="K609" s="122"/>
    </row>
    <row r="610" spans="2:11" ht="15" thickBot="1" x14ac:dyDescent="0.35">
      <c r="B610" s="41"/>
      <c r="C610" s="35"/>
      <c r="D610" s="121"/>
      <c r="E610" s="121"/>
      <c r="F610" s="121"/>
      <c r="G610" s="121"/>
      <c r="H610" s="121"/>
      <c r="I610" s="121"/>
      <c r="J610" s="121"/>
      <c r="K610" s="123"/>
    </row>
    <row r="611" spans="2:11" ht="15" thickBot="1" x14ac:dyDescent="0.35">
      <c r="B611" s="117">
        <v>288</v>
      </c>
      <c r="C611" s="118"/>
      <c r="D611" s="120">
        <f t="shared" ref="D611" si="1140">$Q$18</f>
        <v>15.588640673015377</v>
      </c>
      <c r="E611" s="120"/>
      <c r="F611" s="120">
        <f t="shared" ref="F611" si="1141">($L$15/12)*J609</f>
        <v>0.54671189758837613</v>
      </c>
      <c r="G611" s="120"/>
      <c r="H611" s="120">
        <f t="shared" ref="H611" si="1142">D611-F611</f>
        <v>15.041928775427001</v>
      </c>
      <c r="I611" s="120"/>
      <c r="J611" s="120">
        <f t="shared" ref="J611" si="1143">J609-H611</f>
        <v>183.76239762034612</v>
      </c>
      <c r="K611" s="122"/>
    </row>
    <row r="612" spans="2:11" ht="15" thickBot="1" x14ac:dyDescent="0.35">
      <c r="B612" s="41"/>
      <c r="C612" s="35"/>
      <c r="D612" s="121"/>
      <c r="E612" s="121"/>
      <c r="F612" s="121"/>
      <c r="G612" s="121"/>
      <c r="H612" s="121"/>
      <c r="I612" s="121"/>
      <c r="J612" s="121"/>
      <c r="K612" s="123"/>
    </row>
    <row r="613" spans="2:11" ht="15" thickBot="1" x14ac:dyDescent="0.35">
      <c r="B613" s="117">
        <v>289</v>
      </c>
      <c r="C613" s="118"/>
      <c r="D613" s="120">
        <f t="shared" ref="D613" si="1144">$Q$18</f>
        <v>15.588640673015377</v>
      </c>
      <c r="E613" s="120"/>
      <c r="F613" s="120">
        <f t="shared" ref="F613" si="1145">($L$15/12)*J611</f>
        <v>0.5053465934559519</v>
      </c>
      <c r="G613" s="120"/>
      <c r="H613" s="120">
        <f t="shared" ref="H613" si="1146">D613-F613</f>
        <v>15.083294079559424</v>
      </c>
      <c r="I613" s="120"/>
      <c r="J613" s="120">
        <f t="shared" ref="J613" si="1147">J611-H613</f>
        <v>168.67910354078668</v>
      </c>
      <c r="K613" s="122"/>
    </row>
    <row r="614" spans="2:11" ht="15" thickBot="1" x14ac:dyDescent="0.35">
      <c r="B614" s="41"/>
      <c r="C614" s="35"/>
      <c r="D614" s="121"/>
      <c r="E614" s="121"/>
      <c r="F614" s="121"/>
      <c r="G614" s="121"/>
      <c r="H614" s="121"/>
      <c r="I614" s="121"/>
      <c r="J614" s="121"/>
      <c r="K614" s="123"/>
    </row>
    <row r="615" spans="2:11" ht="15" thickBot="1" x14ac:dyDescent="0.35">
      <c r="B615" s="117">
        <v>290</v>
      </c>
      <c r="C615" s="118"/>
      <c r="D615" s="120">
        <f t="shared" ref="D615" si="1148">$Q$18</f>
        <v>15.588640673015377</v>
      </c>
      <c r="E615" s="120"/>
      <c r="F615" s="120">
        <f t="shared" ref="F615" si="1149">($L$15/12)*J613</f>
        <v>0.46386753473716341</v>
      </c>
      <c r="G615" s="120"/>
      <c r="H615" s="120">
        <f t="shared" ref="H615" si="1150">D615-F615</f>
        <v>15.124773138278213</v>
      </c>
      <c r="I615" s="120"/>
      <c r="J615" s="120">
        <f t="shared" ref="J615" si="1151">J613-H615</f>
        <v>153.55433040250847</v>
      </c>
      <c r="K615" s="122"/>
    </row>
    <row r="616" spans="2:11" ht="15" thickBot="1" x14ac:dyDescent="0.35">
      <c r="B616" s="41"/>
      <c r="C616" s="35"/>
      <c r="D616" s="121"/>
      <c r="E616" s="121"/>
      <c r="F616" s="121"/>
      <c r="G616" s="121"/>
      <c r="H616" s="121"/>
      <c r="I616" s="121"/>
      <c r="J616" s="121"/>
      <c r="K616" s="123"/>
    </row>
    <row r="617" spans="2:11" ht="15" thickBot="1" x14ac:dyDescent="0.35">
      <c r="B617" s="117">
        <v>291</v>
      </c>
      <c r="C617" s="118"/>
      <c r="D617" s="120">
        <f t="shared" ref="D617" si="1152">$Q$18</f>
        <v>15.588640673015377</v>
      </c>
      <c r="E617" s="120"/>
      <c r="F617" s="120">
        <f t="shared" ref="F617" si="1153">($L$15/12)*J615</f>
        <v>0.42227440860689835</v>
      </c>
      <c r="G617" s="120"/>
      <c r="H617" s="120">
        <f t="shared" ref="H617" si="1154">D617-F617</f>
        <v>15.166366264408477</v>
      </c>
      <c r="I617" s="120"/>
      <c r="J617" s="120">
        <f t="shared" ref="J617" si="1155">J615-H617</f>
        <v>138.38796413809999</v>
      </c>
      <c r="K617" s="122"/>
    </row>
    <row r="618" spans="2:11" ht="15" thickBot="1" x14ac:dyDescent="0.35">
      <c r="B618" s="41"/>
      <c r="C618" s="35"/>
      <c r="D618" s="121"/>
      <c r="E618" s="121"/>
      <c r="F618" s="121"/>
      <c r="G618" s="121"/>
      <c r="H618" s="121"/>
      <c r="I618" s="121"/>
      <c r="J618" s="121"/>
      <c r="K618" s="123"/>
    </row>
    <row r="619" spans="2:11" ht="15" thickBot="1" x14ac:dyDescent="0.35">
      <c r="B619" s="117">
        <v>292</v>
      </c>
      <c r="C619" s="118"/>
      <c r="D619" s="120">
        <f t="shared" ref="D619" si="1156">$Q$18</f>
        <v>15.588640673015377</v>
      </c>
      <c r="E619" s="120"/>
      <c r="F619" s="120">
        <f t="shared" ref="F619" si="1157">($L$15/12)*J617</f>
        <v>0.380566901379775</v>
      </c>
      <c r="G619" s="120"/>
      <c r="H619" s="120">
        <f t="shared" ref="H619" si="1158">D619-F619</f>
        <v>15.208073771635602</v>
      </c>
      <c r="I619" s="120"/>
      <c r="J619" s="120">
        <f t="shared" ref="J619" si="1159">J617-H619</f>
        <v>123.17989036646439</v>
      </c>
      <c r="K619" s="122"/>
    </row>
    <row r="620" spans="2:11" ht="15" thickBot="1" x14ac:dyDescent="0.35">
      <c r="B620" s="41"/>
      <c r="C620" s="35"/>
      <c r="D620" s="121"/>
      <c r="E620" s="121"/>
      <c r="F620" s="121"/>
      <c r="G620" s="121"/>
      <c r="H620" s="121"/>
      <c r="I620" s="121"/>
      <c r="J620" s="121"/>
      <c r="K620" s="123"/>
    </row>
    <row r="621" spans="2:11" ht="15" thickBot="1" x14ac:dyDescent="0.35">
      <c r="B621" s="117">
        <v>293</v>
      </c>
      <c r="C621" s="118"/>
      <c r="D621" s="120">
        <f t="shared" ref="D621" si="1160">$Q$18</f>
        <v>15.588640673015377</v>
      </c>
      <c r="E621" s="120"/>
      <c r="F621" s="120">
        <f t="shared" ref="F621" si="1161">($L$15/12)*J619</f>
        <v>0.33874469850777711</v>
      </c>
      <c r="G621" s="120"/>
      <c r="H621" s="120">
        <f t="shared" ref="H621" si="1162">D621-F621</f>
        <v>15.249895974507599</v>
      </c>
      <c r="I621" s="120"/>
      <c r="J621" s="120">
        <f t="shared" ref="J621" si="1163">J619-H621</f>
        <v>107.9299943919568</v>
      </c>
      <c r="K621" s="122"/>
    </row>
    <row r="622" spans="2:11" ht="15" thickBot="1" x14ac:dyDescent="0.35">
      <c r="B622" s="41"/>
      <c r="C622" s="35"/>
      <c r="D622" s="121"/>
      <c r="E622" s="121"/>
      <c r="F622" s="121"/>
      <c r="G622" s="121"/>
      <c r="H622" s="121"/>
      <c r="I622" s="121"/>
      <c r="J622" s="121"/>
      <c r="K622" s="123"/>
    </row>
    <row r="623" spans="2:11" ht="15" thickBot="1" x14ac:dyDescent="0.35">
      <c r="B623" s="117">
        <v>294</v>
      </c>
      <c r="C623" s="118"/>
      <c r="D623" s="120">
        <f t="shared" ref="D623" si="1164">$Q$18</f>
        <v>15.588640673015377</v>
      </c>
      <c r="E623" s="120"/>
      <c r="F623" s="120">
        <f t="shared" ref="F623" si="1165">($L$15/12)*J621</f>
        <v>0.2968074845778812</v>
      </c>
      <c r="G623" s="120"/>
      <c r="H623" s="120">
        <f t="shared" ref="H623" si="1166">D623-F623</f>
        <v>15.291833188437495</v>
      </c>
      <c r="I623" s="120"/>
      <c r="J623" s="120">
        <f t="shared" ref="J623" si="1167">J621-H623</f>
        <v>92.638161203519303</v>
      </c>
      <c r="K623" s="122"/>
    </row>
    <row r="624" spans="2:11" ht="15" thickBot="1" x14ac:dyDescent="0.35">
      <c r="B624" s="41"/>
      <c r="C624" s="35"/>
      <c r="D624" s="121"/>
      <c r="E624" s="121"/>
      <c r="F624" s="121"/>
      <c r="G624" s="121"/>
      <c r="H624" s="121"/>
      <c r="I624" s="121"/>
      <c r="J624" s="121"/>
      <c r="K624" s="123"/>
    </row>
    <row r="625" spans="2:11" ht="15" thickBot="1" x14ac:dyDescent="0.35">
      <c r="B625" s="117">
        <v>295</v>
      </c>
      <c r="C625" s="118"/>
      <c r="D625" s="120">
        <f t="shared" ref="D625" si="1168">$Q$18</f>
        <v>15.588640673015377</v>
      </c>
      <c r="E625" s="120"/>
      <c r="F625" s="120">
        <f t="shared" ref="F625" si="1169">($L$15/12)*J623</f>
        <v>0.25475494330967813</v>
      </c>
      <c r="G625" s="120"/>
      <c r="H625" s="120">
        <f t="shared" ref="H625" si="1170">D625-F625</f>
        <v>15.333885729705699</v>
      </c>
      <c r="I625" s="120"/>
      <c r="J625" s="120">
        <f t="shared" ref="J625" si="1171">J623-H625</f>
        <v>77.304275473813604</v>
      </c>
      <c r="K625" s="122"/>
    </row>
    <row r="626" spans="2:11" ht="15" thickBot="1" x14ac:dyDescent="0.35">
      <c r="B626" s="41"/>
      <c r="C626" s="35"/>
      <c r="D626" s="121"/>
      <c r="E626" s="121"/>
      <c r="F626" s="121"/>
      <c r="G626" s="121"/>
      <c r="H626" s="121"/>
      <c r="I626" s="121"/>
      <c r="J626" s="121"/>
      <c r="K626" s="123"/>
    </row>
    <row r="627" spans="2:11" ht="15" thickBot="1" x14ac:dyDescent="0.35">
      <c r="B627" s="117">
        <v>296</v>
      </c>
      <c r="C627" s="118"/>
      <c r="D627" s="120">
        <f t="shared" ref="D627" si="1172">$Q$18</f>
        <v>15.588640673015377</v>
      </c>
      <c r="E627" s="120"/>
      <c r="F627" s="120">
        <f t="shared" ref="F627" si="1173">($L$15/12)*J625</f>
        <v>0.21258675755298742</v>
      </c>
      <c r="G627" s="120"/>
      <c r="H627" s="120">
        <f t="shared" ref="H627" si="1174">D627-F627</f>
        <v>15.376053915462389</v>
      </c>
      <c r="I627" s="120"/>
      <c r="J627" s="120">
        <f t="shared" ref="J627" si="1175">J625-H627</f>
        <v>61.928221558351211</v>
      </c>
      <c r="K627" s="122"/>
    </row>
    <row r="628" spans="2:11" ht="15" thickBot="1" x14ac:dyDescent="0.35">
      <c r="B628" s="41"/>
      <c r="C628" s="35"/>
      <c r="D628" s="121"/>
      <c r="E628" s="121"/>
      <c r="F628" s="121"/>
      <c r="G628" s="121"/>
      <c r="H628" s="121"/>
      <c r="I628" s="121"/>
      <c r="J628" s="121"/>
      <c r="K628" s="123"/>
    </row>
    <row r="629" spans="2:11" ht="15" thickBot="1" x14ac:dyDescent="0.35">
      <c r="B629" s="117">
        <v>297</v>
      </c>
      <c r="C629" s="118"/>
      <c r="D629" s="120">
        <f t="shared" ref="D629" si="1176">$Q$18</f>
        <v>15.588640673015377</v>
      </c>
      <c r="E629" s="120"/>
      <c r="F629" s="120">
        <f t="shared" ref="F629" si="1177">($L$15/12)*J627</f>
        <v>0.17030260928546584</v>
      </c>
      <c r="G629" s="120"/>
      <c r="H629" s="120">
        <f t="shared" ref="H629" si="1178">D629-F629</f>
        <v>15.418338063729911</v>
      </c>
      <c r="I629" s="120"/>
      <c r="J629" s="120">
        <f t="shared" ref="J629" si="1179">J627-H629</f>
        <v>46.509883494621299</v>
      </c>
      <c r="K629" s="122"/>
    </row>
    <row r="630" spans="2:11" ht="15" thickBot="1" x14ac:dyDescent="0.35">
      <c r="B630" s="41"/>
      <c r="C630" s="35"/>
      <c r="D630" s="121"/>
      <c r="E630" s="121"/>
      <c r="F630" s="121"/>
      <c r="G630" s="121"/>
      <c r="H630" s="121"/>
      <c r="I630" s="121"/>
      <c r="J630" s="121"/>
      <c r="K630" s="123"/>
    </row>
    <row r="631" spans="2:11" ht="15" thickBot="1" x14ac:dyDescent="0.35">
      <c r="B631" s="117">
        <v>298</v>
      </c>
      <c r="C631" s="118"/>
      <c r="D631" s="120">
        <f t="shared" ref="D631" si="1180">$Q$18</f>
        <v>15.588640673015377</v>
      </c>
      <c r="E631" s="120"/>
      <c r="F631" s="120">
        <f t="shared" ref="F631" si="1181">($L$15/12)*J629</f>
        <v>0.12790217961020858</v>
      </c>
      <c r="G631" s="120"/>
      <c r="H631" s="120">
        <f t="shared" ref="H631" si="1182">D631-F631</f>
        <v>15.460738493405168</v>
      </c>
      <c r="I631" s="120"/>
      <c r="J631" s="120">
        <f t="shared" ref="J631" si="1183">J629-H631</f>
        <v>31.049145001216132</v>
      </c>
      <c r="K631" s="122"/>
    </row>
    <row r="632" spans="2:11" ht="15" thickBot="1" x14ac:dyDescent="0.35">
      <c r="B632" s="41"/>
      <c r="C632" s="35"/>
      <c r="D632" s="121"/>
      <c r="E632" s="121"/>
      <c r="F632" s="121"/>
      <c r="G632" s="121"/>
      <c r="H632" s="121"/>
      <c r="I632" s="121"/>
      <c r="J632" s="121"/>
      <c r="K632" s="123"/>
    </row>
    <row r="633" spans="2:11" ht="15" thickBot="1" x14ac:dyDescent="0.35">
      <c r="B633" s="117">
        <v>299</v>
      </c>
      <c r="C633" s="118"/>
      <c r="D633" s="120">
        <f t="shared" ref="D633" si="1184">$Q$18</f>
        <v>15.588640673015377</v>
      </c>
      <c r="E633" s="120"/>
      <c r="F633" s="120">
        <f t="shared" ref="F633" si="1185">($L$15/12)*J631</f>
        <v>8.5385148753344367E-2</v>
      </c>
      <c r="G633" s="120"/>
      <c r="H633" s="120">
        <f t="shared" ref="H633" si="1186">D633-F633</f>
        <v>15.503255524262032</v>
      </c>
      <c r="I633" s="120"/>
      <c r="J633" s="120">
        <f t="shared" ref="J633" si="1187">J631-H633</f>
        <v>15.5458894769541</v>
      </c>
      <c r="K633" s="122"/>
    </row>
    <row r="634" spans="2:11" ht="15" thickBot="1" x14ac:dyDescent="0.35">
      <c r="B634" s="41"/>
      <c r="C634" s="35"/>
      <c r="D634" s="121"/>
      <c r="E634" s="121"/>
      <c r="F634" s="121"/>
      <c r="G634" s="121"/>
      <c r="H634" s="121"/>
      <c r="I634" s="121"/>
      <c r="J634" s="121"/>
      <c r="K634" s="123"/>
    </row>
    <row r="635" spans="2:11" ht="15" thickBot="1" x14ac:dyDescent="0.35">
      <c r="B635" s="41">
        <v>300</v>
      </c>
      <c r="C635" s="35"/>
      <c r="D635" s="120">
        <f t="shared" ref="D635" si="1188">$Q$18</f>
        <v>15.588640673015377</v>
      </c>
      <c r="E635" s="120"/>
      <c r="F635" s="120">
        <f t="shared" ref="F635" si="1189">($L$15/12)*J633</f>
        <v>4.2751196061623781E-2</v>
      </c>
      <c r="G635" s="120"/>
      <c r="H635" s="121">
        <f t="shared" ref="H635" si="1190">D635-F635</f>
        <v>15.545889476953754</v>
      </c>
      <c r="I635" s="121"/>
      <c r="J635" s="121">
        <f t="shared" ref="J635" si="1191">J633-H635</f>
        <v>3.4638958368304884E-13</v>
      </c>
      <c r="K635" s="123"/>
    </row>
    <row r="636" spans="2:11" ht="15" thickBot="1" x14ac:dyDescent="0.35">
      <c r="B636" s="42"/>
      <c r="C636" s="43"/>
      <c r="D636" s="121"/>
      <c r="E636" s="121"/>
      <c r="F636" s="121"/>
      <c r="G636" s="121"/>
      <c r="H636" s="143"/>
      <c r="I636" s="143"/>
      <c r="J636" s="143"/>
      <c r="K636" s="144"/>
    </row>
    <row r="637" spans="2:11" ht="15" thickTop="1" x14ac:dyDescent="0.3"/>
  </sheetData>
  <mergeCells count="1574">
    <mergeCell ref="P53:Q54"/>
    <mergeCell ref="N57:Q58"/>
    <mergeCell ref="N59:Q66"/>
    <mergeCell ref="B20:C23"/>
    <mergeCell ref="N43:O44"/>
    <mergeCell ref="P43:Q44"/>
    <mergeCell ref="N45:O46"/>
    <mergeCell ref="P45:Q46"/>
    <mergeCell ref="N49:Q50"/>
    <mergeCell ref="N51:O52"/>
    <mergeCell ref="P51:Q52"/>
    <mergeCell ref="N35:O36"/>
    <mergeCell ref="P35:Q36"/>
    <mergeCell ref="N37:O38"/>
    <mergeCell ref="P37:Q38"/>
    <mergeCell ref="N41:Q42"/>
    <mergeCell ref="H27:I28"/>
    <mergeCell ref="J27:K28"/>
    <mergeCell ref="N27:O28"/>
    <mergeCell ref="P27:Q28"/>
    <mergeCell ref="N31:Q32"/>
    <mergeCell ref="N33:O34"/>
    <mergeCell ref="P33:Q34"/>
    <mergeCell ref="B59:C60"/>
    <mergeCell ref="D59:E60"/>
    <mergeCell ref="F59:G60"/>
    <mergeCell ref="H59:I60"/>
    <mergeCell ref="J59:K60"/>
    <mergeCell ref="B61:C62"/>
    <mergeCell ref="D61:E62"/>
    <mergeCell ref="F61:G62"/>
    <mergeCell ref="O13:P14"/>
    <mergeCell ref="Q13:R14"/>
    <mergeCell ref="J17:K18"/>
    <mergeCell ref="L17:M18"/>
    <mergeCell ref="O15:P17"/>
    <mergeCell ref="Q15:R17"/>
    <mergeCell ref="O18:P19"/>
    <mergeCell ref="B633:C634"/>
    <mergeCell ref="D633:E634"/>
    <mergeCell ref="F633:G634"/>
    <mergeCell ref="H633:I634"/>
    <mergeCell ref="J633:K634"/>
    <mergeCell ref="B635:C636"/>
    <mergeCell ref="D635:E636"/>
    <mergeCell ref="F635:G636"/>
    <mergeCell ref="H635:I636"/>
    <mergeCell ref="J635:K636"/>
    <mergeCell ref="B629:C630"/>
    <mergeCell ref="D629:E630"/>
    <mergeCell ref="F629:G630"/>
    <mergeCell ref="H629:I630"/>
    <mergeCell ref="J629:K630"/>
    <mergeCell ref="B631:C632"/>
    <mergeCell ref="D631:E632"/>
    <mergeCell ref="F631:G632"/>
    <mergeCell ref="H631:I632"/>
    <mergeCell ref="J631:K632"/>
    <mergeCell ref="B625:C626"/>
    <mergeCell ref="D625:E626"/>
    <mergeCell ref="F625:G626"/>
    <mergeCell ref="H625:I626"/>
    <mergeCell ref="N53:O54"/>
    <mergeCell ref="J625:K626"/>
    <mergeCell ref="B627:C628"/>
    <mergeCell ref="D627:E628"/>
    <mergeCell ref="F627:G628"/>
    <mergeCell ref="H627:I628"/>
    <mergeCell ref="J627:K628"/>
    <mergeCell ref="B621:C622"/>
    <mergeCell ref="D621:E622"/>
    <mergeCell ref="F621:G622"/>
    <mergeCell ref="H621:I622"/>
    <mergeCell ref="J621:K622"/>
    <mergeCell ref="B623:C624"/>
    <mergeCell ref="D623:E624"/>
    <mergeCell ref="F623:G624"/>
    <mergeCell ref="H623:I624"/>
    <mergeCell ref="J623:K624"/>
    <mergeCell ref="B617:C618"/>
    <mergeCell ref="D617:E618"/>
    <mergeCell ref="F617:G618"/>
    <mergeCell ref="H617:I618"/>
    <mergeCell ref="J617:K618"/>
    <mergeCell ref="B619:C620"/>
    <mergeCell ref="D619:E620"/>
    <mergeCell ref="F619:G620"/>
    <mergeCell ref="H619:I620"/>
    <mergeCell ref="J619:K620"/>
    <mergeCell ref="B613:C614"/>
    <mergeCell ref="D613:E614"/>
    <mergeCell ref="F613:G614"/>
    <mergeCell ref="H613:I614"/>
    <mergeCell ref="J613:K614"/>
    <mergeCell ref="B615:C616"/>
    <mergeCell ref="D615:E616"/>
    <mergeCell ref="F615:G616"/>
    <mergeCell ref="H615:I616"/>
    <mergeCell ref="J615:K616"/>
    <mergeCell ref="B609:C610"/>
    <mergeCell ref="D609:E610"/>
    <mergeCell ref="F609:G610"/>
    <mergeCell ref="H609:I610"/>
    <mergeCell ref="J609:K610"/>
    <mergeCell ref="B611:C612"/>
    <mergeCell ref="D611:E612"/>
    <mergeCell ref="F611:G612"/>
    <mergeCell ref="H611:I612"/>
    <mergeCell ref="J611:K612"/>
    <mergeCell ref="B605:C606"/>
    <mergeCell ref="D605:E606"/>
    <mergeCell ref="F605:G606"/>
    <mergeCell ref="H605:I606"/>
    <mergeCell ref="J605:K606"/>
    <mergeCell ref="B607:C608"/>
    <mergeCell ref="D607:E608"/>
    <mergeCell ref="F607:G608"/>
    <mergeCell ref="H607:I608"/>
    <mergeCell ref="J607:K608"/>
    <mergeCell ref="B601:C602"/>
    <mergeCell ref="D601:E602"/>
    <mergeCell ref="F601:G602"/>
    <mergeCell ref="H601:I602"/>
    <mergeCell ref="J601:K602"/>
    <mergeCell ref="B603:C604"/>
    <mergeCell ref="D603:E604"/>
    <mergeCell ref="F603:G604"/>
    <mergeCell ref="H603:I604"/>
    <mergeCell ref="J603:K604"/>
    <mergeCell ref="B597:C598"/>
    <mergeCell ref="D597:E598"/>
    <mergeCell ref="F597:G598"/>
    <mergeCell ref="H597:I598"/>
    <mergeCell ref="J597:K598"/>
    <mergeCell ref="B599:C600"/>
    <mergeCell ref="D599:E600"/>
    <mergeCell ref="F599:G600"/>
    <mergeCell ref="H599:I600"/>
    <mergeCell ref="J599:K600"/>
    <mergeCell ref="B593:C594"/>
    <mergeCell ref="D593:E594"/>
    <mergeCell ref="F593:G594"/>
    <mergeCell ref="H593:I594"/>
    <mergeCell ref="J593:K594"/>
    <mergeCell ref="B595:C596"/>
    <mergeCell ref="D595:E596"/>
    <mergeCell ref="F595:G596"/>
    <mergeCell ref="H595:I596"/>
    <mergeCell ref="J595:K596"/>
    <mergeCell ref="B589:C590"/>
    <mergeCell ref="D589:E590"/>
    <mergeCell ref="F589:G590"/>
    <mergeCell ref="H589:I590"/>
    <mergeCell ref="J589:K590"/>
    <mergeCell ref="B591:C592"/>
    <mergeCell ref="D591:E592"/>
    <mergeCell ref="F591:G592"/>
    <mergeCell ref="H591:I592"/>
    <mergeCell ref="J591:K592"/>
    <mergeCell ref="B585:C586"/>
    <mergeCell ref="D585:E586"/>
    <mergeCell ref="F585:G586"/>
    <mergeCell ref="H585:I586"/>
    <mergeCell ref="J585:K586"/>
    <mergeCell ref="B587:C588"/>
    <mergeCell ref="D587:E588"/>
    <mergeCell ref="F587:G588"/>
    <mergeCell ref="H587:I588"/>
    <mergeCell ref="J587:K588"/>
    <mergeCell ref="B581:C582"/>
    <mergeCell ref="D581:E582"/>
    <mergeCell ref="F581:G582"/>
    <mergeCell ref="H581:I582"/>
    <mergeCell ref="J581:K582"/>
    <mergeCell ref="B583:C584"/>
    <mergeCell ref="D583:E584"/>
    <mergeCell ref="F583:G584"/>
    <mergeCell ref="H583:I584"/>
    <mergeCell ref="J583:K584"/>
    <mergeCell ref="B577:C578"/>
    <mergeCell ref="D577:E578"/>
    <mergeCell ref="F577:G578"/>
    <mergeCell ref="H577:I578"/>
    <mergeCell ref="J577:K578"/>
    <mergeCell ref="B579:C580"/>
    <mergeCell ref="D579:E580"/>
    <mergeCell ref="F579:G580"/>
    <mergeCell ref="H579:I580"/>
    <mergeCell ref="J579:K580"/>
    <mergeCell ref="B573:C574"/>
    <mergeCell ref="D573:E574"/>
    <mergeCell ref="F573:G574"/>
    <mergeCell ref="H573:I574"/>
    <mergeCell ref="J573:K574"/>
    <mergeCell ref="B575:C576"/>
    <mergeCell ref="D575:E576"/>
    <mergeCell ref="F575:G576"/>
    <mergeCell ref="H575:I576"/>
    <mergeCell ref="J575:K576"/>
    <mergeCell ref="B569:C570"/>
    <mergeCell ref="D569:E570"/>
    <mergeCell ref="F569:G570"/>
    <mergeCell ref="H569:I570"/>
    <mergeCell ref="J569:K570"/>
    <mergeCell ref="B571:C572"/>
    <mergeCell ref="D571:E572"/>
    <mergeCell ref="F571:G572"/>
    <mergeCell ref="H571:I572"/>
    <mergeCell ref="J571:K572"/>
    <mergeCell ref="B565:C566"/>
    <mergeCell ref="D565:E566"/>
    <mergeCell ref="F565:G566"/>
    <mergeCell ref="H565:I566"/>
    <mergeCell ref="J565:K566"/>
    <mergeCell ref="B567:C568"/>
    <mergeCell ref="D567:E568"/>
    <mergeCell ref="F567:G568"/>
    <mergeCell ref="H567:I568"/>
    <mergeCell ref="J567:K568"/>
    <mergeCell ref="B561:C562"/>
    <mergeCell ref="D561:E562"/>
    <mergeCell ref="F561:G562"/>
    <mergeCell ref="H561:I562"/>
    <mergeCell ref="J561:K562"/>
    <mergeCell ref="B563:C564"/>
    <mergeCell ref="D563:E564"/>
    <mergeCell ref="F563:G564"/>
    <mergeCell ref="H563:I564"/>
    <mergeCell ref="J563:K564"/>
    <mergeCell ref="B557:C558"/>
    <mergeCell ref="D557:E558"/>
    <mergeCell ref="F557:G558"/>
    <mergeCell ref="H557:I558"/>
    <mergeCell ref="J557:K558"/>
    <mergeCell ref="B559:C560"/>
    <mergeCell ref="D559:E560"/>
    <mergeCell ref="F559:G560"/>
    <mergeCell ref="H559:I560"/>
    <mergeCell ref="J559:K560"/>
    <mergeCell ref="B553:C554"/>
    <mergeCell ref="D553:E554"/>
    <mergeCell ref="F553:G554"/>
    <mergeCell ref="H553:I554"/>
    <mergeCell ref="J553:K554"/>
    <mergeCell ref="B555:C556"/>
    <mergeCell ref="D555:E556"/>
    <mergeCell ref="F555:G556"/>
    <mergeCell ref="H555:I556"/>
    <mergeCell ref="J555:K556"/>
    <mergeCell ref="B549:C550"/>
    <mergeCell ref="D549:E550"/>
    <mergeCell ref="F549:G550"/>
    <mergeCell ref="H549:I550"/>
    <mergeCell ref="J549:K550"/>
    <mergeCell ref="B551:C552"/>
    <mergeCell ref="D551:E552"/>
    <mergeCell ref="F551:G552"/>
    <mergeCell ref="H551:I552"/>
    <mergeCell ref="J551:K552"/>
    <mergeCell ref="B545:C546"/>
    <mergeCell ref="D545:E546"/>
    <mergeCell ref="F545:G546"/>
    <mergeCell ref="H545:I546"/>
    <mergeCell ref="J545:K546"/>
    <mergeCell ref="B547:C548"/>
    <mergeCell ref="D547:E548"/>
    <mergeCell ref="F547:G548"/>
    <mergeCell ref="H547:I548"/>
    <mergeCell ref="J547:K548"/>
    <mergeCell ref="B541:C542"/>
    <mergeCell ref="D541:E542"/>
    <mergeCell ref="F541:G542"/>
    <mergeCell ref="H541:I542"/>
    <mergeCell ref="J541:K542"/>
    <mergeCell ref="B543:C544"/>
    <mergeCell ref="D543:E544"/>
    <mergeCell ref="F543:G544"/>
    <mergeCell ref="H543:I544"/>
    <mergeCell ref="J543:K544"/>
    <mergeCell ref="B537:C538"/>
    <mergeCell ref="D537:E538"/>
    <mergeCell ref="F537:G538"/>
    <mergeCell ref="H537:I538"/>
    <mergeCell ref="J537:K538"/>
    <mergeCell ref="B539:C540"/>
    <mergeCell ref="D539:E540"/>
    <mergeCell ref="F539:G540"/>
    <mergeCell ref="H539:I540"/>
    <mergeCell ref="J539:K540"/>
    <mergeCell ref="B533:C534"/>
    <mergeCell ref="D533:E534"/>
    <mergeCell ref="F533:G534"/>
    <mergeCell ref="H533:I534"/>
    <mergeCell ref="J533:K534"/>
    <mergeCell ref="B535:C536"/>
    <mergeCell ref="D535:E536"/>
    <mergeCell ref="F535:G536"/>
    <mergeCell ref="H535:I536"/>
    <mergeCell ref="J535:K536"/>
    <mergeCell ref="B529:C530"/>
    <mergeCell ref="D529:E530"/>
    <mergeCell ref="F529:G530"/>
    <mergeCell ref="H529:I530"/>
    <mergeCell ref="J529:K530"/>
    <mergeCell ref="B531:C532"/>
    <mergeCell ref="D531:E532"/>
    <mergeCell ref="F531:G532"/>
    <mergeCell ref="H531:I532"/>
    <mergeCell ref="J531:K532"/>
    <mergeCell ref="B525:C526"/>
    <mergeCell ref="D525:E526"/>
    <mergeCell ref="F525:G526"/>
    <mergeCell ref="H525:I526"/>
    <mergeCell ref="J525:K526"/>
    <mergeCell ref="B527:C528"/>
    <mergeCell ref="D527:E528"/>
    <mergeCell ref="F527:G528"/>
    <mergeCell ref="H527:I528"/>
    <mergeCell ref="J527:K528"/>
    <mergeCell ref="B521:C522"/>
    <mergeCell ref="D521:E522"/>
    <mergeCell ref="F521:G522"/>
    <mergeCell ref="H521:I522"/>
    <mergeCell ref="J521:K522"/>
    <mergeCell ref="B523:C524"/>
    <mergeCell ref="D523:E524"/>
    <mergeCell ref="F523:G524"/>
    <mergeCell ref="H523:I524"/>
    <mergeCell ref="J523:K524"/>
    <mergeCell ref="B517:C518"/>
    <mergeCell ref="D517:E518"/>
    <mergeCell ref="F517:G518"/>
    <mergeCell ref="H517:I518"/>
    <mergeCell ref="J517:K518"/>
    <mergeCell ref="B519:C520"/>
    <mergeCell ref="D519:E520"/>
    <mergeCell ref="F519:G520"/>
    <mergeCell ref="H519:I520"/>
    <mergeCell ref="J519:K520"/>
    <mergeCell ref="B513:C514"/>
    <mergeCell ref="D513:E514"/>
    <mergeCell ref="F513:G514"/>
    <mergeCell ref="H513:I514"/>
    <mergeCell ref="J513:K514"/>
    <mergeCell ref="B515:C516"/>
    <mergeCell ref="D515:E516"/>
    <mergeCell ref="F515:G516"/>
    <mergeCell ref="H515:I516"/>
    <mergeCell ref="J515:K516"/>
    <mergeCell ref="B509:C510"/>
    <mergeCell ref="D509:E510"/>
    <mergeCell ref="F509:G510"/>
    <mergeCell ref="H509:I510"/>
    <mergeCell ref="J509:K510"/>
    <mergeCell ref="B511:C512"/>
    <mergeCell ref="D511:E512"/>
    <mergeCell ref="F511:G512"/>
    <mergeCell ref="H511:I512"/>
    <mergeCell ref="J511:K512"/>
    <mergeCell ref="B505:C506"/>
    <mergeCell ref="D505:E506"/>
    <mergeCell ref="F505:G506"/>
    <mergeCell ref="H505:I506"/>
    <mergeCell ref="J505:K506"/>
    <mergeCell ref="B507:C508"/>
    <mergeCell ref="D507:E508"/>
    <mergeCell ref="F507:G508"/>
    <mergeCell ref="H507:I508"/>
    <mergeCell ref="J507:K508"/>
    <mergeCell ref="B501:C502"/>
    <mergeCell ref="D501:E502"/>
    <mergeCell ref="F501:G502"/>
    <mergeCell ref="H501:I502"/>
    <mergeCell ref="J501:K502"/>
    <mergeCell ref="B503:C504"/>
    <mergeCell ref="D503:E504"/>
    <mergeCell ref="F503:G504"/>
    <mergeCell ref="H503:I504"/>
    <mergeCell ref="J503:K504"/>
    <mergeCell ref="B497:C498"/>
    <mergeCell ref="D497:E498"/>
    <mergeCell ref="F497:G498"/>
    <mergeCell ref="H497:I498"/>
    <mergeCell ref="J497:K498"/>
    <mergeCell ref="B499:C500"/>
    <mergeCell ref="D499:E500"/>
    <mergeCell ref="F499:G500"/>
    <mergeCell ref="H499:I500"/>
    <mergeCell ref="J499:K500"/>
    <mergeCell ref="B493:C494"/>
    <mergeCell ref="D493:E494"/>
    <mergeCell ref="F493:G494"/>
    <mergeCell ref="H493:I494"/>
    <mergeCell ref="J493:K494"/>
    <mergeCell ref="B495:C496"/>
    <mergeCell ref="D495:E496"/>
    <mergeCell ref="F495:G496"/>
    <mergeCell ref="H495:I496"/>
    <mergeCell ref="J495:K496"/>
    <mergeCell ref="B489:C490"/>
    <mergeCell ref="D489:E490"/>
    <mergeCell ref="F489:G490"/>
    <mergeCell ref="H489:I490"/>
    <mergeCell ref="J489:K490"/>
    <mergeCell ref="B491:C492"/>
    <mergeCell ref="D491:E492"/>
    <mergeCell ref="F491:G492"/>
    <mergeCell ref="H491:I492"/>
    <mergeCell ref="J491:K492"/>
    <mergeCell ref="B485:C486"/>
    <mergeCell ref="D485:E486"/>
    <mergeCell ref="F485:G486"/>
    <mergeCell ref="H485:I486"/>
    <mergeCell ref="J485:K486"/>
    <mergeCell ref="B487:C488"/>
    <mergeCell ref="D487:E488"/>
    <mergeCell ref="F487:G488"/>
    <mergeCell ref="H487:I488"/>
    <mergeCell ref="J487:K488"/>
    <mergeCell ref="B481:C482"/>
    <mergeCell ref="D481:E482"/>
    <mergeCell ref="F481:G482"/>
    <mergeCell ref="H481:I482"/>
    <mergeCell ref="J481:K482"/>
    <mergeCell ref="B483:C484"/>
    <mergeCell ref="D483:E484"/>
    <mergeCell ref="F483:G484"/>
    <mergeCell ref="H483:I484"/>
    <mergeCell ref="J483:K484"/>
    <mergeCell ref="B477:C478"/>
    <mergeCell ref="D477:E478"/>
    <mergeCell ref="F477:G478"/>
    <mergeCell ref="H477:I478"/>
    <mergeCell ref="J477:K478"/>
    <mergeCell ref="B479:C480"/>
    <mergeCell ref="D479:E480"/>
    <mergeCell ref="F479:G480"/>
    <mergeCell ref="H479:I480"/>
    <mergeCell ref="J479:K480"/>
    <mergeCell ref="B473:C474"/>
    <mergeCell ref="D473:E474"/>
    <mergeCell ref="F473:G474"/>
    <mergeCell ref="H473:I474"/>
    <mergeCell ref="J473:K474"/>
    <mergeCell ref="B475:C476"/>
    <mergeCell ref="D475:E476"/>
    <mergeCell ref="F475:G476"/>
    <mergeCell ref="H475:I476"/>
    <mergeCell ref="J475:K476"/>
    <mergeCell ref="B469:C470"/>
    <mergeCell ref="D469:E470"/>
    <mergeCell ref="F469:G470"/>
    <mergeCell ref="H469:I470"/>
    <mergeCell ref="J469:K470"/>
    <mergeCell ref="B471:C472"/>
    <mergeCell ref="D471:E472"/>
    <mergeCell ref="F471:G472"/>
    <mergeCell ref="H471:I472"/>
    <mergeCell ref="J471:K472"/>
    <mergeCell ref="B465:C466"/>
    <mergeCell ref="D465:E466"/>
    <mergeCell ref="F465:G466"/>
    <mergeCell ref="H465:I466"/>
    <mergeCell ref="J465:K466"/>
    <mergeCell ref="B467:C468"/>
    <mergeCell ref="D467:E468"/>
    <mergeCell ref="F467:G468"/>
    <mergeCell ref="H467:I468"/>
    <mergeCell ref="J467:K468"/>
    <mergeCell ref="B461:C462"/>
    <mergeCell ref="D461:E462"/>
    <mergeCell ref="F461:G462"/>
    <mergeCell ref="H461:I462"/>
    <mergeCell ref="J461:K462"/>
    <mergeCell ref="B463:C464"/>
    <mergeCell ref="D463:E464"/>
    <mergeCell ref="F463:G464"/>
    <mergeCell ref="H463:I464"/>
    <mergeCell ref="J463:K464"/>
    <mergeCell ref="B457:C458"/>
    <mergeCell ref="D457:E458"/>
    <mergeCell ref="F457:G458"/>
    <mergeCell ref="H457:I458"/>
    <mergeCell ref="J457:K458"/>
    <mergeCell ref="B459:C460"/>
    <mergeCell ref="D459:E460"/>
    <mergeCell ref="F459:G460"/>
    <mergeCell ref="H459:I460"/>
    <mergeCell ref="J459:K460"/>
    <mergeCell ref="B453:C454"/>
    <mergeCell ref="D453:E454"/>
    <mergeCell ref="F453:G454"/>
    <mergeCell ref="H453:I454"/>
    <mergeCell ref="J453:K454"/>
    <mergeCell ref="B455:C456"/>
    <mergeCell ref="D455:E456"/>
    <mergeCell ref="F455:G456"/>
    <mergeCell ref="H455:I456"/>
    <mergeCell ref="J455:K456"/>
    <mergeCell ref="B449:C450"/>
    <mergeCell ref="D449:E450"/>
    <mergeCell ref="F449:G450"/>
    <mergeCell ref="H449:I450"/>
    <mergeCell ref="J449:K450"/>
    <mergeCell ref="B451:C452"/>
    <mergeCell ref="D451:E452"/>
    <mergeCell ref="F451:G452"/>
    <mergeCell ref="H451:I452"/>
    <mergeCell ref="J451:K452"/>
    <mergeCell ref="B445:C446"/>
    <mergeCell ref="D445:E446"/>
    <mergeCell ref="F445:G446"/>
    <mergeCell ref="H445:I446"/>
    <mergeCell ref="J445:K446"/>
    <mergeCell ref="B447:C448"/>
    <mergeCell ref="D447:E448"/>
    <mergeCell ref="F447:G448"/>
    <mergeCell ref="H447:I448"/>
    <mergeCell ref="J447:K448"/>
    <mergeCell ref="B441:C442"/>
    <mergeCell ref="D441:E442"/>
    <mergeCell ref="F441:G442"/>
    <mergeCell ref="H441:I442"/>
    <mergeCell ref="J441:K442"/>
    <mergeCell ref="B443:C444"/>
    <mergeCell ref="D443:E444"/>
    <mergeCell ref="F443:G444"/>
    <mergeCell ref="H443:I444"/>
    <mergeCell ref="J443:K444"/>
    <mergeCell ref="B437:C438"/>
    <mergeCell ref="D437:E438"/>
    <mergeCell ref="F437:G438"/>
    <mergeCell ref="H437:I438"/>
    <mergeCell ref="J437:K438"/>
    <mergeCell ref="B439:C440"/>
    <mergeCell ref="D439:E440"/>
    <mergeCell ref="F439:G440"/>
    <mergeCell ref="H439:I440"/>
    <mergeCell ref="J439:K440"/>
    <mergeCell ref="B433:C434"/>
    <mergeCell ref="D433:E434"/>
    <mergeCell ref="F433:G434"/>
    <mergeCell ref="H433:I434"/>
    <mergeCell ref="J433:K434"/>
    <mergeCell ref="B435:C436"/>
    <mergeCell ref="D435:E436"/>
    <mergeCell ref="F435:G436"/>
    <mergeCell ref="H435:I436"/>
    <mergeCell ref="J435:K436"/>
    <mergeCell ref="B429:C430"/>
    <mergeCell ref="D429:E430"/>
    <mergeCell ref="F429:G430"/>
    <mergeCell ref="H429:I430"/>
    <mergeCell ref="J429:K430"/>
    <mergeCell ref="B431:C432"/>
    <mergeCell ref="D431:E432"/>
    <mergeCell ref="F431:G432"/>
    <mergeCell ref="H431:I432"/>
    <mergeCell ref="J431:K432"/>
    <mergeCell ref="B425:C426"/>
    <mergeCell ref="D425:E426"/>
    <mergeCell ref="F425:G426"/>
    <mergeCell ref="H425:I426"/>
    <mergeCell ref="J425:K426"/>
    <mergeCell ref="B427:C428"/>
    <mergeCell ref="D427:E428"/>
    <mergeCell ref="F427:G428"/>
    <mergeCell ref="H427:I428"/>
    <mergeCell ref="J427:K428"/>
    <mergeCell ref="B421:C422"/>
    <mergeCell ref="D421:E422"/>
    <mergeCell ref="F421:G422"/>
    <mergeCell ref="H421:I422"/>
    <mergeCell ref="J421:K422"/>
    <mergeCell ref="B423:C424"/>
    <mergeCell ref="D423:E424"/>
    <mergeCell ref="F423:G424"/>
    <mergeCell ref="H423:I424"/>
    <mergeCell ref="J423:K424"/>
    <mergeCell ref="B417:C418"/>
    <mergeCell ref="D417:E418"/>
    <mergeCell ref="F417:G418"/>
    <mergeCell ref="H417:I418"/>
    <mergeCell ref="J417:K418"/>
    <mergeCell ref="B419:C420"/>
    <mergeCell ref="D419:E420"/>
    <mergeCell ref="F419:G420"/>
    <mergeCell ref="H419:I420"/>
    <mergeCell ref="J419:K420"/>
    <mergeCell ref="B413:C414"/>
    <mergeCell ref="D413:E414"/>
    <mergeCell ref="F413:G414"/>
    <mergeCell ref="H413:I414"/>
    <mergeCell ref="J413:K414"/>
    <mergeCell ref="B415:C416"/>
    <mergeCell ref="D415:E416"/>
    <mergeCell ref="F415:G416"/>
    <mergeCell ref="H415:I416"/>
    <mergeCell ref="J415:K416"/>
    <mergeCell ref="B409:C410"/>
    <mergeCell ref="D409:E410"/>
    <mergeCell ref="F409:G410"/>
    <mergeCell ref="H409:I410"/>
    <mergeCell ref="J409:K410"/>
    <mergeCell ref="B411:C412"/>
    <mergeCell ref="D411:E412"/>
    <mergeCell ref="F411:G412"/>
    <mergeCell ref="H411:I412"/>
    <mergeCell ref="J411:K412"/>
    <mergeCell ref="B405:C406"/>
    <mergeCell ref="D405:E406"/>
    <mergeCell ref="F405:G406"/>
    <mergeCell ref="H405:I406"/>
    <mergeCell ref="J405:K406"/>
    <mergeCell ref="B407:C408"/>
    <mergeCell ref="D407:E408"/>
    <mergeCell ref="F407:G408"/>
    <mergeCell ref="H407:I408"/>
    <mergeCell ref="J407:K408"/>
    <mergeCell ref="B401:C402"/>
    <mergeCell ref="D401:E402"/>
    <mergeCell ref="F401:G402"/>
    <mergeCell ref="H401:I402"/>
    <mergeCell ref="J401:K402"/>
    <mergeCell ref="B403:C404"/>
    <mergeCell ref="D403:E404"/>
    <mergeCell ref="F403:G404"/>
    <mergeCell ref="H403:I404"/>
    <mergeCell ref="J403:K404"/>
    <mergeCell ref="B397:C398"/>
    <mergeCell ref="D397:E398"/>
    <mergeCell ref="F397:G398"/>
    <mergeCell ref="H397:I398"/>
    <mergeCell ref="J397:K398"/>
    <mergeCell ref="B399:C400"/>
    <mergeCell ref="D399:E400"/>
    <mergeCell ref="F399:G400"/>
    <mergeCell ref="H399:I400"/>
    <mergeCell ref="J399:K400"/>
    <mergeCell ref="B393:C394"/>
    <mergeCell ref="D393:E394"/>
    <mergeCell ref="F393:G394"/>
    <mergeCell ref="H393:I394"/>
    <mergeCell ref="J393:K394"/>
    <mergeCell ref="B395:C396"/>
    <mergeCell ref="D395:E396"/>
    <mergeCell ref="F395:G396"/>
    <mergeCell ref="H395:I396"/>
    <mergeCell ref="J395:K396"/>
    <mergeCell ref="B389:C390"/>
    <mergeCell ref="D389:E390"/>
    <mergeCell ref="F389:G390"/>
    <mergeCell ref="H389:I390"/>
    <mergeCell ref="J389:K390"/>
    <mergeCell ref="B391:C392"/>
    <mergeCell ref="D391:E392"/>
    <mergeCell ref="F391:G392"/>
    <mergeCell ref="H391:I392"/>
    <mergeCell ref="J391:K392"/>
    <mergeCell ref="B385:C386"/>
    <mergeCell ref="D385:E386"/>
    <mergeCell ref="F385:G386"/>
    <mergeCell ref="H385:I386"/>
    <mergeCell ref="J385:K386"/>
    <mergeCell ref="B387:C388"/>
    <mergeCell ref="D387:E388"/>
    <mergeCell ref="F387:G388"/>
    <mergeCell ref="H387:I388"/>
    <mergeCell ref="J387:K388"/>
    <mergeCell ref="B381:C382"/>
    <mergeCell ref="D381:E382"/>
    <mergeCell ref="F381:G382"/>
    <mergeCell ref="H381:I382"/>
    <mergeCell ref="J381:K382"/>
    <mergeCell ref="B383:C384"/>
    <mergeCell ref="D383:E384"/>
    <mergeCell ref="F383:G384"/>
    <mergeCell ref="H383:I384"/>
    <mergeCell ref="J383:K384"/>
    <mergeCell ref="B377:C378"/>
    <mergeCell ref="D377:E378"/>
    <mergeCell ref="F377:G378"/>
    <mergeCell ref="H377:I378"/>
    <mergeCell ref="J377:K378"/>
    <mergeCell ref="B379:C380"/>
    <mergeCell ref="D379:E380"/>
    <mergeCell ref="F379:G380"/>
    <mergeCell ref="H379:I380"/>
    <mergeCell ref="J379:K380"/>
    <mergeCell ref="B373:C374"/>
    <mergeCell ref="D373:E374"/>
    <mergeCell ref="F373:G374"/>
    <mergeCell ref="H373:I374"/>
    <mergeCell ref="J373:K374"/>
    <mergeCell ref="B375:C376"/>
    <mergeCell ref="D375:E376"/>
    <mergeCell ref="F375:G376"/>
    <mergeCell ref="H375:I376"/>
    <mergeCell ref="J375:K376"/>
    <mergeCell ref="B369:C370"/>
    <mergeCell ref="D369:E370"/>
    <mergeCell ref="F369:G370"/>
    <mergeCell ref="H369:I370"/>
    <mergeCell ref="J369:K370"/>
    <mergeCell ref="B371:C372"/>
    <mergeCell ref="D371:E372"/>
    <mergeCell ref="F371:G372"/>
    <mergeCell ref="H371:I372"/>
    <mergeCell ref="J371:K372"/>
    <mergeCell ref="B365:C366"/>
    <mergeCell ref="D365:E366"/>
    <mergeCell ref="F365:G366"/>
    <mergeCell ref="H365:I366"/>
    <mergeCell ref="J365:K366"/>
    <mergeCell ref="B367:C368"/>
    <mergeCell ref="D367:E368"/>
    <mergeCell ref="F367:G368"/>
    <mergeCell ref="H367:I368"/>
    <mergeCell ref="J367:K368"/>
    <mergeCell ref="B361:C362"/>
    <mergeCell ref="D361:E362"/>
    <mergeCell ref="F361:G362"/>
    <mergeCell ref="H361:I362"/>
    <mergeCell ref="J361:K362"/>
    <mergeCell ref="B363:C364"/>
    <mergeCell ref="D363:E364"/>
    <mergeCell ref="F363:G364"/>
    <mergeCell ref="H363:I364"/>
    <mergeCell ref="J363:K364"/>
    <mergeCell ref="B357:C358"/>
    <mergeCell ref="D357:E358"/>
    <mergeCell ref="F357:G358"/>
    <mergeCell ref="H357:I358"/>
    <mergeCell ref="J357:K358"/>
    <mergeCell ref="B359:C360"/>
    <mergeCell ref="D359:E360"/>
    <mergeCell ref="F359:G360"/>
    <mergeCell ref="H359:I360"/>
    <mergeCell ref="J359:K360"/>
    <mergeCell ref="B353:C354"/>
    <mergeCell ref="D353:E354"/>
    <mergeCell ref="F353:G354"/>
    <mergeCell ref="H353:I354"/>
    <mergeCell ref="J353:K354"/>
    <mergeCell ref="B355:C356"/>
    <mergeCell ref="D355:E356"/>
    <mergeCell ref="F355:G356"/>
    <mergeCell ref="H355:I356"/>
    <mergeCell ref="J355:K356"/>
    <mergeCell ref="B349:C350"/>
    <mergeCell ref="D349:E350"/>
    <mergeCell ref="F349:G350"/>
    <mergeCell ref="H349:I350"/>
    <mergeCell ref="J349:K350"/>
    <mergeCell ref="B351:C352"/>
    <mergeCell ref="D351:E352"/>
    <mergeCell ref="F351:G352"/>
    <mergeCell ref="H351:I352"/>
    <mergeCell ref="J351:K352"/>
    <mergeCell ref="B345:C346"/>
    <mergeCell ref="D345:E346"/>
    <mergeCell ref="F345:G346"/>
    <mergeCell ref="H345:I346"/>
    <mergeCell ref="J345:K346"/>
    <mergeCell ref="B347:C348"/>
    <mergeCell ref="D347:E348"/>
    <mergeCell ref="F347:G348"/>
    <mergeCell ref="H347:I348"/>
    <mergeCell ref="J347:K348"/>
    <mergeCell ref="B341:C342"/>
    <mergeCell ref="D341:E342"/>
    <mergeCell ref="F341:G342"/>
    <mergeCell ref="H341:I342"/>
    <mergeCell ref="J341:K342"/>
    <mergeCell ref="B343:C344"/>
    <mergeCell ref="D343:E344"/>
    <mergeCell ref="F343:G344"/>
    <mergeCell ref="H343:I344"/>
    <mergeCell ref="J343:K344"/>
    <mergeCell ref="B337:C338"/>
    <mergeCell ref="D337:E338"/>
    <mergeCell ref="F337:G338"/>
    <mergeCell ref="H337:I338"/>
    <mergeCell ref="J337:K338"/>
    <mergeCell ref="B339:C340"/>
    <mergeCell ref="D339:E340"/>
    <mergeCell ref="F339:G340"/>
    <mergeCell ref="H339:I340"/>
    <mergeCell ref="J339:K340"/>
    <mergeCell ref="B333:C334"/>
    <mergeCell ref="D333:E334"/>
    <mergeCell ref="F333:G334"/>
    <mergeCell ref="H333:I334"/>
    <mergeCell ref="J333:K334"/>
    <mergeCell ref="B335:C336"/>
    <mergeCell ref="D335:E336"/>
    <mergeCell ref="F335:G336"/>
    <mergeCell ref="H335:I336"/>
    <mergeCell ref="J335:K336"/>
    <mergeCell ref="B329:C330"/>
    <mergeCell ref="D329:E330"/>
    <mergeCell ref="F329:G330"/>
    <mergeCell ref="H329:I330"/>
    <mergeCell ref="J329:K330"/>
    <mergeCell ref="B331:C332"/>
    <mergeCell ref="D331:E332"/>
    <mergeCell ref="F331:G332"/>
    <mergeCell ref="H331:I332"/>
    <mergeCell ref="J331:K332"/>
    <mergeCell ref="B325:C326"/>
    <mergeCell ref="D325:E326"/>
    <mergeCell ref="F325:G326"/>
    <mergeCell ref="H325:I326"/>
    <mergeCell ref="J325:K326"/>
    <mergeCell ref="B327:C328"/>
    <mergeCell ref="D327:E328"/>
    <mergeCell ref="F327:G328"/>
    <mergeCell ref="H327:I328"/>
    <mergeCell ref="J327:K328"/>
    <mergeCell ref="B321:C322"/>
    <mergeCell ref="D321:E322"/>
    <mergeCell ref="F321:G322"/>
    <mergeCell ref="H321:I322"/>
    <mergeCell ref="J321:K322"/>
    <mergeCell ref="B323:C324"/>
    <mergeCell ref="D323:E324"/>
    <mergeCell ref="F323:G324"/>
    <mergeCell ref="H323:I324"/>
    <mergeCell ref="J323:K324"/>
    <mergeCell ref="B317:C318"/>
    <mergeCell ref="D317:E318"/>
    <mergeCell ref="F317:G318"/>
    <mergeCell ref="H317:I318"/>
    <mergeCell ref="J317:K318"/>
    <mergeCell ref="B319:C320"/>
    <mergeCell ref="D319:E320"/>
    <mergeCell ref="F319:G320"/>
    <mergeCell ref="H319:I320"/>
    <mergeCell ref="J319:K320"/>
    <mergeCell ref="B313:C314"/>
    <mergeCell ref="D313:E314"/>
    <mergeCell ref="F313:G314"/>
    <mergeCell ref="H313:I314"/>
    <mergeCell ref="J313:K314"/>
    <mergeCell ref="B315:C316"/>
    <mergeCell ref="D315:E316"/>
    <mergeCell ref="F315:G316"/>
    <mergeCell ref="H315:I316"/>
    <mergeCell ref="J315:K316"/>
    <mergeCell ref="B309:C310"/>
    <mergeCell ref="D309:E310"/>
    <mergeCell ref="F309:G310"/>
    <mergeCell ref="H309:I310"/>
    <mergeCell ref="J309:K310"/>
    <mergeCell ref="B311:C312"/>
    <mergeCell ref="D311:E312"/>
    <mergeCell ref="F311:G312"/>
    <mergeCell ref="H311:I312"/>
    <mergeCell ref="J311:K312"/>
    <mergeCell ref="B305:C306"/>
    <mergeCell ref="D305:E306"/>
    <mergeCell ref="F305:G306"/>
    <mergeCell ref="H305:I306"/>
    <mergeCell ref="J305:K306"/>
    <mergeCell ref="B307:C308"/>
    <mergeCell ref="D307:E308"/>
    <mergeCell ref="F307:G308"/>
    <mergeCell ref="H307:I308"/>
    <mergeCell ref="J307:K308"/>
    <mergeCell ref="B301:C302"/>
    <mergeCell ref="D301:E302"/>
    <mergeCell ref="F301:G302"/>
    <mergeCell ref="H301:I302"/>
    <mergeCell ref="J301:K302"/>
    <mergeCell ref="B303:C304"/>
    <mergeCell ref="D303:E304"/>
    <mergeCell ref="F303:G304"/>
    <mergeCell ref="H303:I304"/>
    <mergeCell ref="J303:K304"/>
    <mergeCell ref="B297:C298"/>
    <mergeCell ref="D297:E298"/>
    <mergeCell ref="F297:G298"/>
    <mergeCell ref="H297:I298"/>
    <mergeCell ref="J297:K298"/>
    <mergeCell ref="B299:C300"/>
    <mergeCell ref="D299:E300"/>
    <mergeCell ref="F299:G300"/>
    <mergeCell ref="H299:I300"/>
    <mergeCell ref="J299:K300"/>
    <mergeCell ref="B293:C294"/>
    <mergeCell ref="D293:E294"/>
    <mergeCell ref="F293:G294"/>
    <mergeCell ref="H293:I294"/>
    <mergeCell ref="J293:K294"/>
    <mergeCell ref="B295:C296"/>
    <mergeCell ref="D295:E296"/>
    <mergeCell ref="F295:G296"/>
    <mergeCell ref="H295:I296"/>
    <mergeCell ref="J295:K296"/>
    <mergeCell ref="B289:C290"/>
    <mergeCell ref="D289:E290"/>
    <mergeCell ref="F289:G290"/>
    <mergeCell ref="H289:I290"/>
    <mergeCell ref="J289:K290"/>
    <mergeCell ref="B291:C292"/>
    <mergeCell ref="D291:E292"/>
    <mergeCell ref="F291:G292"/>
    <mergeCell ref="H291:I292"/>
    <mergeCell ref="J291:K292"/>
    <mergeCell ref="B285:C286"/>
    <mergeCell ref="D285:E286"/>
    <mergeCell ref="F285:G286"/>
    <mergeCell ref="H285:I286"/>
    <mergeCell ref="J285:K286"/>
    <mergeCell ref="B287:C288"/>
    <mergeCell ref="D287:E288"/>
    <mergeCell ref="F287:G288"/>
    <mergeCell ref="H287:I288"/>
    <mergeCell ref="J287:K288"/>
    <mergeCell ref="B281:C282"/>
    <mergeCell ref="D281:E282"/>
    <mergeCell ref="F281:G282"/>
    <mergeCell ref="H281:I282"/>
    <mergeCell ref="J281:K282"/>
    <mergeCell ref="B283:C284"/>
    <mergeCell ref="D283:E284"/>
    <mergeCell ref="F283:G284"/>
    <mergeCell ref="H283:I284"/>
    <mergeCell ref="J283:K284"/>
    <mergeCell ref="B277:C278"/>
    <mergeCell ref="D277:E278"/>
    <mergeCell ref="F277:G278"/>
    <mergeCell ref="H277:I278"/>
    <mergeCell ref="J277:K278"/>
    <mergeCell ref="B279:C280"/>
    <mergeCell ref="D279:E280"/>
    <mergeCell ref="F279:G280"/>
    <mergeCell ref="H279:I280"/>
    <mergeCell ref="J279:K280"/>
    <mergeCell ref="B273:C274"/>
    <mergeCell ref="D273:E274"/>
    <mergeCell ref="F273:G274"/>
    <mergeCell ref="H273:I274"/>
    <mergeCell ref="J273:K274"/>
    <mergeCell ref="B275:C276"/>
    <mergeCell ref="D275:E276"/>
    <mergeCell ref="F275:G276"/>
    <mergeCell ref="H275:I276"/>
    <mergeCell ref="J275:K276"/>
    <mergeCell ref="B269:C270"/>
    <mergeCell ref="D269:E270"/>
    <mergeCell ref="F269:G270"/>
    <mergeCell ref="H269:I270"/>
    <mergeCell ref="J269:K270"/>
    <mergeCell ref="B271:C272"/>
    <mergeCell ref="D271:E272"/>
    <mergeCell ref="F271:G272"/>
    <mergeCell ref="H271:I272"/>
    <mergeCell ref="J271:K272"/>
    <mergeCell ref="B265:C266"/>
    <mergeCell ref="D265:E266"/>
    <mergeCell ref="F265:G266"/>
    <mergeCell ref="H265:I266"/>
    <mergeCell ref="J265:K266"/>
    <mergeCell ref="B267:C268"/>
    <mergeCell ref="D267:E268"/>
    <mergeCell ref="F267:G268"/>
    <mergeCell ref="H267:I268"/>
    <mergeCell ref="J267:K268"/>
    <mergeCell ref="B261:C262"/>
    <mergeCell ref="D261:E262"/>
    <mergeCell ref="F261:G262"/>
    <mergeCell ref="H261:I262"/>
    <mergeCell ref="J261:K262"/>
    <mergeCell ref="B263:C264"/>
    <mergeCell ref="D263:E264"/>
    <mergeCell ref="F263:G264"/>
    <mergeCell ref="H263:I264"/>
    <mergeCell ref="J263:K264"/>
    <mergeCell ref="B257:C258"/>
    <mergeCell ref="D257:E258"/>
    <mergeCell ref="F257:G258"/>
    <mergeCell ref="H257:I258"/>
    <mergeCell ref="J257:K258"/>
    <mergeCell ref="B259:C260"/>
    <mergeCell ref="D259:E260"/>
    <mergeCell ref="F259:G260"/>
    <mergeCell ref="H259:I260"/>
    <mergeCell ref="J259:K260"/>
    <mergeCell ref="B253:C254"/>
    <mergeCell ref="D253:E254"/>
    <mergeCell ref="F253:G254"/>
    <mergeCell ref="H253:I254"/>
    <mergeCell ref="J253:K254"/>
    <mergeCell ref="B255:C256"/>
    <mergeCell ref="D255:E256"/>
    <mergeCell ref="F255:G256"/>
    <mergeCell ref="H255:I256"/>
    <mergeCell ref="J255:K256"/>
    <mergeCell ref="B249:C250"/>
    <mergeCell ref="D249:E250"/>
    <mergeCell ref="F249:G250"/>
    <mergeCell ref="H249:I250"/>
    <mergeCell ref="J249:K250"/>
    <mergeCell ref="B251:C252"/>
    <mergeCell ref="D251:E252"/>
    <mergeCell ref="F251:G252"/>
    <mergeCell ref="H251:I252"/>
    <mergeCell ref="J251:K252"/>
    <mergeCell ref="B245:C246"/>
    <mergeCell ref="D245:E246"/>
    <mergeCell ref="F245:G246"/>
    <mergeCell ref="H245:I246"/>
    <mergeCell ref="J245:K246"/>
    <mergeCell ref="B247:C248"/>
    <mergeCell ref="D247:E248"/>
    <mergeCell ref="F247:G248"/>
    <mergeCell ref="H247:I248"/>
    <mergeCell ref="J247:K248"/>
    <mergeCell ref="B241:C242"/>
    <mergeCell ref="D241:E242"/>
    <mergeCell ref="F241:G242"/>
    <mergeCell ref="H241:I242"/>
    <mergeCell ref="J241:K242"/>
    <mergeCell ref="B243:C244"/>
    <mergeCell ref="D243:E244"/>
    <mergeCell ref="F243:G244"/>
    <mergeCell ref="H243:I244"/>
    <mergeCell ref="J243:K244"/>
    <mergeCell ref="B237:C238"/>
    <mergeCell ref="D237:E238"/>
    <mergeCell ref="F237:G238"/>
    <mergeCell ref="H237:I238"/>
    <mergeCell ref="J237:K238"/>
    <mergeCell ref="B239:C240"/>
    <mergeCell ref="D239:E240"/>
    <mergeCell ref="F239:G240"/>
    <mergeCell ref="H239:I240"/>
    <mergeCell ref="J239:K240"/>
    <mergeCell ref="B233:C234"/>
    <mergeCell ref="D233:E234"/>
    <mergeCell ref="F233:G234"/>
    <mergeCell ref="H233:I234"/>
    <mergeCell ref="J233:K234"/>
    <mergeCell ref="B235:C236"/>
    <mergeCell ref="D235:E236"/>
    <mergeCell ref="F235:G236"/>
    <mergeCell ref="H235:I236"/>
    <mergeCell ref="J235:K236"/>
    <mergeCell ref="B229:C230"/>
    <mergeCell ref="D229:E230"/>
    <mergeCell ref="F229:G230"/>
    <mergeCell ref="H229:I230"/>
    <mergeCell ref="J229:K230"/>
    <mergeCell ref="B231:C232"/>
    <mergeCell ref="D231:E232"/>
    <mergeCell ref="F231:G232"/>
    <mergeCell ref="H231:I232"/>
    <mergeCell ref="J231:K232"/>
    <mergeCell ref="B225:C226"/>
    <mergeCell ref="D225:E226"/>
    <mergeCell ref="F225:G226"/>
    <mergeCell ref="H225:I226"/>
    <mergeCell ref="J225:K226"/>
    <mergeCell ref="B227:C228"/>
    <mergeCell ref="D227:E228"/>
    <mergeCell ref="F227:G228"/>
    <mergeCell ref="H227:I228"/>
    <mergeCell ref="J227:K228"/>
    <mergeCell ref="B221:C222"/>
    <mergeCell ref="D221:E222"/>
    <mergeCell ref="F221:G222"/>
    <mergeCell ref="H221:I222"/>
    <mergeCell ref="J221:K222"/>
    <mergeCell ref="B223:C224"/>
    <mergeCell ref="D223:E224"/>
    <mergeCell ref="F223:G224"/>
    <mergeCell ref="H223:I224"/>
    <mergeCell ref="J223:K224"/>
    <mergeCell ref="B217:C218"/>
    <mergeCell ref="D217:E218"/>
    <mergeCell ref="F217:G218"/>
    <mergeCell ref="H217:I218"/>
    <mergeCell ref="J217:K218"/>
    <mergeCell ref="B219:C220"/>
    <mergeCell ref="D219:E220"/>
    <mergeCell ref="F219:G220"/>
    <mergeCell ref="H219:I220"/>
    <mergeCell ref="J219:K220"/>
    <mergeCell ref="B213:C214"/>
    <mergeCell ref="D213:E214"/>
    <mergeCell ref="F213:G214"/>
    <mergeCell ref="H213:I214"/>
    <mergeCell ref="J213:K214"/>
    <mergeCell ref="B215:C216"/>
    <mergeCell ref="D215:E216"/>
    <mergeCell ref="F215:G216"/>
    <mergeCell ref="H215:I216"/>
    <mergeCell ref="J215:K216"/>
    <mergeCell ref="B209:C210"/>
    <mergeCell ref="D209:E210"/>
    <mergeCell ref="F209:G210"/>
    <mergeCell ref="H209:I210"/>
    <mergeCell ref="J209:K210"/>
    <mergeCell ref="B211:C212"/>
    <mergeCell ref="D211:E212"/>
    <mergeCell ref="F211:G212"/>
    <mergeCell ref="H211:I212"/>
    <mergeCell ref="J211:K212"/>
    <mergeCell ref="B205:C206"/>
    <mergeCell ref="D205:E206"/>
    <mergeCell ref="F205:G206"/>
    <mergeCell ref="H205:I206"/>
    <mergeCell ref="J205:K206"/>
    <mergeCell ref="B207:C208"/>
    <mergeCell ref="D207:E208"/>
    <mergeCell ref="F207:G208"/>
    <mergeCell ref="H207:I208"/>
    <mergeCell ref="J207:K208"/>
    <mergeCell ref="B201:C202"/>
    <mergeCell ref="D201:E202"/>
    <mergeCell ref="F201:G202"/>
    <mergeCell ref="H201:I202"/>
    <mergeCell ref="J201:K202"/>
    <mergeCell ref="B203:C204"/>
    <mergeCell ref="D203:E204"/>
    <mergeCell ref="F203:G204"/>
    <mergeCell ref="H203:I204"/>
    <mergeCell ref="J203:K204"/>
    <mergeCell ref="B197:C198"/>
    <mergeCell ref="D197:E198"/>
    <mergeCell ref="F197:G198"/>
    <mergeCell ref="H197:I198"/>
    <mergeCell ref="J197:K198"/>
    <mergeCell ref="B199:C200"/>
    <mergeCell ref="D199:E200"/>
    <mergeCell ref="F199:G200"/>
    <mergeCell ref="H199:I200"/>
    <mergeCell ref="J199:K200"/>
    <mergeCell ref="B193:C194"/>
    <mergeCell ref="D193:E194"/>
    <mergeCell ref="F193:G194"/>
    <mergeCell ref="H193:I194"/>
    <mergeCell ref="J193:K194"/>
    <mergeCell ref="B195:C196"/>
    <mergeCell ref="D195:E196"/>
    <mergeCell ref="F195:G196"/>
    <mergeCell ref="H195:I196"/>
    <mergeCell ref="J195:K196"/>
    <mergeCell ref="B189:C190"/>
    <mergeCell ref="D189:E190"/>
    <mergeCell ref="F189:G190"/>
    <mergeCell ref="H189:I190"/>
    <mergeCell ref="J189:K190"/>
    <mergeCell ref="B191:C192"/>
    <mergeCell ref="D191:E192"/>
    <mergeCell ref="F191:G192"/>
    <mergeCell ref="H191:I192"/>
    <mergeCell ref="J191:K192"/>
    <mergeCell ref="B185:C186"/>
    <mergeCell ref="D185:E186"/>
    <mergeCell ref="F185:G186"/>
    <mergeCell ref="H185:I186"/>
    <mergeCell ref="J185:K186"/>
    <mergeCell ref="B187:C188"/>
    <mergeCell ref="D187:E188"/>
    <mergeCell ref="F187:G188"/>
    <mergeCell ref="H187:I188"/>
    <mergeCell ref="J187:K188"/>
    <mergeCell ref="B181:C182"/>
    <mergeCell ref="D181:E182"/>
    <mergeCell ref="F181:G182"/>
    <mergeCell ref="H181:I182"/>
    <mergeCell ref="J181:K182"/>
    <mergeCell ref="B183:C184"/>
    <mergeCell ref="D183:E184"/>
    <mergeCell ref="F183:G184"/>
    <mergeCell ref="H183:I184"/>
    <mergeCell ref="J183:K184"/>
    <mergeCell ref="B177:C178"/>
    <mergeCell ref="D177:E178"/>
    <mergeCell ref="F177:G178"/>
    <mergeCell ref="H177:I178"/>
    <mergeCell ref="J177:K178"/>
    <mergeCell ref="B179:C180"/>
    <mergeCell ref="D179:E180"/>
    <mergeCell ref="F179:G180"/>
    <mergeCell ref="H179:I180"/>
    <mergeCell ref="J179:K180"/>
    <mergeCell ref="B173:C174"/>
    <mergeCell ref="D173:E174"/>
    <mergeCell ref="F173:G174"/>
    <mergeCell ref="H173:I174"/>
    <mergeCell ref="J173:K174"/>
    <mergeCell ref="B175:C176"/>
    <mergeCell ref="D175:E176"/>
    <mergeCell ref="F175:G176"/>
    <mergeCell ref="H175:I176"/>
    <mergeCell ref="J175:K176"/>
    <mergeCell ref="B169:C170"/>
    <mergeCell ref="D169:E170"/>
    <mergeCell ref="F169:G170"/>
    <mergeCell ref="H169:I170"/>
    <mergeCell ref="J169:K170"/>
    <mergeCell ref="B171:C172"/>
    <mergeCell ref="D171:E172"/>
    <mergeCell ref="F171:G172"/>
    <mergeCell ref="H171:I172"/>
    <mergeCell ref="J171:K172"/>
    <mergeCell ref="B165:C166"/>
    <mergeCell ref="D165:E166"/>
    <mergeCell ref="F165:G166"/>
    <mergeCell ref="H165:I166"/>
    <mergeCell ref="J165:K166"/>
    <mergeCell ref="B167:C168"/>
    <mergeCell ref="D167:E168"/>
    <mergeCell ref="F167:G168"/>
    <mergeCell ref="H167:I168"/>
    <mergeCell ref="J167:K168"/>
    <mergeCell ref="B161:C162"/>
    <mergeCell ref="D161:E162"/>
    <mergeCell ref="F161:G162"/>
    <mergeCell ref="H161:I162"/>
    <mergeCell ref="J161:K162"/>
    <mergeCell ref="B163:C164"/>
    <mergeCell ref="D163:E164"/>
    <mergeCell ref="F163:G164"/>
    <mergeCell ref="H163:I164"/>
    <mergeCell ref="J163:K164"/>
    <mergeCell ref="B157:C158"/>
    <mergeCell ref="D157:E158"/>
    <mergeCell ref="F157:G158"/>
    <mergeCell ref="H157:I158"/>
    <mergeCell ref="J157:K158"/>
    <mergeCell ref="B159:C160"/>
    <mergeCell ref="D159:E160"/>
    <mergeCell ref="F159:G160"/>
    <mergeCell ref="H159:I160"/>
    <mergeCell ref="J159:K160"/>
    <mergeCell ref="B153:C154"/>
    <mergeCell ref="D153:E154"/>
    <mergeCell ref="F153:G154"/>
    <mergeCell ref="H153:I154"/>
    <mergeCell ref="J153:K154"/>
    <mergeCell ref="B155:C156"/>
    <mergeCell ref="D155:E156"/>
    <mergeCell ref="F155:G156"/>
    <mergeCell ref="H155:I156"/>
    <mergeCell ref="J155:K156"/>
    <mergeCell ref="B149:C150"/>
    <mergeCell ref="D149:E150"/>
    <mergeCell ref="F149:G150"/>
    <mergeCell ref="H149:I150"/>
    <mergeCell ref="J149:K150"/>
    <mergeCell ref="B151:C152"/>
    <mergeCell ref="D151:E152"/>
    <mergeCell ref="F151:G152"/>
    <mergeCell ref="H151:I152"/>
    <mergeCell ref="J151:K152"/>
    <mergeCell ref="B145:C146"/>
    <mergeCell ref="D145:E146"/>
    <mergeCell ref="F145:G146"/>
    <mergeCell ref="H145:I146"/>
    <mergeCell ref="J145:K146"/>
    <mergeCell ref="B147:C148"/>
    <mergeCell ref="D147:E148"/>
    <mergeCell ref="F147:G148"/>
    <mergeCell ref="H147:I148"/>
    <mergeCell ref="J147:K148"/>
    <mergeCell ref="B141:C142"/>
    <mergeCell ref="D141:E142"/>
    <mergeCell ref="F141:G142"/>
    <mergeCell ref="H141:I142"/>
    <mergeCell ref="J141:K142"/>
    <mergeCell ref="B143:C144"/>
    <mergeCell ref="D143:E144"/>
    <mergeCell ref="F143:G144"/>
    <mergeCell ref="H143:I144"/>
    <mergeCell ref="J143:K144"/>
    <mergeCell ref="B137:C138"/>
    <mergeCell ref="D137:E138"/>
    <mergeCell ref="F137:G138"/>
    <mergeCell ref="H137:I138"/>
    <mergeCell ref="J137:K138"/>
    <mergeCell ref="B139:C140"/>
    <mergeCell ref="D139:E140"/>
    <mergeCell ref="F139:G140"/>
    <mergeCell ref="H139:I140"/>
    <mergeCell ref="J139:K140"/>
    <mergeCell ref="B133:C134"/>
    <mergeCell ref="D133:E134"/>
    <mergeCell ref="F133:G134"/>
    <mergeCell ref="H133:I134"/>
    <mergeCell ref="J133:K134"/>
    <mergeCell ref="B135:C136"/>
    <mergeCell ref="D135:E136"/>
    <mergeCell ref="F135:G136"/>
    <mergeCell ref="H135:I136"/>
    <mergeCell ref="J135:K136"/>
    <mergeCell ref="B129:C130"/>
    <mergeCell ref="D129:E130"/>
    <mergeCell ref="F129:G130"/>
    <mergeCell ref="H129:I130"/>
    <mergeCell ref="J129:K130"/>
    <mergeCell ref="B131:C132"/>
    <mergeCell ref="D131:E132"/>
    <mergeCell ref="F131:G132"/>
    <mergeCell ref="H131:I132"/>
    <mergeCell ref="J131:K132"/>
    <mergeCell ref="B125:C126"/>
    <mergeCell ref="D125:E126"/>
    <mergeCell ref="F125:G126"/>
    <mergeCell ref="H125:I126"/>
    <mergeCell ref="J125:K126"/>
    <mergeCell ref="B127:C128"/>
    <mergeCell ref="D127:E128"/>
    <mergeCell ref="F127:G128"/>
    <mergeCell ref="H127:I128"/>
    <mergeCell ref="J127:K128"/>
    <mergeCell ref="B121:C122"/>
    <mergeCell ref="D121:E122"/>
    <mergeCell ref="F121:G122"/>
    <mergeCell ref="H121:I122"/>
    <mergeCell ref="J121:K122"/>
    <mergeCell ref="B123:C124"/>
    <mergeCell ref="D123:E124"/>
    <mergeCell ref="F123:G124"/>
    <mergeCell ref="H123:I124"/>
    <mergeCell ref="J123:K124"/>
    <mergeCell ref="B117:C118"/>
    <mergeCell ref="D117:E118"/>
    <mergeCell ref="F117:G118"/>
    <mergeCell ref="H117:I118"/>
    <mergeCell ref="J117:K118"/>
    <mergeCell ref="B119:C120"/>
    <mergeCell ref="D119:E120"/>
    <mergeCell ref="F119:G120"/>
    <mergeCell ref="H119:I120"/>
    <mergeCell ref="J119:K120"/>
    <mergeCell ref="B113:C114"/>
    <mergeCell ref="D113:E114"/>
    <mergeCell ref="F113:G114"/>
    <mergeCell ref="H113:I114"/>
    <mergeCell ref="J113:K114"/>
    <mergeCell ref="B115:C116"/>
    <mergeCell ref="D115:E116"/>
    <mergeCell ref="F115:G116"/>
    <mergeCell ref="H115:I116"/>
    <mergeCell ref="J115:K116"/>
    <mergeCell ref="B109:C110"/>
    <mergeCell ref="D109:E110"/>
    <mergeCell ref="F109:G110"/>
    <mergeCell ref="H109:I110"/>
    <mergeCell ref="J109:K110"/>
    <mergeCell ref="B111:C112"/>
    <mergeCell ref="D111:E112"/>
    <mergeCell ref="F111:G112"/>
    <mergeCell ref="H111:I112"/>
    <mergeCell ref="J111:K112"/>
    <mergeCell ref="B105:C106"/>
    <mergeCell ref="D105:E106"/>
    <mergeCell ref="F105:G106"/>
    <mergeCell ref="H105:I106"/>
    <mergeCell ref="J105:K106"/>
    <mergeCell ref="B107:C108"/>
    <mergeCell ref="D107:E108"/>
    <mergeCell ref="F107:G108"/>
    <mergeCell ref="H107:I108"/>
    <mergeCell ref="J107:K108"/>
    <mergeCell ref="B101:C102"/>
    <mergeCell ref="D101:E102"/>
    <mergeCell ref="F101:G102"/>
    <mergeCell ref="H101:I102"/>
    <mergeCell ref="J101:K102"/>
    <mergeCell ref="B103:C104"/>
    <mergeCell ref="D103:E104"/>
    <mergeCell ref="F103:G104"/>
    <mergeCell ref="H103:I104"/>
    <mergeCell ref="J103:K104"/>
    <mergeCell ref="B97:C98"/>
    <mergeCell ref="D97:E98"/>
    <mergeCell ref="F97:G98"/>
    <mergeCell ref="H97:I98"/>
    <mergeCell ref="J97:K98"/>
    <mergeCell ref="B99:C100"/>
    <mergeCell ref="D99:E100"/>
    <mergeCell ref="F99:G100"/>
    <mergeCell ref="H99:I100"/>
    <mergeCell ref="J99:K100"/>
    <mergeCell ref="B93:C94"/>
    <mergeCell ref="D93:E94"/>
    <mergeCell ref="F93:G94"/>
    <mergeCell ref="H93:I94"/>
    <mergeCell ref="J93:K94"/>
    <mergeCell ref="B95:C96"/>
    <mergeCell ref="D95:E96"/>
    <mergeCell ref="F95:G96"/>
    <mergeCell ref="H95:I96"/>
    <mergeCell ref="J95:K96"/>
    <mergeCell ref="B89:C90"/>
    <mergeCell ref="D89:E90"/>
    <mergeCell ref="F89:G90"/>
    <mergeCell ref="H89:I90"/>
    <mergeCell ref="J89:K90"/>
    <mergeCell ref="B91:C92"/>
    <mergeCell ref="D91:E92"/>
    <mergeCell ref="F91:G92"/>
    <mergeCell ref="H91:I92"/>
    <mergeCell ref="J91:K92"/>
    <mergeCell ref="B85:C86"/>
    <mergeCell ref="D85:E86"/>
    <mergeCell ref="F85:G86"/>
    <mergeCell ref="H85:I86"/>
    <mergeCell ref="J85:K86"/>
    <mergeCell ref="B87:C88"/>
    <mergeCell ref="D87:E88"/>
    <mergeCell ref="F87:G88"/>
    <mergeCell ref="H87:I88"/>
    <mergeCell ref="J87:K88"/>
    <mergeCell ref="B79:C80"/>
    <mergeCell ref="D79:E80"/>
    <mergeCell ref="F79:G80"/>
    <mergeCell ref="H79:I80"/>
    <mergeCell ref="J79:K80"/>
    <mergeCell ref="B81:C82"/>
    <mergeCell ref="D81:E82"/>
    <mergeCell ref="F81:G82"/>
    <mergeCell ref="H81:I82"/>
    <mergeCell ref="J81:K82"/>
    <mergeCell ref="B83:K84"/>
    <mergeCell ref="B75:C76"/>
    <mergeCell ref="D75:E76"/>
    <mergeCell ref="F75:G76"/>
    <mergeCell ref="H75:I76"/>
    <mergeCell ref="J75:K76"/>
    <mergeCell ref="B77:C78"/>
    <mergeCell ref="D77:E78"/>
    <mergeCell ref="F77:G78"/>
    <mergeCell ref="H77:I78"/>
    <mergeCell ref="J77:K78"/>
    <mergeCell ref="B71:C72"/>
    <mergeCell ref="D71:E72"/>
    <mergeCell ref="F71:G72"/>
    <mergeCell ref="H71:I72"/>
    <mergeCell ref="J71:K72"/>
    <mergeCell ref="B73:C74"/>
    <mergeCell ref="D73:E74"/>
    <mergeCell ref="F73:G74"/>
    <mergeCell ref="H73:I74"/>
    <mergeCell ref="J73:K74"/>
    <mergeCell ref="B67:C68"/>
    <mergeCell ref="D67:E68"/>
    <mergeCell ref="F67:G68"/>
    <mergeCell ref="H67:I68"/>
    <mergeCell ref="J67:K68"/>
    <mergeCell ref="B69:C70"/>
    <mergeCell ref="D69:E70"/>
    <mergeCell ref="F69:G70"/>
    <mergeCell ref="H69:I70"/>
    <mergeCell ref="J69:K70"/>
    <mergeCell ref="B63:C64"/>
    <mergeCell ref="D63:E64"/>
    <mergeCell ref="F63:G64"/>
    <mergeCell ref="H63:I64"/>
    <mergeCell ref="J63:K64"/>
    <mergeCell ref="B65:C66"/>
    <mergeCell ref="D65:E66"/>
    <mergeCell ref="F65:G66"/>
    <mergeCell ref="H65:I66"/>
    <mergeCell ref="J65:K66"/>
    <mergeCell ref="H61:I62"/>
    <mergeCell ref="J61:K62"/>
    <mergeCell ref="B55:C56"/>
    <mergeCell ref="D55:E56"/>
    <mergeCell ref="F55:G56"/>
    <mergeCell ref="H55:I56"/>
    <mergeCell ref="J55:K56"/>
    <mergeCell ref="B57:C58"/>
    <mergeCell ref="D57:E58"/>
    <mergeCell ref="F57:G58"/>
    <mergeCell ref="H57:I58"/>
    <mergeCell ref="J57:K58"/>
    <mergeCell ref="B51:C52"/>
    <mergeCell ref="D51:E52"/>
    <mergeCell ref="F51:G52"/>
    <mergeCell ref="H51:I52"/>
    <mergeCell ref="J51:K52"/>
    <mergeCell ref="B53:C54"/>
    <mergeCell ref="D53:E54"/>
    <mergeCell ref="F53:G54"/>
    <mergeCell ref="H53:I54"/>
    <mergeCell ref="J53:K54"/>
    <mergeCell ref="B47:C48"/>
    <mergeCell ref="D47:E48"/>
    <mergeCell ref="F47:G48"/>
    <mergeCell ref="H47:I48"/>
    <mergeCell ref="J47:K48"/>
    <mergeCell ref="B49:C50"/>
    <mergeCell ref="D49:E50"/>
    <mergeCell ref="F49:G50"/>
    <mergeCell ref="H49:I50"/>
    <mergeCell ref="J49:K50"/>
    <mergeCell ref="B43:C44"/>
    <mergeCell ref="D43:E44"/>
    <mergeCell ref="F43:G44"/>
    <mergeCell ref="H43:I44"/>
    <mergeCell ref="J43:K44"/>
    <mergeCell ref="B45:C46"/>
    <mergeCell ref="D45:E46"/>
    <mergeCell ref="F45:G46"/>
    <mergeCell ref="H45:I46"/>
    <mergeCell ref="J45:K46"/>
    <mergeCell ref="J19:K21"/>
    <mergeCell ref="L19:M21"/>
    <mergeCell ref="Q18:R19"/>
    <mergeCell ref="B17:C18"/>
    <mergeCell ref="E17:F18"/>
    <mergeCell ref="G17:H18"/>
    <mergeCell ref="E19:F20"/>
    <mergeCell ref="G19:H20"/>
    <mergeCell ref="E21:F22"/>
    <mergeCell ref="G21:H22"/>
    <mergeCell ref="B39:C40"/>
    <mergeCell ref="D39:E40"/>
    <mergeCell ref="F39:G40"/>
    <mergeCell ref="H39:I40"/>
    <mergeCell ref="J39:K40"/>
    <mergeCell ref="B41:C42"/>
    <mergeCell ref="D41:E42"/>
    <mergeCell ref="F41:G42"/>
    <mergeCell ref="H41:I42"/>
    <mergeCell ref="J41:K42"/>
    <mergeCell ref="B35:C36"/>
    <mergeCell ref="D35:E36"/>
    <mergeCell ref="F35:G36"/>
    <mergeCell ref="H35:I36"/>
    <mergeCell ref="J35:K36"/>
    <mergeCell ref="B37:C38"/>
    <mergeCell ref="D37:E38"/>
    <mergeCell ref="F37:G38"/>
    <mergeCell ref="H37:I38"/>
    <mergeCell ref="J37:K38"/>
    <mergeCell ref="B1:N2"/>
    <mergeCell ref="B3:N10"/>
    <mergeCell ref="B13:C14"/>
    <mergeCell ref="E13:F14"/>
    <mergeCell ref="G13:H14"/>
    <mergeCell ref="B15:C16"/>
    <mergeCell ref="E15:F16"/>
    <mergeCell ref="G15:H16"/>
    <mergeCell ref="N69:AA70"/>
    <mergeCell ref="N71:Q72"/>
    <mergeCell ref="R71:AA72"/>
    <mergeCell ref="N75:Q76"/>
    <mergeCell ref="R75:AA76"/>
    <mergeCell ref="N73:Q74"/>
    <mergeCell ref="R73:AA74"/>
    <mergeCell ref="B30:C32"/>
    <mergeCell ref="D30:E32"/>
    <mergeCell ref="F30:G32"/>
    <mergeCell ref="H30:I32"/>
    <mergeCell ref="J30:K32"/>
    <mergeCell ref="B33:C34"/>
    <mergeCell ref="D33:E34"/>
    <mergeCell ref="F33:G34"/>
    <mergeCell ref="H33:I34"/>
    <mergeCell ref="J33:K34"/>
    <mergeCell ref="B25:Q26"/>
    <mergeCell ref="B27:C28"/>
    <mergeCell ref="D27:E28"/>
    <mergeCell ref="J13:K14"/>
    <mergeCell ref="L13:M14"/>
    <mergeCell ref="J15:K16"/>
    <mergeCell ref="L15:M1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0D59-D922-4E75-A170-9F3CFBF1268E}">
  <dimension ref="B1:AA653"/>
  <sheetViews>
    <sheetView tabSelected="1" workbookViewId="0">
      <selection activeCell="I29" sqref="I29"/>
    </sheetView>
  </sheetViews>
  <sheetFormatPr baseColWidth="10" defaultRowHeight="14.4" x14ac:dyDescent="0.3"/>
  <sheetData>
    <row r="1" spans="2:20" ht="15.6" thickTop="1" thickBot="1" x14ac:dyDescent="0.35">
      <c r="B1" s="18" t="s">
        <v>17</v>
      </c>
      <c r="C1" s="19"/>
      <c r="D1" s="19"/>
      <c r="E1" s="19"/>
      <c r="F1" s="19"/>
      <c r="G1" s="19"/>
      <c r="H1" s="19"/>
      <c r="I1" s="19"/>
      <c r="J1" s="19"/>
      <c r="K1" s="19"/>
      <c r="L1" s="19"/>
      <c r="M1" s="19"/>
      <c r="N1" s="20"/>
    </row>
    <row r="2" spans="2:20" ht="15" thickBot="1" x14ac:dyDescent="0.35">
      <c r="B2" s="21"/>
      <c r="C2" s="22"/>
      <c r="D2" s="22"/>
      <c r="E2" s="22"/>
      <c r="F2" s="22"/>
      <c r="G2" s="22"/>
      <c r="H2" s="22"/>
      <c r="I2" s="22"/>
      <c r="J2" s="22"/>
      <c r="K2" s="22"/>
      <c r="L2" s="22"/>
      <c r="M2" s="22"/>
      <c r="N2" s="23"/>
    </row>
    <row r="3" spans="2:20" x14ac:dyDescent="0.3">
      <c r="B3" s="99" t="s">
        <v>20</v>
      </c>
      <c r="C3" s="100"/>
      <c r="D3" s="100"/>
      <c r="E3" s="100"/>
      <c r="F3" s="100"/>
      <c r="G3" s="100"/>
      <c r="H3" s="100"/>
      <c r="I3" s="100"/>
      <c r="J3" s="100"/>
      <c r="K3" s="100"/>
      <c r="L3" s="100"/>
      <c r="M3" s="100"/>
      <c r="N3" s="101"/>
    </row>
    <row r="4" spans="2:20" x14ac:dyDescent="0.3">
      <c r="B4" s="102"/>
      <c r="C4" s="103"/>
      <c r="D4" s="103"/>
      <c r="E4" s="103"/>
      <c r="F4" s="103"/>
      <c r="G4" s="103"/>
      <c r="H4" s="103"/>
      <c r="I4" s="103"/>
      <c r="J4" s="103"/>
      <c r="K4" s="103"/>
      <c r="L4" s="103"/>
      <c r="M4" s="103"/>
      <c r="N4" s="104"/>
    </row>
    <row r="5" spans="2:20" x14ac:dyDescent="0.3">
      <c r="B5" s="102"/>
      <c r="C5" s="103"/>
      <c r="D5" s="103"/>
      <c r="E5" s="103"/>
      <c r="F5" s="103"/>
      <c r="G5" s="103"/>
      <c r="H5" s="103"/>
      <c r="I5" s="103"/>
      <c r="J5" s="103"/>
      <c r="K5" s="103"/>
      <c r="L5" s="103"/>
      <c r="M5" s="103"/>
      <c r="N5" s="104"/>
    </row>
    <row r="6" spans="2:20" x14ac:dyDescent="0.3">
      <c r="B6" s="102"/>
      <c r="C6" s="103"/>
      <c r="D6" s="103"/>
      <c r="E6" s="103"/>
      <c r="F6" s="103"/>
      <c r="G6" s="103"/>
      <c r="H6" s="103"/>
      <c r="I6" s="103"/>
      <c r="J6" s="103"/>
      <c r="K6" s="103"/>
      <c r="L6" s="103"/>
      <c r="M6" s="103"/>
      <c r="N6" s="104"/>
    </row>
    <row r="7" spans="2:20" x14ac:dyDescent="0.3">
      <c r="B7" s="102"/>
      <c r="C7" s="103"/>
      <c r="D7" s="103"/>
      <c r="E7" s="103"/>
      <c r="F7" s="103"/>
      <c r="G7" s="103"/>
      <c r="H7" s="103"/>
      <c r="I7" s="103"/>
      <c r="J7" s="103"/>
      <c r="K7" s="103"/>
      <c r="L7" s="103"/>
      <c r="M7" s="103"/>
      <c r="N7" s="104"/>
    </row>
    <row r="8" spans="2:20" x14ac:dyDescent="0.3">
      <c r="B8" s="102"/>
      <c r="C8" s="103"/>
      <c r="D8" s="103"/>
      <c r="E8" s="103"/>
      <c r="F8" s="103"/>
      <c r="G8" s="103"/>
      <c r="H8" s="103"/>
      <c r="I8" s="103"/>
      <c r="J8" s="103"/>
      <c r="K8" s="103"/>
      <c r="L8" s="103"/>
      <c r="M8" s="103"/>
      <c r="N8" s="104"/>
    </row>
    <row r="9" spans="2:20" x14ac:dyDescent="0.3">
      <c r="B9" s="102"/>
      <c r="C9" s="103"/>
      <c r="D9" s="103"/>
      <c r="E9" s="103"/>
      <c r="F9" s="103"/>
      <c r="G9" s="103"/>
      <c r="H9" s="103"/>
      <c r="I9" s="103"/>
      <c r="J9" s="103"/>
      <c r="K9" s="103"/>
      <c r="L9" s="103"/>
      <c r="M9" s="103"/>
      <c r="N9" s="104"/>
    </row>
    <row r="10" spans="2:20" x14ac:dyDescent="0.3">
      <c r="B10" s="102"/>
      <c r="C10" s="103"/>
      <c r="D10" s="103"/>
      <c r="E10" s="103"/>
      <c r="F10" s="103"/>
      <c r="G10" s="103"/>
      <c r="H10" s="103"/>
      <c r="I10" s="103"/>
      <c r="J10" s="103"/>
      <c r="K10" s="103"/>
      <c r="L10" s="103"/>
      <c r="M10" s="103"/>
      <c r="N10" s="104"/>
    </row>
    <row r="11" spans="2:20" x14ac:dyDescent="0.3">
      <c r="B11" s="102"/>
      <c r="C11" s="103"/>
      <c r="D11" s="103"/>
      <c r="E11" s="103"/>
      <c r="F11" s="103"/>
      <c r="G11" s="103"/>
      <c r="H11" s="103"/>
      <c r="I11" s="103"/>
      <c r="J11" s="103"/>
      <c r="K11" s="103"/>
      <c r="L11" s="103"/>
      <c r="M11" s="103"/>
      <c r="N11" s="104"/>
    </row>
    <row r="12" spans="2:20" x14ac:dyDescent="0.3">
      <c r="B12" s="102"/>
      <c r="C12" s="103"/>
      <c r="D12" s="103"/>
      <c r="E12" s="103"/>
      <c r="F12" s="103"/>
      <c r="G12" s="103"/>
      <c r="H12" s="103"/>
      <c r="I12" s="103"/>
      <c r="J12" s="103"/>
      <c r="K12" s="103"/>
      <c r="L12" s="103"/>
      <c r="M12" s="103"/>
      <c r="N12" s="104"/>
    </row>
    <row r="13" spans="2:20" ht="15" thickBot="1" x14ac:dyDescent="0.35">
      <c r="B13" s="105"/>
      <c r="C13" s="106"/>
      <c r="D13" s="106"/>
      <c r="E13" s="106"/>
      <c r="F13" s="106"/>
      <c r="G13" s="106"/>
      <c r="H13" s="106"/>
      <c r="I13" s="106"/>
      <c r="J13" s="106"/>
      <c r="K13" s="106"/>
      <c r="L13" s="106"/>
      <c r="M13" s="106"/>
      <c r="N13" s="107"/>
    </row>
    <row r="14" spans="2:20" ht="15" thickTop="1" x14ac:dyDescent="0.3"/>
    <row r="15" spans="2:20" ht="15" thickBot="1" x14ac:dyDescent="0.35"/>
    <row r="16" spans="2:20" ht="15.6" thickTop="1" thickBot="1" x14ac:dyDescent="0.35">
      <c r="B16" s="4" t="s">
        <v>1</v>
      </c>
      <c r="C16" s="5"/>
      <c r="D16" s="5"/>
      <c r="E16" s="6"/>
      <c r="G16" s="30" t="s">
        <v>78</v>
      </c>
      <c r="H16" s="31"/>
      <c r="I16" s="108">
        <v>25</v>
      </c>
      <c r="J16" s="109"/>
      <c r="L16" s="30" t="s">
        <v>99</v>
      </c>
      <c r="M16" s="31"/>
      <c r="N16" s="40">
        <v>0.02</v>
      </c>
      <c r="O16" s="36"/>
      <c r="Q16" s="30" t="s">
        <v>114</v>
      </c>
      <c r="R16" s="31"/>
      <c r="S16" s="40">
        <f>N16+0.005</f>
        <v>2.5000000000000001E-2</v>
      </c>
      <c r="T16" s="36"/>
    </row>
    <row r="17" spans="2:20" ht="15" thickBot="1" x14ac:dyDescent="0.35">
      <c r="B17" s="7"/>
      <c r="C17" s="8"/>
      <c r="D17" s="8"/>
      <c r="E17" s="9"/>
      <c r="G17" s="32"/>
      <c r="H17" s="33"/>
      <c r="I17" s="54"/>
      <c r="J17" s="55"/>
      <c r="L17" s="32"/>
      <c r="M17" s="33"/>
      <c r="N17" s="35"/>
      <c r="O17" s="37"/>
      <c r="Q17" s="32"/>
      <c r="R17" s="33"/>
      <c r="S17" s="35"/>
      <c r="T17" s="37"/>
    </row>
    <row r="18" spans="2:20" ht="15.6" thickTop="1" thickBot="1" x14ac:dyDescent="0.35">
      <c r="B18" s="30" t="s">
        <v>19</v>
      </c>
      <c r="C18" s="31"/>
      <c r="D18" s="66" t="s">
        <v>16</v>
      </c>
      <c r="E18" s="6"/>
      <c r="G18" s="32" t="s">
        <v>79</v>
      </c>
      <c r="H18" s="33"/>
      <c r="I18" s="54">
        <f>I16*12</f>
        <v>300</v>
      </c>
      <c r="J18" s="55"/>
      <c r="L18" s="32" t="s">
        <v>102</v>
      </c>
      <c r="M18" s="33"/>
      <c r="N18" s="52">
        <f>N16+0.013</f>
        <v>3.3000000000000002E-2</v>
      </c>
      <c r="O18" s="37"/>
      <c r="Q18" s="32" t="s">
        <v>115</v>
      </c>
      <c r="R18" s="33"/>
      <c r="S18" s="52">
        <f>S16+0.013</f>
        <v>3.7999999999999999E-2</v>
      </c>
      <c r="T18" s="37"/>
    </row>
    <row r="19" spans="2:20" ht="15" thickBot="1" x14ac:dyDescent="0.35">
      <c r="B19" s="32"/>
      <c r="C19" s="33"/>
      <c r="D19" s="68"/>
      <c r="E19" s="70"/>
      <c r="G19" s="32"/>
      <c r="H19" s="33"/>
      <c r="I19" s="54"/>
      <c r="J19" s="55"/>
      <c r="L19" s="32"/>
      <c r="M19" s="33"/>
      <c r="N19" s="35"/>
      <c r="O19" s="37"/>
      <c r="Q19" s="32"/>
      <c r="R19" s="33"/>
      <c r="S19" s="35"/>
      <c r="T19" s="37"/>
    </row>
    <row r="20" spans="2:20" ht="15.6" customHeight="1" thickBot="1" x14ac:dyDescent="0.35">
      <c r="B20" s="177">
        <v>2.9999999999999997E-4</v>
      </c>
      <c r="C20" s="35"/>
      <c r="D20" s="35">
        <v>3100</v>
      </c>
      <c r="E20" s="37"/>
      <c r="G20" s="32" t="s">
        <v>81</v>
      </c>
      <c r="H20" s="33"/>
      <c r="I20" s="52">
        <v>0.01</v>
      </c>
      <c r="J20" s="37"/>
      <c r="L20" s="32" t="s">
        <v>103</v>
      </c>
      <c r="M20" s="33"/>
      <c r="N20" s="54">
        <v>100</v>
      </c>
      <c r="O20" s="55"/>
      <c r="Q20" s="32" t="s">
        <v>116</v>
      </c>
      <c r="R20" s="33"/>
      <c r="S20" s="54">
        <f>I18-120</f>
        <v>180</v>
      </c>
      <c r="T20" s="55"/>
    </row>
    <row r="21" spans="2:20" ht="15" thickBot="1" x14ac:dyDescent="0.35">
      <c r="B21" s="42"/>
      <c r="C21" s="43"/>
      <c r="D21" s="43"/>
      <c r="E21" s="44"/>
      <c r="G21" s="32"/>
      <c r="H21" s="33"/>
      <c r="I21" s="35"/>
      <c r="J21" s="37"/>
      <c r="L21" s="32"/>
      <c r="M21" s="33"/>
      <c r="N21" s="54"/>
      <c r="O21" s="55"/>
      <c r="Q21" s="32"/>
      <c r="R21" s="33"/>
      <c r="S21" s="54"/>
      <c r="T21" s="55"/>
    </row>
    <row r="22" spans="2:20" ht="15.6" thickTop="1" thickBot="1" x14ac:dyDescent="0.35">
      <c r="G22" s="32" t="s">
        <v>80</v>
      </c>
      <c r="H22" s="33"/>
      <c r="I22" s="52">
        <f>I20+0.013</f>
        <v>2.3E-2</v>
      </c>
      <c r="J22" s="37"/>
      <c r="L22" s="32" t="s">
        <v>100</v>
      </c>
      <c r="M22" s="33"/>
      <c r="N22" s="54">
        <f>I18-24</f>
        <v>276</v>
      </c>
      <c r="O22" s="55"/>
      <c r="Q22" s="32"/>
      <c r="R22" s="33"/>
      <c r="S22" s="54"/>
      <c r="T22" s="55"/>
    </row>
    <row r="23" spans="2:20" ht="15.6" customHeight="1" thickBot="1" x14ac:dyDescent="0.35">
      <c r="G23" s="32"/>
      <c r="H23" s="33"/>
      <c r="I23" s="35"/>
      <c r="J23" s="37"/>
      <c r="L23" s="32"/>
      <c r="M23" s="33"/>
      <c r="N23" s="54"/>
      <c r="O23" s="55"/>
      <c r="Q23" s="32" t="s">
        <v>118</v>
      </c>
      <c r="R23" s="33"/>
      <c r="S23" s="168">
        <f>PV(N18/12,S20,-N30)</f>
        <v>2210.8366964211068</v>
      </c>
      <c r="T23" s="53"/>
    </row>
    <row r="24" spans="2:20" ht="15" thickBot="1" x14ac:dyDescent="0.35">
      <c r="G24" s="32" t="s">
        <v>82</v>
      </c>
      <c r="H24" s="33"/>
      <c r="I24" s="52">
        <v>2.4E-2</v>
      </c>
      <c r="J24" s="37"/>
      <c r="L24" s="32"/>
      <c r="M24" s="33"/>
      <c r="N24" s="54"/>
      <c r="O24" s="55"/>
      <c r="Q24" s="32"/>
      <c r="R24" s="33"/>
      <c r="S24" s="52"/>
      <c r="T24" s="53"/>
    </row>
    <row r="25" spans="2:20" ht="15" customHeight="1" thickBot="1" x14ac:dyDescent="0.35">
      <c r="G25" s="46"/>
      <c r="H25" s="47"/>
      <c r="I25" s="43"/>
      <c r="J25" s="44"/>
      <c r="L25" s="32" t="s">
        <v>101</v>
      </c>
      <c r="M25" s="33"/>
      <c r="N25" s="168">
        <f>PV(I22/12,N22,-D36)</f>
        <v>2912.1661438217157</v>
      </c>
      <c r="O25" s="37"/>
      <c r="Q25" s="32"/>
      <c r="R25" s="33"/>
      <c r="S25" s="52"/>
      <c r="T25" s="53"/>
    </row>
    <row r="26" spans="2:20" ht="15.6" customHeight="1" thickTop="1" thickBot="1" x14ac:dyDescent="0.35">
      <c r="L26" s="32"/>
      <c r="M26" s="33"/>
      <c r="N26" s="35"/>
      <c r="O26" s="37"/>
      <c r="Q26" s="32" t="s">
        <v>119</v>
      </c>
      <c r="R26" s="33"/>
      <c r="S26" s="168">
        <f>S23+(B20*S23)</f>
        <v>2211.499947430033</v>
      </c>
      <c r="T26" s="53"/>
    </row>
    <row r="27" spans="2:20" ht="15" thickBot="1" x14ac:dyDescent="0.35">
      <c r="L27" s="32" t="s">
        <v>104</v>
      </c>
      <c r="M27" s="33"/>
      <c r="N27" s="54">
        <f>N25+N20</f>
        <v>3012.1661438217157</v>
      </c>
      <c r="O27" s="55"/>
      <c r="Q27" s="32"/>
      <c r="R27" s="33"/>
      <c r="S27" s="52"/>
      <c r="T27" s="53"/>
    </row>
    <row r="28" spans="2:20" ht="15.6" thickTop="1" thickBot="1" x14ac:dyDescent="0.35">
      <c r="B28" s="181" t="s">
        <v>127</v>
      </c>
      <c r="C28" s="182"/>
      <c r="D28" s="182"/>
      <c r="E28" s="183"/>
      <c r="L28" s="32"/>
      <c r="M28" s="33"/>
      <c r="N28" s="54"/>
      <c r="O28" s="55"/>
      <c r="Q28" s="32"/>
      <c r="R28" s="33"/>
      <c r="S28" s="52"/>
      <c r="T28" s="53"/>
    </row>
    <row r="29" spans="2:20" ht="15" thickBot="1" x14ac:dyDescent="0.35">
      <c r="B29" s="184"/>
      <c r="C29" s="185"/>
      <c r="D29" s="185"/>
      <c r="E29" s="186"/>
      <c r="L29" s="32"/>
      <c r="M29" s="33"/>
      <c r="N29" s="54"/>
      <c r="O29" s="55"/>
      <c r="Q29" s="32" t="s">
        <v>117</v>
      </c>
      <c r="R29" s="33"/>
      <c r="S29" s="178">
        <f>PMT(S18/12,S20,-S26)</f>
        <v>16.137436987603884</v>
      </c>
      <c r="T29" s="179"/>
    </row>
    <row r="30" spans="2:20" ht="15" thickBot="1" x14ac:dyDescent="0.35">
      <c r="B30" s="184"/>
      <c r="C30" s="185"/>
      <c r="D30" s="185"/>
      <c r="E30" s="186"/>
      <c r="L30" s="32" t="s">
        <v>105</v>
      </c>
      <c r="M30" s="33"/>
      <c r="N30" s="178">
        <f>PMT(N18/12,N22,-N27)</f>
        <v>15.588640673015377</v>
      </c>
      <c r="O30" s="179"/>
      <c r="Q30" s="46"/>
      <c r="R30" s="47"/>
      <c r="S30" s="141"/>
      <c r="T30" s="142"/>
    </row>
    <row r="31" spans="2:20" ht="15" thickBot="1" x14ac:dyDescent="0.35">
      <c r="B31" s="184"/>
      <c r="C31" s="185"/>
      <c r="D31" s="185"/>
      <c r="E31" s="186"/>
      <c r="L31" s="46"/>
      <c r="M31" s="47"/>
      <c r="N31" s="141"/>
      <c r="O31" s="142"/>
    </row>
    <row r="32" spans="2:20" ht="15.6" thickTop="1" thickBot="1" x14ac:dyDescent="0.35">
      <c r="B32" s="187"/>
      <c r="C32" s="188"/>
      <c r="D32" s="188"/>
      <c r="E32" s="189"/>
    </row>
    <row r="33" spans="2:17" ht="15.6" thickTop="1" thickBot="1" x14ac:dyDescent="0.35"/>
    <row r="34" spans="2:17" ht="15" thickTop="1" x14ac:dyDescent="0.3">
      <c r="B34" s="4" t="s">
        <v>83</v>
      </c>
      <c r="C34" s="5"/>
      <c r="D34" s="5"/>
      <c r="E34" s="5"/>
      <c r="F34" s="5"/>
      <c r="G34" s="5"/>
      <c r="H34" s="5"/>
      <c r="I34" s="5"/>
      <c r="J34" s="5"/>
      <c r="K34" s="5"/>
      <c r="L34" s="5"/>
      <c r="M34" s="5"/>
      <c r="N34" s="5"/>
      <c r="O34" s="5"/>
      <c r="P34" s="5"/>
      <c r="Q34" s="6"/>
    </row>
    <row r="35" spans="2:17" ht="15" thickBot="1" x14ac:dyDescent="0.35">
      <c r="B35" s="7"/>
      <c r="C35" s="8"/>
      <c r="D35" s="8"/>
      <c r="E35" s="8"/>
      <c r="F35" s="8"/>
      <c r="G35" s="8"/>
      <c r="H35" s="8"/>
      <c r="I35" s="8"/>
      <c r="J35" s="8"/>
      <c r="K35" s="8"/>
      <c r="L35" s="8"/>
      <c r="M35" s="8"/>
      <c r="N35" s="8"/>
      <c r="O35" s="8"/>
      <c r="P35" s="8"/>
      <c r="Q35" s="9"/>
    </row>
    <row r="36" spans="2:17" ht="15.6" thickTop="1" thickBot="1" x14ac:dyDescent="0.35">
      <c r="B36" s="137" t="s">
        <v>84</v>
      </c>
      <c r="C36" s="138"/>
      <c r="D36" s="139">
        <f>PMT(I22/12,I18,-D20)</f>
        <v>13.596946499530036</v>
      </c>
      <c r="E36" s="140"/>
      <c r="H36" s="137" t="s">
        <v>107</v>
      </c>
      <c r="I36" s="138"/>
      <c r="J36" s="156">
        <f>EFFECT(I22,12)</f>
        <v>2.3244014073448005E-2</v>
      </c>
      <c r="K36" s="157"/>
      <c r="N36" s="137" t="s">
        <v>108</v>
      </c>
      <c r="O36" s="138"/>
      <c r="P36" s="156">
        <f>EFFECT(N18,12)</f>
        <v>3.3503728747209749E-2</v>
      </c>
      <c r="Q36" s="157"/>
    </row>
    <row r="37" spans="2:17" ht="15" thickBot="1" x14ac:dyDescent="0.35">
      <c r="B37" s="46"/>
      <c r="C37" s="47"/>
      <c r="D37" s="141"/>
      <c r="E37" s="142"/>
      <c r="H37" s="46"/>
      <c r="I37" s="47"/>
      <c r="J37" s="158"/>
      <c r="K37" s="159"/>
      <c r="N37" s="46"/>
      <c r="O37" s="47"/>
      <c r="P37" s="158"/>
      <c r="Q37" s="159"/>
    </row>
    <row r="38" spans="2:17" ht="15.6" thickTop="1" thickBot="1" x14ac:dyDescent="0.35"/>
    <row r="39" spans="2:17" ht="15.6" thickTop="1" thickBot="1" x14ac:dyDescent="0.35">
      <c r="B39" s="30" t="s">
        <v>113</v>
      </c>
      <c r="C39" s="31"/>
      <c r="D39" s="31" t="s">
        <v>85</v>
      </c>
      <c r="E39" s="31"/>
      <c r="F39" s="31" t="s">
        <v>86</v>
      </c>
      <c r="G39" s="31"/>
      <c r="H39" s="31" t="s">
        <v>87</v>
      </c>
      <c r="I39" s="31"/>
      <c r="J39" s="31" t="s">
        <v>88</v>
      </c>
      <c r="K39" s="49"/>
    </row>
    <row r="40" spans="2:17" ht="15.6" thickTop="1" thickBot="1" x14ac:dyDescent="0.35">
      <c r="B40" s="32"/>
      <c r="C40" s="33"/>
      <c r="D40" s="33"/>
      <c r="E40" s="33"/>
      <c r="F40" s="33"/>
      <c r="G40" s="33"/>
      <c r="H40" s="33"/>
      <c r="I40" s="33"/>
      <c r="J40" s="33"/>
      <c r="K40" s="110"/>
      <c r="N40" s="4" t="s">
        <v>109</v>
      </c>
      <c r="O40" s="5"/>
      <c r="P40" s="5"/>
      <c r="Q40" s="6"/>
    </row>
    <row r="41" spans="2:17" ht="15" thickBot="1" x14ac:dyDescent="0.35">
      <c r="B41" s="46"/>
      <c r="C41" s="47"/>
      <c r="D41" s="47"/>
      <c r="E41" s="47"/>
      <c r="F41" s="47"/>
      <c r="G41" s="47"/>
      <c r="H41" s="47"/>
      <c r="I41" s="47"/>
      <c r="J41" s="47"/>
      <c r="K41" s="50"/>
      <c r="N41" s="7"/>
      <c r="O41" s="8"/>
      <c r="P41" s="8"/>
      <c r="Q41" s="9"/>
    </row>
    <row r="42" spans="2:17" ht="15.6" thickTop="1" thickBot="1" x14ac:dyDescent="0.35">
      <c r="B42" s="117">
        <v>0</v>
      </c>
      <c r="C42" s="118"/>
      <c r="D42" s="120"/>
      <c r="E42" s="120"/>
      <c r="F42" s="120"/>
      <c r="G42" s="120"/>
      <c r="H42" s="120"/>
      <c r="I42" s="120"/>
      <c r="J42" s="120">
        <f>B26</f>
        <v>0</v>
      </c>
      <c r="K42" s="122"/>
      <c r="N42" s="137" t="s">
        <v>90</v>
      </c>
      <c r="O42" s="138"/>
      <c r="P42" s="139">
        <f>D20*I24</f>
        <v>74.400000000000006</v>
      </c>
      <c r="Q42" s="140"/>
    </row>
    <row r="43" spans="2:17" ht="15" thickBot="1" x14ac:dyDescent="0.35">
      <c r="B43" s="41"/>
      <c r="C43" s="35"/>
      <c r="D43" s="121"/>
      <c r="E43" s="121"/>
      <c r="F43" s="121"/>
      <c r="G43" s="121"/>
      <c r="H43" s="121"/>
      <c r="I43" s="121"/>
      <c r="J43" s="121"/>
      <c r="K43" s="123"/>
      <c r="N43" s="46"/>
      <c r="O43" s="47"/>
      <c r="P43" s="141"/>
      <c r="Q43" s="142"/>
    </row>
    <row r="44" spans="2:17" ht="15" thickBot="1" x14ac:dyDescent="0.35">
      <c r="B44" s="117">
        <v>1</v>
      </c>
      <c r="C44" s="118"/>
      <c r="D44" s="120">
        <f>$D$36</f>
        <v>13.596946499530036</v>
      </c>
      <c r="E44" s="120"/>
      <c r="F44" s="120">
        <f>($G$19/12)*J42</f>
        <v>0</v>
      </c>
      <c r="G44" s="120"/>
      <c r="H44" s="120">
        <f>D44-F44</f>
        <v>13.596946499530036</v>
      </c>
      <c r="I44" s="120"/>
      <c r="J44" s="120">
        <f>J42-H44</f>
        <v>-13.596946499530036</v>
      </c>
      <c r="K44" s="122"/>
      <c r="N44" s="137" t="s">
        <v>111</v>
      </c>
      <c r="O44" s="138"/>
      <c r="P44" s="139">
        <f>D20-P42</f>
        <v>3025.6</v>
      </c>
      <c r="Q44" s="140"/>
    </row>
    <row r="45" spans="2:17" ht="15" thickBot="1" x14ac:dyDescent="0.35">
      <c r="B45" s="41"/>
      <c r="C45" s="35"/>
      <c r="D45" s="121"/>
      <c r="E45" s="121"/>
      <c r="F45" s="121"/>
      <c r="G45" s="121"/>
      <c r="H45" s="121"/>
      <c r="I45" s="121"/>
      <c r="J45" s="121"/>
      <c r="K45" s="123"/>
      <c r="N45" s="46"/>
      <c r="O45" s="47"/>
      <c r="P45" s="141"/>
      <c r="Q45" s="142"/>
    </row>
    <row r="46" spans="2:17" ht="15" thickBot="1" x14ac:dyDescent="0.35">
      <c r="B46" s="117">
        <v>2</v>
      </c>
      <c r="C46" s="118"/>
      <c r="D46" s="120">
        <f t="shared" ref="D46" si="0">$D$36</f>
        <v>13.596946499530036</v>
      </c>
      <c r="E46" s="120"/>
      <c r="F46" s="120">
        <f t="shared" ref="F46" si="1">($G$19/12)*J44</f>
        <v>0</v>
      </c>
      <c r="G46" s="120"/>
      <c r="H46" s="120">
        <f t="shared" ref="H46" si="2">D46-F46</f>
        <v>13.596946499530036</v>
      </c>
      <c r="I46" s="120"/>
      <c r="J46" s="120">
        <f t="shared" ref="J46" si="3">J44-H46</f>
        <v>-27.193892999060072</v>
      </c>
      <c r="K46" s="122"/>
      <c r="N46" s="137" t="s">
        <v>93</v>
      </c>
      <c r="O46" s="138"/>
      <c r="P46" s="156">
        <f>(RATE(I18,-D36,P44))*12</f>
        <v>2.5154794088390678E-2</v>
      </c>
      <c r="Q46" s="157"/>
    </row>
    <row r="47" spans="2:17" ht="15" thickBot="1" x14ac:dyDescent="0.35">
      <c r="B47" s="41"/>
      <c r="C47" s="35"/>
      <c r="D47" s="121"/>
      <c r="E47" s="121"/>
      <c r="F47" s="121"/>
      <c r="G47" s="121"/>
      <c r="H47" s="121"/>
      <c r="I47" s="121"/>
      <c r="J47" s="121"/>
      <c r="K47" s="123"/>
      <c r="N47" s="46"/>
      <c r="O47" s="47"/>
      <c r="P47" s="158"/>
      <c r="Q47" s="159"/>
    </row>
    <row r="48" spans="2:17" ht="15" thickBot="1" x14ac:dyDescent="0.35">
      <c r="B48" s="117">
        <v>3</v>
      </c>
      <c r="C48" s="118"/>
      <c r="D48" s="120">
        <f t="shared" ref="D48" si="4">$D$36</f>
        <v>13.596946499530036</v>
      </c>
      <c r="E48" s="120"/>
      <c r="F48" s="120">
        <f t="shared" ref="F48" si="5">($G$19/12)*J46</f>
        <v>0</v>
      </c>
      <c r="G48" s="120"/>
      <c r="H48" s="120">
        <f t="shared" ref="H48" si="6">D48-F48</f>
        <v>13.596946499530036</v>
      </c>
      <c r="I48" s="120"/>
      <c r="J48" s="120">
        <f t="shared" ref="J48" si="7">J46-H48</f>
        <v>-40.79083949859011</v>
      </c>
      <c r="K48" s="122"/>
    </row>
    <row r="49" spans="2:22" ht="15" thickBot="1" x14ac:dyDescent="0.35">
      <c r="B49" s="41"/>
      <c r="C49" s="35"/>
      <c r="D49" s="121"/>
      <c r="E49" s="121"/>
      <c r="F49" s="121"/>
      <c r="G49" s="121"/>
      <c r="H49" s="121"/>
      <c r="I49" s="121"/>
      <c r="J49" s="121"/>
      <c r="K49" s="123"/>
    </row>
    <row r="50" spans="2:22" ht="15.6" thickTop="1" thickBot="1" x14ac:dyDescent="0.35">
      <c r="B50" s="117">
        <v>4</v>
      </c>
      <c r="C50" s="118"/>
      <c r="D50" s="120">
        <f t="shared" ref="D50" si="8">$D$36</f>
        <v>13.596946499530036</v>
      </c>
      <c r="E50" s="120"/>
      <c r="F50" s="120">
        <f t="shared" ref="F50" si="9">($G$19/12)*J48</f>
        <v>0</v>
      </c>
      <c r="G50" s="120"/>
      <c r="H50" s="120">
        <f t="shared" ref="H50" si="10">D50-F50</f>
        <v>13.596946499530036</v>
      </c>
      <c r="I50" s="120"/>
      <c r="J50" s="120">
        <f t="shared" ref="J50" si="11">J48-H50</f>
        <v>-54.387785998120144</v>
      </c>
      <c r="K50" s="122"/>
      <c r="N50" s="125" t="s">
        <v>110</v>
      </c>
      <c r="O50" s="126"/>
      <c r="P50" s="126"/>
      <c r="Q50" s="175"/>
    </row>
    <row r="51" spans="2:22" ht="15" thickBot="1" x14ac:dyDescent="0.35">
      <c r="B51" s="41"/>
      <c r="C51" s="35"/>
      <c r="D51" s="121"/>
      <c r="E51" s="121"/>
      <c r="F51" s="121"/>
      <c r="G51" s="121"/>
      <c r="H51" s="121"/>
      <c r="I51" s="121"/>
      <c r="J51" s="121"/>
      <c r="K51" s="123"/>
      <c r="N51" s="128"/>
      <c r="O51" s="129"/>
      <c r="P51" s="129"/>
      <c r="Q51" s="176"/>
    </row>
    <row r="52" spans="2:22" ht="15" thickBot="1" x14ac:dyDescent="0.35">
      <c r="B52" s="117">
        <v>5</v>
      </c>
      <c r="C52" s="118"/>
      <c r="D52" s="120">
        <f t="shared" ref="D52" si="12">$D$36</f>
        <v>13.596946499530036</v>
      </c>
      <c r="E52" s="120"/>
      <c r="F52" s="120">
        <f t="shared" ref="F52" si="13">($G$19/12)*J50</f>
        <v>0</v>
      </c>
      <c r="G52" s="120"/>
      <c r="H52" s="120">
        <f t="shared" ref="H52" si="14">D52-F52</f>
        <v>13.596946499530036</v>
      </c>
      <c r="I52" s="120"/>
      <c r="J52" s="120">
        <f t="shared" ref="J52" si="15">J50-H52</f>
        <v>-67.984732497650185</v>
      </c>
      <c r="K52" s="122"/>
      <c r="N52" s="137" t="s">
        <v>111</v>
      </c>
      <c r="O52" s="138"/>
      <c r="P52" s="139">
        <f>N27</f>
        <v>3012.1661438217157</v>
      </c>
      <c r="Q52" s="140"/>
    </row>
    <row r="53" spans="2:22" ht="15" thickBot="1" x14ac:dyDescent="0.35">
      <c r="B53" s="41"/>
      <c r="C53" s="35"/>
      <c r="D53" s="121"/>
      <c r="E53" s="121"/>
      <c r="F53" s="121"/>
      <c r="G53" s="121"/>
      <c r="H53" s="121"/>
      <c r="I53" s="121"/>
      <c r="J53" s="121"/>
      <c r="K53" s="123"/>
      <c r="N53" s="46"/>
      <c r="O53" s="47"/>
      <c r="P53" s="141"/>
      <c r="Q53" s="142"/>
    </row>
    <row r="54" spans="2:22" ht="15" thickBot="1" x14ac:dyDescent="0.35">
      <c r="B54" s="117">
        <v>6</v>
      </c>
      <c r="C54" s="118"/>
      <c r="D54" s="120">
        <f t="shared" ref="D54" si="16">$D$36</f>
        <v>13.596946499530036</v>
      </c>
      <c r="E54" s="120"/>
      <c r="F54" s="120">
        <f t="shared" ref="F54" si="17">($G$19/12)*J52</f>
        <v>0</v>
      </c>
      <c r="G54" s="120"/>
      <c r="H54" s="120">
        <f t="shared" ref="H54" si="18">D54-F54</f>
        <v>13.596946499530036</v>
      </c>
      <c r="I54" s="120"/>
      <c r="J54" s="120">
        <f t="shared" ref="J54" si="19">J52-H54</f>
        <v>-81.581678997180219</v>
      </c>
      <c r="K54" s="122"/>
      <c r="N54" s="137" t="s">
        <v>93</v>
      </c>
      <c r="O54" s="138"/>
      <c r="P54" s="156">
        <f>(RATE(N22,-N30,P52))*12</f>
        <v>3.3000000000003402E-2</v>
      </c>
      <c r="Q54" s="157"/>
    </row>
    <row r="55" spans="2:22" ht="15" thickBot="1" x14ac:dyDescent="0.35">
      <c r="B55" s="41"/>
      <c r="C55" s="35"/>
      <c r="D55" s="121"/>
      <c r="E55" s="121"/>
      <c r="F55" s="121"/>
      <c r="G55" s="121"/>
      <c r="H55" s="121"/>
      <c r="I55" s="121"/>
      <c r="J55" s="121"/>
      <c r="K55" s="123"/>
      <c r="N55" s="46"/>
      <c r="O55" s="47"/>
      <c r="P55" s="158"/>
      <c r="Q55" s="159"/>
    </row>
    <row r="56" spans="2:22" ht="15" thickBot="1" x14ac:dyDescent="0.35">
      <c r="B56" s="117">
        <v>7</v>
      </c>
      <c r="C56" s="118"/>
      <c r="D56" s="120">
        <f t="shared" ref="D56" si="20">$D$36</f>
        <v>13.596946499530036</v>
      </c>
      <c r="E56" s="120"/>
      <c r="F56" s="120">
        <f t="shared" ref="F56" si="21">($G$19/12)*J54</f>
        <v>0</v>
      </c>
      <c r="G56" s="120"/>
      <c r="H56" s="120">
        <f t="shared" ref="H56" si="22">D56-F56</f>
        <v>13.596946499530036</v>
      </c>
      <c r="I56" s="120"/>
      <c r="J56" s="120">
        <f t="shared" ref="J56" si="23">J54-H56</f>
        <v>-95.178625496710254</v>
      </c>
      <c r="K56" s="122"/>
    </row>
    <row r="57" spans="2:22" ht="15" thickBot="1" x14ac:dyDescent="0.35">
      <c r="B57" s="41"/>
      <c r="C57" s="35"/>
      <c r="D57" s="121"/>
      <c r="E57" s="121"/>
      <c r="F57" s="121"/>
      <c r="G57" s="121"/>
      <c r="H57" s="121"/>
      <c r="I57" s="121"/>
      <c r="J57" s="121"/>
      <c r="K57" s="123"/>
    </row>
    <row r="58" spans="2:22" ht="15.6" thickTop="1" thickBot="1" x14ac:dyDescent="0.35">
      <c r="B58" s="117">
        <v>8</v>
      </c>
      <c r="C58" s="118"/>
      <c r="D58" s="120">
        <f t="shared" ref="D58" si="24">$D$36</f>
        <v>13.596946499530036</v>
      </c>
      <c r="E58" s="120"/>
      <c r="F58" s="120">
        <f t="shared" ref="F58" si="25">($G$19/12)*J56</f>
        <v>0</v>
      </c>
      <c r="G58" s="120"/>
      <c r="H58" s="120">
        <f t="shared" ref="H58" si="26">D58-F58</f>
        <v>13.596946499530036</v>
      </c>
      <c r="I58" s="120"/>
      <c r="J58" s="120">
        <f t="shared" ref="J58" si="27">J56-H58</f>
        <v>-108.77557199624029</v>
      </c>
      <c r="K58" s="122"/>
      <c r="N58" s="4" t="s">
        <v>122</v>
      </c>
      <c r="O58" s="5"/>
      <c r="P58" s="5"/>
      <c r="Q58" s="6"/>
      <c r="S58" s="4" t="s">
        <v>123</v>
      </c>
      <c r="T58" s="5"/>
      <c r="U58" s="5"/>
      <c r="V58" s="6"/>
    </row>
    <row r="59" spans="2:22" ht="15" thickBot="1" x14ac:dyDescent="0.35">
      <c r="B59" s="41"/>
      <c r="C59" s="35"/>
      <c r="D59" s="121"/>
      <c r="E59" s="121"/>
      <c r="F59" s="121"/>
      <c r="G59" s="121"/>
      <c r="H59" s="121"/>
      <c r="I59" s="121"/>
      <c r="J59" s="121"/>
      <c r="K59" s="123"/>
      <c r="N59" s="7"/>
      <c r="O59" s="8"/>
      <c r="P59" s="8"/>
      <c r="Q59" s="9"/>
      <c r="S59" s="7"/>
      <c r="T59" s="8"/>
      <c r="U59" s="8"/>
      <c r="V59" s="9"/>
    </row>
    <row r="60" spans="2:22" ht="15.6" thickTop="1" thickBot="1" x14ac:dyDescent="0.35">
      <c r="B60" s="117">
        <v>9</v>
      </c>
      <c r="C60" s="118"/>
      <c r="D60" s="120">
        <f t="shared" ref="D60" si="28">$D$36</f>
        <v>13.596946499530036</v>
      </c>
      <c r="E60" s="120"/>
      <c r="F60" s="120">
        <f t="shared" ref="F60" si="29">($G$19/12)*J58</f>
        <v>0</v>
      </c>
      <c r="G60" s="120"/>
      <c r="H60" s="120">
        <f t="shared" ref="H60" si="30">D60-F60</f>
        <v>13.596946499530036</v>
      </c>
      <c r="I60" s="120"/>
      <c r="J60" s="120">
        <f t="shared" ref="J60" si="31">J58-H60</f>
        <v>-122.37251849577032</v>
      </c>
      <c r="K60" s="122"/>
      <c r="N60" s="137" t="s">
        <v>93</v>
      </c>
      <c r="O60" s="138"/>
      <c r="P60" s="156">
        <f>P54</f>
        <v>3.3000000000003402E-2</v>
      </c>
      <c r="Q60" s="157"/>
      <c r="S60" s="125" t="s">
        <v>124</v>
      </c>
      <c r="T60" s="126"/>
      <c r="U60" s="126"/>
      <c r="V60" s="175"/>
    </row>
    <row r="61" spans="2:22" ht="15" thickBot="1" x14ac:dyDescent="0.35">
      <c r="B61" s="41"/>
      <c r="C61" s="35"/>
      <c r="D61" s="121"/>
      <c r="E61" s="121"/>
      <c r="F61" s="121"/>
      <c r="G61" s="121"/>
      <c r="H61" s="121"/>
      <c r="I61" s="121"/>
      <c r="J61" s="121"/>
      <c r="K61" s="123"/>
      <c r="N61" s="46"/>
      <c r="O61" s="47"/>
      <c r="P61" s="158"/>
      <c r="Q61" s="159"/>
      <c r="S61" s="128"/>
      <c r="T61" s="129"/>
      <c r="U61" s="129"/>
      <c r="V61" s="176"/>
    </row>
    <row r="62" spans="2:22" ht="15" thickBot="1" x14ac:dyDescent="0.35">
      <c r="B62" s="117">
        <v>10</v>
      </c>
      <c r="C62" s="118"/>
      <c r="D62" s="120">
        <f t="shared" ref="D62" si="32">$D$36</f>
        <v>13.596946499530036</v>
      </c>
      <c r="E62" s="120"/>
      <c r="F62" s="120">
        <f t="shared" ref="F62" si="33">($G$19/12)*J60</f>
        <v>0</v>
      </c>
      <c r="G62" s="120"/>
      <c r="H62" s="120">
        <f t="shared" ref="H62" si="34">D62-F62</f>
        <v>13.596946499530036</v>
      </c>
      <c r="I62" s="120"/>
      <c r="J62" s="120">
        <f t="shared" ref="J62" si="35">J60-H62</f>
        <v>-135.96946499530037</v>
      </c>
      <c r="K62" s="122"/>
      <c r="S62" s="137" t="s">
        <v>111</v>
      </c>
      <c r="T62" s="138"/>
      <c r="U62" s="139">
        <f>S26</f>
        <v>2211.499947430033</v>
      </c>
      <c r="V62" s="140"/>
    </row>
    <row r="63" spans="2:22" ht="15" thickBot="1" x14ac:dyDescent="0.35">
      <c r="B63" s="41"/>
      <c r="C63" s="35"/>
      <c r="D63" s="121"/>
      <c r="E63" s="121"/>
      <c r="F63" s="121"/>
      <c r="G63" s="121"/>
      <c r="H63" s="121"/>
      <c r="I63" s="121"/>
      <c r="J63" s="121"/>
      <c r="K63" s="123"/>
      <c r="S63" s="46"/>
      <c r="T63" s="47"/>
      <c r="U63" s="141"/>
      <c r="V63" s="142"/>
    </row>
    <row r="64" spans="2:22" ht="15" customHeight="1" thickBot="1" x14ac:dyDescent="0.35">
      <c r="B64" s="117">
        <v>11</v>
      </c>
      <c r="C64" s="118"/>
      <c r="D64" s="120">
        <f t="shared" ref="D64" si="36">$D$36</f>
        <v>13.596946499530036</v>
      </c>
      <c r="E64" s="120"/>
      <c r="F64" s="120">
        <f t="shared" ref="F64" si="37">($G$19/12)*J62</f>
        <v>0</v>
      </c>
      <c r="G64" s="120"/>
      <c r="H64" s="120">
        <f t="shared" ref="H64" si="38">D64-F64</f>
        <v>13.596946499530036</v>
      </c>
      <c r="I64" s="120"/>
      <c r="J64" s="120">
        <f t="shared" ref="J64" si="39">J62-H64</f>
        <v>-149.56641149483042</v>
      </c>
      <c r="K64" s="122"/>
      <c r="S64" s="137" t="s">
        <v>93</v>
      </c>
      <c r="T64" s="138"/>
      <c r="U64" s="156">
        <f>(RATE(S20,-S29,U62))*12</f>
        <v>3.799999999999995E-2</v>
      </c>
      <c r="V64" s="157"/>
    </row>
    <row r="65" spans="2:22" ht="15" thickBot="1" x14ac:dyDescent="0.35">
      <c r="B65" s="41"/>
      <c r="C65" s="35"/>
      <c r="D65" s="121"/>
      <c r="E65" s="121"/>
      <c r="F65" s="121"/>
      <c r="G65" s="121"/>
      <c r="H65" s="121"/>
      <c r="I65" s="121"/>
      <c r="J65" s="121"/>
      <c r="K65" s="123"/>
      <c r="S65" s="46"/>
      <c r="T65" s="47"/>
      <c r="U65" s="158"/>
      <c r="V65" s="159"/>
    </row>
    <row r="66" spans="2:22" ht="15" customHeight="1" thickBot="1" x14ac:dyDescent="0.35">
      <c r="B66" s="117">
        <v>12</v>
      </c>
      <c r="C66" s="118"/>
      <c r="D66" s="120">
        <f t="shared" ref="D66" si="40">$D$36</f>
        <v>13.596946499530036</v>
      </c>
      <c r="E66" s="120"/>
      <c r="F66" s="120">
        <f t="shared" ref="F66" si="41">($G$19/12)*J64</f>
        <v>0</v>
      </c>
      <c r="G66" s="120"/>
      <c r="H66" s="120">
        <f t="shared" ref="H66" si="42">D66-F66</f>
        <v>13.596946499530036</v>
      </c>
      <c r="I66" s="120"/>
      <c r="J66" s="120">
        <f t="shared" ref="J66" si="43">J64-H66</f>
        <v>-163.16335799436047</v>
      </c>
      <c r="K66" s="122"/>
    </row>
    <row r="67" spans="2:22" ht="15" thickBot="1" x14ac:dyDescent="0.35">
      <c r="B67" s="41"/>
      <c r="C67" s="35"/>
      <c r="D67" s="121"/>
      <c r="E67" s="121"/>
      <c r="F67" s="121"/>
      <c r="G67" s="121"/>
      <c r="H67" s="121"/>
      <c r="I67" s="121"/>
      <c r="J67" s="121"/>
      <c r="K67" s="123"/>
    </row>
    <row r="68" spans="2:22" ht="15" thickBot="1" x14ac:dyDescent="0.35">
      <c r="B68" s="117">
        <v>13</v>
      </c>
      <c r="C68" s="118"/>
      <c r="D68" s="120">
        <f t="shared" ref="D68" si="44">$D$36</f>
        <v>13.596946499530036</v>
      </c>
      <c r="E68" s="120"/>
      <c r="F68" s="120">
        <f t="shared" ref="F68" si="45">($G$19/12)*J66</f>
        <v>0</v>
      </c>
      <c r="G68" s="120"/>
      <c r="H68" s="120">
        <f t="shared" ref="H68" si="46">D68-F68</f>
        <v>13.596946499530036</v>
      </c>
      <c r="I68" s="120"/>
      <c r="J68" s="120">
        <f t="shared" ref="J68" si="47">J66-H68</f>
        <v>-176.76030449389052</v>
      </c>
      <c r="K68" s="122"/>
    </row>
    <row r="69" spans="2:22" ht="15.6" thickTop="1" thickBot="1" x14ac:dyDescent="0.35">
      <c r="B69" s="41"/>
      <c r="C69" s="35"/>
      <c r="D69" s="121"/>
      <c r="E69" s="121"/>
      <c r="F69" s="121"/>
      <c r="G69" s="121"/>
      <c r="H69" s="121"/>
      <c r="I69" s="121"/>
      <c r="J69" s="121"/>
      <c r="K69" s="123"/>
      <c r="N69" s="4" t="s">
        <v>122</v>
      </c>
      <c r="O69" s="5"/>
      <c r="P69" s="5"/>
      <c r="Q69" s="6"/>
      <c r="S69" s="4" t="s">
        <v>123</v>
      </c>
      <c r="T69" s="5"/>
      <c r="U69" s="5"/>
      <c r="V69" s="6"/>
    </row>
    <row r="70" spans="2:22" ht="15" thickBot="1" x14ac:dyDescent="0.35">
      <c r="B70" s="117">
        <v>14</v>
      </c>
      <c r="C70" s="118"/>
      <c r="D70" s="120">
        <f t="shared" ref="D70" si="48">$D$36</f>
        <v>13.596946499530036</v>
      </c>
      <c r="E70" s="120"/>
      <c r="F70" s="120">
        <f t="shared" ref="F70" si="49">($G$19/12)*J68</f>
        <v>0</v>
      </c>
      <c r="G70" s="120"/>
      <c r="H70" s="120">
        <f t="shared" ref="H70" si="50">D70-F70</f>
        <v>13.596946499530036</v>
      </c>
      <c r="I70" s="120"/>
      <c r="J70" s="120">
        <f t="shared" ref="J70" si="51">J68-H70</f>
        <v>-190.35725099342056</v>
      </c>
      <c r="K70" s="122"/>
      <c r="N70" s="7"/>
      <c r="O70" s="8"/>
      <c r="P70" s="8"/>
      <c r="Q70" s="9"/>
      <c r="S70" s="7"/>
      <c r="T70" s="8"/>
      <c r="U70" s="8"/>
      <c r="V70" s="9"/>
    </row>
    <row r="71" spans="2:22" ht="15.6" thickTop="1" thickBot="1" x14ac:dyDescent="0.35">
      <c r="B71" s="41"/>
      <c r="C71" s="35"/>
      <c r="D71" s="121"/>
      <c r="E71" s="121"/>
      <c r="F71" s="121"/>
      <c r="G71" s="121"/>
      <c r="H71" s="121"/>
      <c r="I71" s="121"/>
      <c r="J71" s="121"/>
      <c r="K71" s="123"/>
      <c r="N71" s="4" t="s">
        <v>97</v>
      </c>
      <c r="O71" s="5"/>
      <c r="P71" s="5"/>
      <c r="Q71" s="6"/>
      <c r="S71" s="4" t="s">
        <v>97</v>
      </c>
      <c r="T71" s="5"/>
      <c r="U71" s="5"/>
      <c r="V71" s="6"/>
    </row>
    <row r="72" spans="2:22" ht="15" thickBot="1" x14ac:dyDescent="0.35">
      <c r="B72" s="117">
        <v>15</v>
      </c>
      <c r="C72" s="118"/>
      <c r="D72" s="120">
        <f t="shared" ref="D72" si="52">$D$36</f>
        <v>13.596946499530036</v>
      </c>
      <c r="E72" s="120"/>
      <c r="F72" s="120">
        <f t="shared" ref="F72" si="53">($G$19/12)*J70</f>
        <v>0</v>
      </c>
      <c r="G72" s="120"/>
      <c r="H72" s="120">
        <f t="shared" ref="H72" si="54">D72-F72</f>
        <v>13.596946499530036</v>
      </c>
      <c r="I72" s="120"/>
      <c r="J72" s="120">
        <f t="shared" ref="J72" si="55">J70-H72</f>
        <v>-203.95419749295061</v>
      </c>
      <c r="K72" s="122"/>
      <c r="N72" s="7"/>
      <c r="O72" s="8"/>
      <c r="P72" s="8"/>
      <c r="Q72" s="9"/>
      <c r="S72" s="7"/>
      <c r="T72" s="8"/>
      <c r="U72" s="8"/>
      <c r="V72" s="9"/>
    </row>
    <row r="73" spans="2:22" ht="15.6" thickTop="1" thickBot="1" x14ac:dyDescent="0.35">
      <c r="B73" s="41"/>
      <c r="C73" s="35"/>
      <c r="D73" s="121"/>
      <c r="E73" s="121"/>
      <c r="F73" s="121"/>
      <c r="G73" s="121"/>
      <c r="H73" s="121"/>
      <c r="I73" s="121"/>
      <c r="J73" s="121"/>
      <c r="K73" s="123"/>
      <c r="N73" s="30" t="s">
        <v>94</v>
      </c>
      <c r="O73" s="31"/>
      <c r="P73" s="145">
        <f>(D36*24)+(N30*N22)</f>
        <v>4628.7915417409649</v>
      </c>
      <c r="Q73" s="146"/>
      <c r="S73" s="30" t="s">
        <v>94</v>
      </c>
      <c r="T73" s="31"/>
      <c r="U73" s="145">
        <f>(D36*24)+(N30*96)+(S29*S20)</f>
        <v>4727.5748783668969</v>
      </c>
      <c r="V73" s="146"/>
    </row>
    <row r="74" spans="2:22" ht="15" thickBot="1" x14ac:dyDescent="0.35">
      <c r="B74" s="117">
        <v>16</v>
      </c>
      <c r="C74" s="118"/>
      <c r="D74" s="120">
        <f t="shared" ref="D74" si="56">$D$36</f>
        <v>13.596946499530036</v>
      </c>
      <c r="E74" s="120"/>
      <c r="F74" s="120">
        <f t="shared" ref="F74" si="57">($G$19/12)*J72</f>
        <v>0</v>
      </c>
      <c r="G74" s="120"/>
      <c r="H74" s="120">
        <f t="shared" ref="H74" si="58">D74-F74</f>
        <v>13.596946499530036</v>
      </c>
      <c r="I74" s="120"/>
      <c r="J74" s="120">
        <f t="shared" ref="J74" si="59">J72-H74</f>
        <v>-217.55114399248066</v>
      </c>
      <c r="K74" s="122"/>
      <c r="N74" s="46"/>
      <c r="O74" s="47"/>
      <c r="P74" s="141"/>
      <c r="Q74" s="142"/>
      <c r="S74" s="46"/>
      <c r="T74" s="47"/>
      <c r="U74" s="141"/>
      <c r="V74" s="142"/>
    </row>
    <row r="75" spans="2:22" ht="15.6" thickTop="1" thickBot="1" x14ac:dyDescent="0.35">
      <c r="B75" s="41"/>
      <c r="C75" s="35"/>
      <c r="D75" s="121"/>
      <c r="E75" s="121"/>
      <c r="F75" s="121"/>
      <c r="G75" s="121"/>
      <c r="H75" s="121"/>
      <c r="I75" s="121"/>
      <c r="J75" s="121"/>
      <c r="K75" s="123"/>
      <c r="N75" s="30" t="s">
        <v>95</v>
      </c>
      <c r="O75" s="31"/>
      <c r="P75" s="145">
        <f>P73-D20</f>
        <v>1528.7915417409649</v>
      </c>
      <c r="Q75" s="146"/>
      <c r="S75" s="30" t="s">
        <v>95</v>
      </c>
      <c r="T75" s="31"/>
      <c r="U75" s="145">
        <f>U73-D20</f>
        <v>1627.5748783668969</v>
      </c>
      <c r="V75" s="146"/>
    </row>
    <row r="76" spans="2:22" ht="15" thickBot="1" x14ac:dyDescent="0.35">
      <c r="B76" s="117">
        <v>17</v>
      </c>
      <c r="C76" s="118"/>
      <c r="D76" s="120">
        <f t="shared" ref="D76" si="60">$D$36</f>
        <v>13.596946499530036</v>
      </c>
      <c r="E76" s="120"/>
      <c r="F76" s="120">
        <f t="shared" ref="F76" si="61">($G$19/12)*J74</f>
        <v>0</v>
      </c>
      <c r="G76" s="120"/>
      <c r="H76" s="120">
        <f t="shared" ref="H76" si="62">D76-F76</f>
        <v>13.596946499530036</v>
      </c>
      <c r="I76" s="120"/>
      <c r="J76" s="120">
        <f t="shared" ref="J76" si="63">J74-H76</f>
        <v>-231.14809049201071</v>
      </c>
      <c r="K76" s="122"/>
      <c r="N76" s="46"/>
      <c r="O76" s="47"/>
      <c r="P76" s="141"/>
      <c r="Q76" s="142"/>
      <c r="S76" s="46"/>
      <c r="T76" s="47"/>
      <c r="U76" s="141"/>
      <c r="V76" s="142"/>
    </row>
    <row r="77" spans="2:22" ht="15" thickBot="1" x14ac:dyDescent="0.35">
      <c r="B77" s="41"/>
      <c r="C77" s="35"/>
      <c r="D77" s="121"/>
      <c r="E77" s="121"/>
      <c r="F77" s="121"/>
      <c r="G77" s="121"/>
      <c r="H77" s="121"/>
      <c r="I77" s="121"/>
      <c r="J77" s="121"/>
      <c r="K77" s="123"/>
    </row>
    <row r="78" spans="2:22" ht="15.6" thickTop="1" thickBot="1" x14ac:dyDescent="0.35">
      <c r="B78" s="117">
        <v>18</v>
      </c>
      <c r="C78" s="118"/>
      <c r="D78" s="120">
        <f t="shared" ref="D78" si="64">$D$36</f>
        <v>13.596946499530036</v>
      </c>
      <c r="E78" s="120"/>
      <c r="F78" s="120">
        <f t="shared" ref="F78" si="65">($G$19/12)*J76</f>
        <v>0</v>
      </c>
      <c r="G78" s="120"/>
      <c r="H78" s="120">
        <f t="shared" ref="H78" si="66">D78-F78</f>
        <v>13.596946499530036</v>
      </c>
      <c r="I78" s="120"/>
      <c r="J78" s="120">
        <f t="shared" ref="J78" si="67">J76-H78</f>
        <v>-244.74503699154076</v>
      </c>
      <c r="K78" s="122"/>
      <c r="P78" s="4" t="s">
        <v>98</v>
      </c>
      <c r="Q78" s="5"/>
      <c r="R78" s="5"/>
      <c r="S78" s="5"/>
      <c r="T78" s="6"/>
    </row>
    <row r="79" spans="2:22" ht="15" thickBot="1" x14ac:dyDescent="0.35">
      <c r="B79" s="41"/>
      <c r="C79" s="35"/>
      <c r="D79" s="121"/>
      <c r="E79" s="121"/>
      <c r="F79" s="121"/>
      <c r="G79" s="121"/>
      <c r="H79" s="121"/>
      <c r="I79" s="121"/>
      <c r="J79" s="121"/>
      <c r="K79" s="123"/>
      <c r="P79" s="7"/>
      <c r="Q79" s="8"/>
      <c r="R79" s="8"/>
      <c r="S79" s="8"/>
      <c r="T79" s="9"/>
    </row>
    <row r="80" spans="2:22" ht="15" customHeight="1" thickTop="1" thickBot="1" x14ac:dyDescent="0.35">
      <c r="B80" s="117">
        <v>19</v>
      </c>
      <c r="C80" s="118"/>
      <c r="D80" s="120">
        <f t="shared" ref="D80" si="68">$D$36</f>
        <v>13.596946499530036</v>
      </c>
      <c r="E80" s="120"/>
      <c r="F80" s="120">
        <f t="shared" ref="F80" si="69">($G$19/12)*J78</f>
        <v>0</v>
      </c>
      <c r="G80" s="120"/>
      <c r="H80" s="120">
        <f t="shared" ref="H80" si="70">D80-F80</f>
        <v>13.596946499530036</v>
      </c>
      <c r="I80" s="120"/>
      <c r="J80" s="120">
        <f t="shared" ref="J80" si="71">J78-H80</f>
        <v>-258.34198349107078</v>
      </c>
      <c r="K80" s="122"/>
      <c r="P80" s="147" t="s">
        <v>125</v>
      </c>
      <c r="Q80" s="148"/>
      <c r="R80" s="148"/>
      <c r="S80" s="148"/>
      <c r="T80" s="149"/>
    </row>
    <row r="81" spans="2:27" ht="15" thickBot="1" x14ac:dyDescent="0.35">
      <c r="B81" s="41"/>
      <c r="C81" s="35"/>
      <c r="D81" s="121"/>
      <c r="E81" s="121"/>
      <c r="F81" s="121"/>
      <c r="G81" s="121"/>
      <c r="H81" s="121"/>
      <c r="I81" s="121"/>
      <c r="J81" s="121"/>
      <c r="K81" s="123"/>
      <c r="P81" s="150"/>
      <c r="Q81" s="151"/>
      <c r="R81" s="151"/>
      <c r="S81" s="151"/>
      <c r="T81" s="152"/>
    </row>
    <row r="82" spans="2:27" ht="15" thickBot="1" x14ac:dyDescent="0.35">
      <c r="B82" s="117">
        <v>20</v>
      </c>
      <c r="C82" s="118"/>
      <c r="D82" s="120">
        <f t="shared" ref="D82" si="72">$D$36</f>
        <v>13.596946499530036</v>
      </c>
      <c r="E82" s="120"/>
      <c r="F82" s="120">
        <f t="shared" ref="F82" si="73">($G$19/12)*J80</f>
        <v>0</v>
      </c>
      <c r="G82" s="120"/>
      <c r="H82" s="120">
        <f t="shared" ref="H82" si="74">D82-F82</f>
        <v>13.596946499530036</v>
      </c>
      <c r="I82" s="120"/>
      <c r="J82" s="120">
        <f t="shared" ref="J82" si="75">J80-H82</f>
        <v>-271.9389299906008</v>
      </c>
      <c r="K82" s="122"/>
      <c r="P82" s="150"/>
      <c r="Q82" s="151"/>
      <c r="R82" s="151"/>
      <c r="S82" s="151"/>
      <c r="T82" s="152"/>
    </row>
    <row r="83" spans="2:27" ht="15" thickBot="1" x14ac:dyDescent="0.35">
      <c r="B83" s="41"/>
      <c r="C83" s="35"/>
      <c r="D83" s="121"/>
      <c r="E83" s="121"/>
      <c r="F83" s="121"/>
      <c r="G83" s="121"/>
      <c r="H83" s="121"/>
      <c r="I83" s="121"/>
      <c r="J83" s="121"/>
      <c r="K83" s="123"/>
      <c r="P83" s="153"/>
      <c r="Q83" s="154"/>
      <c r="R83" s="154"/>
      <c r="S83" s="154"/>
      <c r="T83" s="155"/>
    </row>
    <row r="84" spans="2:27" ht="15" thickBot="1" x14ac:dyDescent="0.35">
      <c r="B84" s="117">
        <v>21</v>
      </c>
      <c r="C84" s="118"/>
      <c r="D84" s="120">
        <f t="shared" ref="D84" si="76">$D$36</f>
        <v>13.596946499530036</v>
      </c>
      <c r="E84" s="120"/>
      <c r="F84" s="120">
        <f t="shared" ref="F84" si="77">($G$19/12)*J82</f>
        <v>0</v>
      </c>
      <c r="G84" s="120"/>
      <c r="H84" s="120">
        <f t="shared" ref="H84" si="78">D84-F84</f>
        <v>13.596946499530036</v>
      </c>
      <c r="I84" s="120"/>
      <c r="J84" s="120">
        <f t="shared" ref="J84" si="79">J82-H84</f>
        <v>-285.53587649013082</v>
      </c>
      <c r="K84" s="122"/>
    </row>
    <row r="85" spans="2:27" ht="15" thickBot="1" x14ac:dyDescent="0.35">
      <c r="B85" s="41"/>
      <c r="C85" s="35"/>
      <c r="D85" s="121"/>
      <c r="E85" s="121"/>
      <c r="F85" s="121"/>
      <c r="G85" s="121"/>
      <c r="H85" s="121"/>
      <c r="I85" s="121"/>
      <c r="J85" s="121"/>
      <c r="K85" s="123"/>
    </row>
    <row r="86" spans="2:27" ht="15.6" thickTop="1" thickBot="1" x14ac:dyDescent="0.35">
      <c r="B86" s="117">
        <v>22</v>
      </c>
      <c r="C86" s="118"/>
      <c r="D86" s="120">
        <f t="shared" ref="D86" si="80">$D$36</f>
        <v>13.596946499530036</v>
      </c>
      <c r="E86" s="120"/>
      <c r="F86" s="120">
        <f t="shared" ref="F86" si="81">($G$19/12)*J84</f>
        <v>0</v>
      </c>
      <c r="G86" s="120"/>
      <c r="H86" s="120">
        <f t="shared" ref="H86" si="82">D86-F86</f>
        <v>13.596946499530036</v>
      </c>
      <c r="I86" s="120"/>
      <c r="J86" s="120">
        <f t="shared" ref="J86" si="83">J84-H86</f>
        <v>-299.13282298966084</v>
      </c>
      <c r="K86" s="122"/>
      <c r="N86" s="4" t="s">
        <v>128</v>
      </c>
      <c r="O86" s="5"/>
      <c r="P86" s="5"/>
      <c r="Q86" s="5"/>
      <c r="R86" s="5"/>
      <c r="S86" s="5"/>
      <c r="T86" s="5"/>
      <c r="U86" s="5"/>
      <c r="V86" s="5"/>
      <c r="W86" s="5"/>
      <c r="X86" s="5"/>
      <c r="Y86" s="5"/>
      <c r="Z86" s="5"/>
      <c r="AA86" s="6"/>
    </row>
    <row r="87" spans="2:27" ht="15.6" customHeight="1" thickBot="1" x14ac:dyDescent="0.35">
      <c r="B87" s="41"/>
      <c r="C87" s="35"/>
      <c r="D87" s="121"/>
      <c r="E87" s="121"/>
      <c r="F87" s="121"/>
      <c r="G87" s="121"/>
      <c r="H87" s="121"/>
      <c r="I87" s="121"/>
      <c r="J87" s="121"/>
      <c r="K87" s="123"/>
      <c r="N87" s="7"/>
      <c r="O87" s="8"/>
      <c r="P87" s="8"/>
      <c r="Q87" s="8"/>
      <c r="R87" s="8"/>
      <c r="S87" s="8"/>
      <c r="T87" s="8"/>
      <c r="U87" s="8"/>
      <c r="V87" s="8"/>
      <c r="W87" s="8"/>
      <c r="X87" s="8"/>
      <c r="Y87" s="8"/>
      <c r="Z87" s="8"/>
      <c r="AA87" s="9"/>
    </row>
    <row r="88" spans="2:27" ht="15.6" customHeight="1" thickTop="1" thickBot="1" x14ac:dyDescent="0.35">
      <c r="B88" s="117">
        <v>23</v>
      </c>
      <c r="C88" s="118"/>
      <c r="D88" s="120">
        <f t="shared" ref="D88" si="84">$D$36</f>
        <v>13.596946499530036</v>
      </c>
      <c r="E88" s="120"/>
      <c r="F88" s="120">
        <f t="shared" ref="F88" si="85">($G$19/12)*J86</f>
        <v>0</v>
      </c>
      <c r="G88" s="120"/>
      <c r="H88" s="120">
        <f t="shared" ref="H88" si="86">D88-F88</f>
        <v>13.596946499530036</v>
      </c>
      <c r="I88" s="120"/>
      <c r="J88" s="120">
        <f t="shared" ref="J88" si="87">J86-H88</f>
        <v>-312.72976948919086</v>
      </c>
      <c r="K88" s="122"/>
      <c r="N88" s="30" t="s">
        <v>134</v>
      </c>
      <c r="O88" s="31"/>
      <c r="P88" s="31"/>
      <c r="Q88" s="31"/>
      <c r="R88" s="131" t="s">
        <v>140</v>
      </c>
      <c r="S88" s="131"/>
      <c r="T88" s="131"/>
      <c r="U88" s="131"/>
      <c r="V88" s="131"/>
      <c r="W88" s="131"/>
      <c r="X88" s="131"/>
      <c r="Y88" s="131"/>
      <c r="Z88" s="131"/>
      <c r="AA88" s="132"/>
    </row>
    <row r="89" spans="2:27" ht="15.6" customHeight="1" thickBot="1" x14ac:dyDescent="0.35">
      <c r="B89" s="41"/>
      <c r="C89" s="35"/>
      <c r="D89" s="121"/>
      <c r="E89" s="121"/>
      <c r="F89" s="121"/>
      <c r="G89" s="121"/>
      <c r="H89" s="121"/>
      <c r="I89" s="121"/>
      <c r="J89" s="121"/>
      <c r="K89" s="123"/>
      <c r="N89" s="32"/>
      <c r="O89" s="33"/>
      <c r="P89" s="33"/>
      <c r="Q89" s="33"/>
      <c r="R89" s="133"/>
      <c r="S89" s="133"/>
      <c r="T89" s="133"/>
      <c r="U89" s="133"/>
      <c r="V89" s="133"/>
      <c r="W89" s="133"/>
      <c r="X89" s="133"/>
      <c r="Y89" s="133"/>
      <c r="Z89" s="133"/>
      <c r="AA89" s="134"/>
    </row>
    <row r="90" spans="2:27" ht="15" thickBot="1" x14ac:dyDescent="0.35">
      <c r="B90" s="117">
        <v>24</v>
      </c>
      <c r="C90" s="118"/>
      <c r="D90" s="120">
        <f t="shared" ref="D90" si="88">$D$36</f>
        <v>13.596946499530036</v>
      </c>
      <c r="E90" s="120"/>
      <c r="F90" s="120">
        <f t="shared" ref="F90" si="89">($G$19/12)*J88</f>
        <v>0</v>
      </c>
      <c r="G90" s="120"/>
      <c r="H90" s="120">
        <f t="shared" ref="H90" si="90">D90-F90</f>
        <v>13.596946499530036</v>
      </c>
      <c r="I90" s="120"/>
      <c r="J90" s="120">
        <f t="shared" ref="J90" si="91">J88-H90</f>
        <v>-326.32671598872088</v>
      </c>
      <c r="K90" s="122"/>
      <c r="N90" s="32"/>
      <c r="O90" s="33"/>
      <c r="P90" s="33"/>
      <c r="Q90" s="33"/>
      <c r="R90" s="133"/>
      <c r="S90" s="133"/>
      <c r="T90" s="133"/>
      <c r="U90" s="133"/>
      <c r="V90" s="133"/>
      <c r="W90" s="133"/>
      <c r="X90" s="133"/>
      <c r="Y90" s="133"/>
      <c r="Z90" s="133"/>
      <c r="AA90" s="134"/>
    </row>
    <row r="91" spans="2:27" ht="15" customHeight="1" thickBot="1" x14ac:dyDescent="0.35">
      <c r="B91" s="164"/>
      <c r="C91" s="165"/>
      <c r="D91" s="121"/>
      <c r="E91" s="121"/>
      <c r="F91" s="166"/>
      <c r="G91" s="166"/>
      <c r="H91" s="166"/>
      <c r="I91" s="166"/>
      <c r="J91" s="166"/>
      <c r="K91" s="167"/>
      <c r="N91" s="32" t="s">
        <v>131</v>
      </c>
      <c r="O91" s="33"/>
      <c r="P91" s="33"/>
      <c r="Q91" s="33"/>
      <c r="R91" s="133" t="s">
        <v>138</v>
      </c>
      <c r="S91" s="133"/>
      <c r="T91" s="133"/>
      <c r="U91" s="133"/>
      <c r="V91" s="133"/>
      <c r="W91" s="133"/>
      <c r="X91" s="133"/>
      <c r="Y91" s="133"/>
      <c r="Z91" s="133"/>
      <c r="AA91" s="134"/>
    </row>
    <row r="92" spans="2:27" ht="15.6" thickTop="1" thickBot="1" x14ac:dyDescent="0.35">
      <c r="B92" s="4" t="s">
        <v>106</v>
      </c>
      <c r="C92" s="5"/>
      <c r="D92" s="5"/>
      <c r="E92" s="5"/>
      <c r="F92" s="5"/>
      <c r="G92" s="5"/>
      <c r="H92" s="5"/>
      <c r="I92" s="5"/>
      <c r="J92" s="5"/>
      <c r="K92" s="6"/>
      <c r="N92" s="32"/>
      <c r="O92" s="33"/>
      <c r="P92" s="33"/>
      <c r="Q92" s="33"/>
      <c r="R92" s="133"/>
      <c r="S92" s="133"/>
      <c r="T92" s="133"/>
      <c r="U92" s="133"/>
      <c r="V92" s="133"/>
      <c r="W92" s="133"/>
      <c r="X92" s="133"/>
      <c r="Y92" s="133"/>
      <c r="Z92" s="133"/>
      <c r="AA92" s="134"/>
    </row>
    <row r="93" spans="2:27" ht="15" thickBot="1" x14ac:dyDescent="0.35">
      <c r="B93" s="7"/>
      <c r="C93" s="8"/>
      <c r="D93" s="8"/>
      <c r="E93" s="8"/>
      <c r="F93" s="8"/>
      <c r="G93" s="8"/>
      <c r="H93" s="8"/>
      <c r="I93" s="8"/>
      <c r="J93" s="8"/>
      <c r="K93" s="9"/>
      <c r="N93" s="32" t="s">
        <v>136</v>
      </c>
      <c r="O93" s="33"/>
      <c r="P93" s="33"/>
      <c r="Q93" s="33"/>
      <c r="R93" s="133" t="s">
        <v>137</v>
      </c>
      <c r="S93" s="133"/>
      <c r="T93" s="133"/>
      <c r="U93" s="133"/>
      <c r="V93" s="133"/>
      <c r="W93" s="133"/>
      <c r="X93" s="133"/>
      <c r="Y93" s="133"/>
      <c r="Z93" s="133"/>
      <c r="AA93" s="134"/>
    </row>
    <row r="94" spans="2:27" ht="15.6" thickTop="1" thickBot="1" x14ac:dyDescent="0.35">
      <c r="B94" s="117">
        <v>25</v>
      </c>
      <c r="C94" s="118"/>
      <c r="D94" s="120">
        <f>$N$30</f>
        <v>15.588640673015377</v>
      </c>
      <c r="E94" s="120"/>
      <c r="F94" s="120">
        <f>($N$18/12)*N27</f>
        <v>8.283456895509719</v>
      </c>
      <c r="G94" s="120"/>
      <c r="H94" s="120">
        <f t="shared" ref="H94" si="92">D94-F94</f>
        <v>7.3051837775056576</v>
      </c>
      <c r="I94" s="120"/>
      <c r="J94" s="120">
        <f>N27-H94</f>
        <v>3004.8609600442101</v>
      </c>
      <c r="K94" s="122"/>
      <c r="N94" s="46"/>
      <c r="O94" s="47"/>
      <c r="P94" s="47"/>
      <c r="Q94" s="47"/>
      <c r="R94" s="135"/>
      <c r="S94" s="135"/>
      <c r="T94" s="135"/>
      <c r="U94" s="135"/>
      <c r="V94" s="135"/>
      <c r="W94" s="135"/>
      <c r="X94" s="135"/>
      <c r="Y94" s="135"/>
      <c r="Z94" s="135"/>
      <c r="AA94" s="136"/>
    </row>
    <row r="95" spans="2:27" ht="15" thickBot="1" x14ac:dyDescent="0.35">
      <c r="B95" s="41"/>
      <c r="C95" s="35"/>
      <c r="D95" s="121"/>
      <c r="E95" s="121"/>
      <c r="F95" s="121"/>
      <c r="G95" s="121"/>
      <c r="H95" s="121"/>
      <c r="I95" s="121"/>
      <c r="J95" s="121"/>
      <c r="K95" s="123"/>
    </row>
    <row r="96" spans="2:27" ht="15" thickBot="1" x14ac:dyDescent="0.35">
      <c r="B96" s="117">
        <v>26</v>
      </c>
      <c r="C96" s="118"/>
      <c r="D96" s="120">
        <f t="shared" ref="D96" si="93">$N$30</f>
        <v>15.588640673015377</v>
      </c>
      <c r="E96" s="120"/>
      <c r="F96" s="120">
        <f>($N$18/12)*J94</f>
        <v>8.2633676401215777</v>
      </c>
      <c r="G96" s="120"/>
      <c r="H96" s="120">
        <f t="shared" ref="H96" si="94">D96-F96</f>
        <v>7.3252730328937989</v>
      </c>
      <c r="I96" s="120"/>
      <c r="J96" s="160">
        <f t="shared" ref="J96" si="95">J94-H96</f>
        <v>2997.5356870113164</v>
      </c>
      <c r="K96" s="161"/>
    </row>
    <row r="97" spans="2:11" ht="15" thickBot="1" x14ac:dyDescent="0.35">
      <c r="B97" s="41"/>
      <c r="C97" s="35"/>
      <c r="D97" s="121"/>
      <c r="E97" s="121"/>
      <c r="F97" s="121"/>
      <c r="G97" s="121"/>
      <c r="H97" s="121"/>
      <c r="I97" s="121"/>
      <c r="J97" s="162"/>
      <c r="K97" s="163"/>
    </row>
    <row r="98" spans="2:11" ht="15" thickBot="1" x14ac:dyDescent="0.35">
      <c r="B98" s="117">
        <v>27</v>
      </c>
      <c r="C98" s="118"/>
      <c r="D98" s="120">
        <f t="shared" ref="D98" si="96">$N$30</f>
        <v>15.588640673015377</v>
      </c>
      <c r="E98" s="120"/>
      <c r="F98" s="120">
        <f t="shared" ref="F98" si="97">($N$18/12)*J96</f>
        <v>8.2432231392811204</v>
      </c>
      <c r="G98" s="120"/>
      <c r="H98" s="120">
        <f t="shared" ref="H98" si="98">D98-F98</f>
        <v>7.3454175337342562</v>
      </c>
      <c r="I98" s="120"/>
      <c r="J98" s="160">
        <f t="shared" ref="J98" si="99">J96-H98</f>
        <v>2990.1902694775822</v>
      </c>
      <c r="K98" s="161"/>
    </row>
    <row r="99" spans="2:11" ht="15" thickBot="1" x14ac:dyDescent="0.35">
      <c r="B99" s="41"/>
      <c r="C99" s="35"/>
      <c r="D99" s="121"/>
      <c r="E99" s="121"/>
      <c r="F99" s="121"/>
      <c r="G99" s="121"/>
      <c r="H99" s="121"/>
      <c r="I99" s="121"/>
      <c r="J99" s="162"/>
      <c r="K99" s="163"/>
    </row>
    <row r="100" spans="2:11" ht="15" thickBot="1" x14ac:dyDescent="0.35">
      <c r="B100" s="117">
        <v>28</v>
      </c>
      <c r="C100" s="118"/>
      <c r="D100" s="120">
        <f t="shared" ref="D100" si="100">$N$30</f>
        <v>15.588640673015377</v>
      </c>
      <c r="E100" s="120"/>
      <c r="F100" s="120">
        <f t="shared" ref="F100" si="101">($N$18/12)*J98</f>
        <v>8.2230232410633519</v>
      </c>
      <c r="G100" s="120"/>
      <c r="H100" s="120">
        <f t="shared" ref="H100" si="102">D100-F100</f>
        <v>7.3656174319520247</v>
      </c>
      <c r="I100" s="120"/>
      <c r="J100" s="160">
        <f t="shared" ref="J100" si="103">J98-H100</f>
        <v>2982.82465204563</v>
      </c>
      <c r="K100" s="161"/>
    </row>
    <row r="101" spans="2:11" ht="15" thickBot="1" x14ac:dyDescent="0.35">
      <c r="B101" s="41"/>
      <c r="C101" s="35"/>
      <c r="D101" s="121"/>
      <c r="E101" s="121"/>
      <c r="F101" s="121"/>
      <c r="G101" s="121"/>
      <c r="H101" s="121"/>
      <c r="I101" s="121"/>
      <c r="J101" s="162"/>
      <c r="K101" s="163"/>
    </row>
    <row r="102" spans="2:11" ht="15" thickBot="1" x14ac:dyDescent="0.35">
      <c r="B102" s="117">
        <v>29</v>
      </c>
      <c r="C102" s="118"/>
      <c r="D102" s="120">
        <f t="shared" ref="D102" si="104">$N$30</f>
        <v>15.588640673015377</v>
      </c>
      <c r="E102" s="120"/>
      <c r="F102" s="120">
        <f t="shared" ref="F102" si="105">($N$18/12)*J100</f>
        <v>8.2027677931254832</v>
      </c>
      <c r="G102" s="120"/>
      <c r="H102" s="120">
        <f t="shared" ref="H102" si="106">D102-F102</f>
        <v>7.3858728798898934</v>
      </c>
      <c r="I102" s="120"/>
      <c r="J102" s="160">
        <f t="shared" ref="J102" si="107">J100-H102</f>
        <v>2975.43877916574</v>
      </c>
      <c r="K102" s="161"/>
    </row>
    <row r="103" spans="2:11" ht="15" thickBot="1" x14ac:dyDescent="0.35">
      <c r="B103" s="41"/>
      <c r="C103" s="35"/>
      <c r="D103" s="121"/>
      <c r="E103" s="121"/>
      <c r="F103" s="121"/>
      <c r="G103" s="121"/>
      <c r="H103" s="121"/>
      <c r="I103" s="121"/>
      <c r="J103" s="162"/>
      <c r="K103" s="163"/>
    </row>
    <row r="104" spans="2:11" ht="15" thickBot="1" x14ac:dyDescent="0.35">
      <c r="B104" s="117">
        <v>30</v>
      </c>
      <c r="C104" s="118"/>
      <c r="D104" s="120">
        <f t="shared" ref="D104" si="108">$N$30</f>
        <v>15.588640673015377</v>
      </c>
      <c r="E104" s="120"/>
      <c r="F104" s="120">
        <f t="shared" ref="F104" si="109">($N$18/12)*J102</f>
        <v>8.1824566427057857</v>
      </c>
      <c r="G104" s="120"/>
      <c r="H104" s="120">
        <f t="shared" ref="H104" si="110">D104-F104</f>
        <v>7.4061840303095909</v>
      </c>
      <c r="I104" s="120"/>
      <c r="J104" s="160">
        <f t="shared" ref="J104" si="111">J102-H104</f>
        <v>2968.0325951354303</v>
      </c>
      <c r="K104" s="161"/>
    </row>
    <row r="105" spans="2:11" ht="15" thickBot="1" x14ac:dyDescent="0.35">
      <c r="B105" s="41"/>
      <c r="C105" s="35"/>
      <c r="D105" s="121"/>
      <c r="E105" s="121"/>
      <c r="F105" s="121"/>
      <c r="G105" s="121"/>
      <c r="H105" s="121"/>
      <c r="I105" s="121"/>
      <c r="J105" s="162"/>
      <c r="K105" s="163"/>
    </row>
    <row r="106" spans="2:11" ht="15" thickBot="1" x14ac:dyDescent="0.35">
      <c r="B106" s="117">
        <v>31</v>
      </c>
      <c r="C106" s="118"/>
      <c r="D106" s="120">
        <f t="shared" ref="D106" si="112">$N$30</f>
        <v>15.588640673015377</v>
      </c>
      <c r="E106" s="120"/>
      <c r="F106" s="120">
        <f t="shared" ref="F106" si="113">($N$18/12)*J104</f>
        <v>8.1620896366224347</v>
      </c>
      <c r="G106" s="120"/>
      <c r="H106" s="120">
        <f t="shared" ref="H106" si="114">D106-F106</f>
        <v>7.4265510363929419</v>
      </c>
      <c r="I106" s="120"/>
      <c r="J106" s="160">
        <f t="shared" ref="J106" si="115">J104-H106</f>
        <v>2960.6060440990373</v>
      </c>
      <c r="K106" s="161"/>
    </row>
    <row r="107" spans="2:11" ht="15" thickBot="1" x14ac:dyDescent="0.35">
      <c r="B107" s="41"/>
      <c r="C107" s="35"/>
      <c r="D107" s="121"/>
      <c r="E107" s="121"/>
      <c r="F107" s="121"/>
      <c r="G107" s="121"/>
      <c r="H107" s="121"/>
      <c r="I107" s="121"/>
      <c r="J107" s="162"/>
      <c r="K107" s="163"/>
    </row>
    <row r="108" spans="2:11" ht="15" thickBot="1" x14ac:dyDescent="0.35">
      <c r="B108" s="117">
        <v>32</v>
      </c>
      <c r="C108" s="118"/>
      <c r="D108" s="120">
        <f t="shared" ref="D108" si="116">$N$30</f>
        <v>15.588640673015377</v>
      </c>
      <c r="E108" s="120"/>
      <c r="F108" s="120">
        <f t="shared" ref="F108" si="117">($N$18/12)*J106</f>
        <v>8.1416666212723534</v>
      </c>
      <c r="G108" s="120"/>
      <c r="H108" s="120">
        <f t="shared" ref="H108" si="118">D108-F108</f>
        <v>7.4469740517430232</v>
      </c>
      <c r="I108" s="120"/>
      <c r="J108" s="160">
        <f t="shared" ref="J108" si="119">J106-H108</f>
        <v>2953.1590700472943</v>
      </c>
      <c r="K108" s="161"/>
    </row>
    <row r="109" spans="2:11" ht="15" thickBot="1" x14ac:dyDescent="0.35">
      <c r="B109" s="41"/>
      <c r="C109" s="35"/>
      <c r="D109" s="121"/>
      <c r="E109" s="121"/>
      <c r="F109" s="121"/>
      <c r="G109" s="121"/>
      <c r="H109" s="121"/>
      <c r="I109" s="121"/>
      <c r="J109" s="162"/>
      <c r="K109" s="163"/>
    </row>
    <row r="110" spans="2:11" ht="15" thickBot="1" x14ac:dyDescent="0.35">
      <c r="B110" s="117">
        <v>33</v>
      </c>
      <c r="C110" s="118"/>
      <c r="D110" s="120">
        <f t="shared" ref="D110" si="120">$N$30</f>
        <v>15.588640673015377</v>
      </c>
      <c r="E110" s="120"/>
      <c r="F110" s="120">
        <f t="shared" ref="F110" si="121">($N$18/12)*J108</f>
        <v>8.1211874426300596</v>
      </c>
      <c r="G110" s="120"/>
      <c r="H110" s="120">
        <f t="shared" ref="H110" si="122">D110-F110</f>
        <v>7.4674532303853169</v>
      </c>
      <c r="I110" s="120"/>
      <c r="J110" s="160">
        <f t="shared" ref="J110" si="123">J108-H110</f>
        <v>2945.6916168169091</v>
      </c>
      <c r="K110" s="161"/>
    </row>
    <row r="111" spans="2:11" ht="15" thickBot="1" x14ac:dyDescent="0.35">
      <c r="B111" s="41"/>
      <c r="C111" s="35"/>
      <c r="D111" s="121"/>
      <c r="E111" s="121"/>
      <c r="F111" s="121"/>
      <c r="G111" s="121"/>
      <c r="H111" s="121"/>
      <c r="I111" s="121"/>
      <c r="J111" s="162"/>
      <c r="K111" s="163"/>
    </row>
    <row r="112" spans="2:11" ht="15" thickBot="1" x14ac:dyDescent="0.35">
      <c r="B112" s="117">
        <v>34</v>
      </c>
      <c r="C112" s="118"/>
      <c r="D112" s="120">
        <f t="shared" ref="D112" si="124">$N$30</f>
        <v>15.588640673015377</v>
      </c>
      <c r="E112" s="120"/>
      <c r="F112" s="120">
        <f t="shared" ref="F112" si="125">($N$18/12)*J110</f>
        <v>8.1006519462465008</v>
      </c>
      <c r="G112" s="120"/>
      <c r="H112" s="120">
        <f t="shared" ref="H112" si="126">D112-F112</f>
        <v>7.4879887267688758</v>
      </c>
      <c r="I112" s="120"/>
      <c r="J112" s="160">
        <f t="shared" ref="J112" si="127">J110-H112</f>
        <v>2938.2036280901402</v>
      </c>
      <c r="K112" s="161"/>
    </row>
    <row r="113" spans="2:11" ht="15" thickBot="1" x14ac:dyDescent="0.35">
      <c r="B113" s="41"/>
      <c r="C113" s="35"/>
      <c r="D113" s="121"/>
      <c r="E113" s="121"/>
      <c r="F113" s="121"/>
      <c r="G113" s="121"/>
      <c r="H113" s="121"/>
      <c r="I113" s="121"/>
      <c r="J113" s="162"/>
      <c r="K113" s="163"/>
    </row>
    <row r="114" spans="2:11" ht="15" thickBot="1" x14ac:dyDescent="0.35">
      <c r="B114" s="117">
        <v>35</v>
      </c>
      <c r="C114" s="118"/>
      <c r="D114" s="120">
        <f t="shared" ref="D114" si="128">$N$30</f>
        <v>15.588640673015377</v>
      </c>
      <c r="E114" s="120"/>
      <c r="F114" s="120">
        <f t="shared" ref="F114" si="129">($N$18/12)*J112</f>
        <v>8.0800599772478865</v>
      </c>
      <c r="G114" s="120"/>
      <c r="H114" s="120">
        <f t="shared" ref="H114" si="130">D114-F114</f>
        <v>7.5085806957674901</v>
      </c>
      <c r="I114" s="120"/>
      <c r="J114" s="160">
        <f t="shared" ref="J114" si="131">J112-H114</f>
        <v>2930.6950473943725</v>
      </c>
      <c r="K114" s="161"/>
    </row>
    <row r="115" spans="2:11" ht="15" thickBot="1" x14ac:dyDescent="0.35">
      <c r="B115" s="41"/>
      <c r="C115" s="35"/>
      <c r="D115" s="121"/>
      <c r="E115" s="121"/>
      <c r="F115" s="121"/>
      <c r="G115" s="121"/>
      <c r="H115" s="121"/>
      <c r="I115" s="121"/>
      <c r="J115" s="162"/>
      <c r="K115" s="163"/>
    </row>
    <row r="116" spans="2:11" ht="15" thickBot="1" x14ac:dyDescent="0.35">
      <c r="B116" s="117">
        <v>36</v>
      </c>
      <c r="C116" s="118"/>
      <c r="D116" s="120">
        <f t="shared" ref="D116" si="132">$N$30</f>
        <v>15.588640673015377</v>
      </c>
      <c r="E116" s="120"/>
      <c r="F116" s="120">
        <f t="shared" ref="F116" si="133">($N$18/12)*J114</f>
        <v>8.0594113803345255</v>
      </c>
      <c r="G116" s="120"/>
      <c r="H116" s="120">
        <f t="shared" ref="H116" si="134">D116-F116</f>
        <v>7.5292292926808511</v>
      </c>
      <c r="I116" s="120"/>
      <c r="J116" s="160">
        <f t="shared" ref="J116" si="135">J114-H116</f>
        <v>2923.1658181016915</v>
      </c>
      <c r="K116" s="161"/>
    </row>
    <row r="117" spans="2:11" ht="15" thickBot="1" x14ac:dyDescent="0.35">
      <c r="B117" s="41"/>
      <c r="C117" s="35"/>
      <c r="D117" s="121"/>
      <c r="E117" s="121"/>
      <c r="F117" s="121"/>
      <c r="G117" s="121"/>
      <c r="H117" s="121"/>
      <c r="I117" s="121"/>
      <c r="J117" s="162"/>
      <c r="K117" s="163"/>
    </row>
    <row r="118" spans="2:11" ht="15" thickBot="1" x14ac:dyDescent="0.35">
      <c r="B118" s="117">
        <v>37</v>
      </c>
      <c r="C118" s="118"/>
      <c r="D118" s="120">
        <f t="shared" ref="D118" si="136">$N$30</f>
        <v>15.588640673015377</v>
      </c>
      <c r="E118" s="120"/>
      <c r="F118" s="120">
        <f t="shared" ref="F118" si="137">($N$18/12)*J116</f>
        <v>8.0387059997796531</v>
      </c>
      <c r="G118" s="120"/>
      <c r="H118" s="120">
        <f t="shared" ref="H118" si="138">D118-F118</f>
        <v>7.5499346732357235</v>
      </c>
      <c r="I118" s="120"/>
      <c r="J118" s="160">
        <f t="shared" ref="J118" si="139">J116-H118</f>
        <v>2915.6158834284556</v>
      </c>
      <c r="K118" s="161"/>
    </row>
    <row r="119" spans="2:11" ht="15" thickBot="1" x14ac:dyDescent="0.35">
      <c r="B119" s="41"/>
      <c r="C119" s="35"/>
      <c r="D119" s="121"/>
      <c r="E119" s="121"/>
      <c r="F119" s="121"/>
      <c r="G119" s="121"/>
      <c r="H119" s="121"/>
      <c r="I119" s="121"/>
      <c r="J119" s="162"/>
      <c r="K119" s="163"/>
    </row>
    <row r="120" spans="2:11" ht="15" thickBot="1" x14ac:dyDescent="0.35">
      <c r="B120" s="117">
        <v>38</v>
      </c>
      <c r="C120" s="118"/>
      <c r="D120" s="120">
        <f t="shared" ref="D120" si="140">$N$30</f>
        <v>15.588640673015377</v>
      </c>
      <c r="E120" s="120"/>
      <c r="F120" s="120">
        <f t="shared" ref="F120" si="141">($N$18/12)*J118</f>
        <v>8.017943679428253</v>
      </c>
      <c r="G120" s="120"/>
      <c r="H120" s="120">
        <f t="shared" ref="H120" si="142">D120-F120</f>
        <v>7.5706969935871236</v>
      </c>
      <c r="I120" s="120"/>
      <c r="J120" s="160">
        <f t="shared" ref="J120" si="143">J118-H120</f>
        <v>2908.0451864348684</v>
      </c>
      <c r="K120" s="161"/>
    </row>
    <row r="121" spans="2:11" ht="15" thickBot="1" x14ac:dyDescent="0.35">
      <c r="B121" s="41"/>
      <c r="C121" s="35"/>
      <c r="D121" s="121"/>
      <c r="E121" s="121"/>
      <c r="F121" s="121"/>
      <c r="G121" s="121"/>
      <c r="H121" s="121"/>
      <c r="I121" s="121"/>
      <c r="J121" s="162"/>
      <c r="K121" s="163"/>
    </row>
    <row r="122" spans="2:11" ht="15" thickBot="1" x14ac:dyDescent="0.35">
      <c r="B122" s="117">
        <v>39</v>
      </c>
      <c r="C122" s="118"/>
      <c r="D122" s="120">
        <f t="shared" ref="D122" si="144">$N$30</f>
        <v>15.588640673015377</v>
      </c>
      <c r="E122" s="120"/>
      <c r="F122" s="120">
        <f t="shared" ref="F122" si="145">($N$18/12)*J120</f>
        <v>7.9971242626958885</v>
      </c>
      <c r="G122" s="120"/>
      <c r="H122" s="120">
        <f t="shared" ref="H122" si="146">D122-F122</f>
        <v>7.5915164103194881</v>
      </c>
      <c r="I122" s="120"/>
      <c r="J122" s="160">
        <f t="shared" ref="J122" si="147">J120-H122</f>
        <v>2900.453670024549</v>
      </c>
      <c r="K122" s="161"/>
    </row>
    <row r="123" spans="2:11" ht="15" thickBot="1" x14ac:dyDescent="0.35">
      <c r="B123" s="41"/>
      <c r="C123" s="35"/>
      <c r="D123" s="121"/>
      <c r="E123" s="121"/>
      <c r="F123" s="121"/>
      <c r="G123" s="121"/>
      <c r="H123" s="121"/>
      <c r="I123" s="121"/>
      <c r="J123" s="162"/>
      <c r="K123" s="163"/>
    </row>
    <row r="124" spans="2:11" ht="15" thickBot="1" x14ac:dyDescent="0.35">
      <c r="B124" s="117">
        <v>40</v>
      </c>
      <c r="C124" s="118"/>
      <c r="D124" s="120">
        <f t="shared" ref="D124" si="148">$N$30</f>
        <v>15.588640673015377</v>
      </c>
      <c r="E124" s="120"/>
      <c r="F124" s="120">
        <f t="shared" ref="F124" si="149">($N$18/12)*J122</f>
        <v>7.9762475925675105</v>
      </c>
      <c r="G124" s="120"/>
      <c r="H124" s="120">
        <f t="shared" ref="H124" si="150">D124-F124</f>
        <v>7.6123930804478661</v>
      </c>
      <c r="I124" s="120"/>
      <c r="J124" s="160">
        <f t="shared" ref="J124" si="151">J122-H124</f>
        <v>2892.8412769441011</v>
      </c>
      <c r="K124" s="161"/>
    </row>
    <row r="125" spans="2:11" ht="15" thickBot="1" x14ac:dyDescent="0.35">
      <c r="B125" s="41"/>
      <c r="C125" s="35"/>
      <c r="D125" s="121"/>
      <c r="E125" s="121"/>
      <c r="F125" s="121"/>
      <c r="G125" s="121"/>
      <c r="H125" s="121"/>
      <c r="I125" s="121"/>
      <c r="J125" s="162"/>
      <c r="K125" s="163"/>
    </row>
    <row r="126" spans="2:11" ht="15" thickBot="1" x14ac:dyDescent="0.35">
      <c r="B126" s="117">
        <v>41</v>
      </c>
      <c r="C126" s="118"/>
      <c r="D126" s="120">
        <f t="shared" ref="D126" si="152">$N$30</f>
        <v>15.588640673015377</v>
      </c>
      <c r="E126" s="120"/>
      <c r="F126" s="120">
        <f t="shared" ref="F126" si="153">($N$18/12)*J124</f>
        <v>7.9553135115962785</v>
      </c>
      <c r="G126" s="120"/>
      <c r="H126" s="120">
        <f t="shared" ref="H126" si="154">D126-F126</f>
        <v>7.6333271614190981</v>
      </c>
      <c r="I126" s="120"/>
      <c r="J126" s="160">
        <f t="shared" ref="J126" si="155">J124-H126</f>
        <v>2885.2079497826821</v>
      </c>
      <c r="K126" s="161"/>
    </row>
    <row r="127" spans="2:11" ht="15" thickBot="1" x14ac:dyDescent="0.35">
      <c r="B127" s="41"/>
      <c r="C127" s="35"/>
      <c r="D127" s="121"/>
      <c r="E127" s="121"/>
      <c r="F127" s="121"/>
      <c r="G127" s="121"/>
      <c r="H127" s="121"/>
      <c r="I127" s="121"/>
      <c r="J127" s="162"/>
      <c r="K127" s="163"/>
    </row>
    <row r="128" spans="2:11" ht="15" thickBot="1" x14ac:dyDescent="0.35">
      <c r="B128" s="117">
        <v>42</v>
      </c>
      <c r="C128" s="118"/>
      <c r="D128" s="120">
        <f t="shared" ref="D128" si="156">$N$30</f>
        <v>15.588640673015377</v>
      </c>
      <c r="E128" s="120"/>
      <c r="F128" s="120">
        <f t="shared" ref="F128" si="157">($N$18/12)*J126</f>
        <v>7.9343218619023768</v>
      </c>
      <c r="G128" s="120"/>
      <c r="H128" s="120">
        <f t="shared" ref="H128" si="158">D128-F128</f>
        <v>7.6543188111129998</v>
      </c>
      <c r="I128" s="120"/>
      <c r="J128" s="160">
        <f t="shared" ref="J128" si="159">J126-H128</f>
        <v>2877.553630971569</v>
      </c>
      <c r="K128" s="161"/>
    </row>
    <row r="129" spans="2:11" ht="15" thickBot="1" x14ac:dyDescent="0.35">
      <c r="B129" s="41"/>
      <c r="C129" s="35"/>
      <c r="D129" s="121"/>
      <c r="E129" s="121"/>
      <c r="F129" s="121"/>
      <c r="G129" s="121"/>
      <c r="H129" s="121"/>
      <c r="I129" s="121"/>
      <c r="J129" s="162"/>
      <c r="K129" s="163"/>
    </row>
    <row r="130" spans="2:11" ht="15" thickBot="1" x14ac:dyDescent="0.35">
      <c r="B130" s="117">
        <v>43</v>
      </c>
      <c r="C130" s="118"/>
      <c r="D130" s="120">
        <f t="shared" ref="D130" si="160">$N$30</f>
        <v>15.588640673015377</v>
      </c>
      <c r="E130" s="120"/>
      <c r="F130" s="120">
        <f t="shared" ref="F130" si="161">($N$18/12)*J128</f>
        <v>7.9132724851718157</v>
      </c>
      <c r="G130" s="120"/>
      <c r="H130" s="120">
        <f t="shared" ref="H130" si="162">D130-F130</f>
        <v>7.6753681878435609</v>
      </c>
      <c r="I130" s="120"/>
      <c r="J130" s="160">
        <f t="shared" ref="J130" si="163">J128-H130</f>
        <v>2869.8782627837254</v>
      </c>
      <c r="K130" s="161"/>
    </row>
    <row r="131" spans="2:11" ht="15" thickBot="1" x14ac:dyDescent="0.35">
      <c r="B131" s="41"/>
      <c r="C131" s="35"/>
      <c r="D131" s="121"/>
      <c r="E131" s="121"/>
      <c r="F131" s="121"/>
      <c r="G131" s="121"/>
      <c r="H131" s="121"/>
      <c r="I131" s="121"/>
      <c r="J131" s="162"/>
      <c r="K131" s="163"/>
    </row>
    <row r="132" spans="2:11" ht="15" thickBot="1" x14ac:dyDescent="0.35">
      <c r="B132" s="117">
        <v>44</v>
      </c>
      <c r="C132" s="118"/>
      <c r="D132" s="120">
        <f t="shared" ref="D132" si="164">$N$30</f>
        <v>15.588640673015377</v>
      </c>
      <c r="E132" s="120"/>
      <c r="F132" s="120">
        <f t="shared" ref="F132" si="165">($N$18/12)*J130</f>
        <v>7.8921652226552457</v>
      </c>
      <c r="G132" s="120"/>
      <c r="H132" s="120">
        <f t="shared" ref="H132" si="166">D132-F132</f>
        <v>7.6964754503601309</v>
      </c>
      <c r="I132" s="120"/>
      <c r="J132" s="160">
        <f t="shared" ref="J132" si="167">J130-H132</f>
        <v>2862.1817873333653</v>
      </c>
      <c r="K132" s="161"/>
    </row>
    <row r="133" spans="2:11" ht="15" thickBot="1" x14ac:dyDescent="0.35">
      <c r="B133" s="41"/>
      <c r="C133" s="35"/>
      <c r="D133" s="121"/>
      <c r="E133" s="121"/>
      <c r="F133" s="121"/>
      <c r="G133" s="121"/>
      <c r="H133" s="121"/>
      <c r="I133" s="121"/>
      <c r="J133" s="162"/>
      <c r="K133" s="163"/>
    </row>
    <row r="134" spans="2:11" ht="15" thickBot="1" x14ac:dyDescent="0.35">
      <c r="B134" s="117">
        <v>45</v>
      </c>
      <c r="C134" s="118"/>
      <c r="D134" s="120">
        <f t="shared" ref="D134" si="168">$N$30</f>
        <v>15.588640673015377</v>
      </c>
      <c r="E134" s="120"/>
      <c r="F134" s="120">
        <f t="shared" ref="F134" si="169">($N$18/12)*J132</f>
        <v>7.8709999151667551</v>
      </c>
      <c r="G134" s="120"/>
      <c r="H134" s="120">
        <f t="shared" ref="H134" si="170">D134-F134</f>
        <v>7.7176407578486215</v>
      </c>
      <c r="I134" s="120"/>
      <c r="J134" s="160">
        <f t="shared" ref="J134" si="171">J132-H134</f>
        <v>2854.4641465755167</v>
      </c>
      <c r="K134" s="161"/>
    </row>
    <row r="135" spans="2:11" ht="15" thickBot="1" x14ac:dyDescent="0.35">
      <c r="B135" s="41"/>
      <c r="C135" s="35"/>
      <c r="D135" s="121"/>
      <c r="E135" s="121"/>
      <c r="F135" s="121"/>
      <c r="G135" s="121"/>
      <c r="H135" s="121"/>
      <c r="I135" s="121"/>
      <c r="J135" s="162"/>
      <c r="K135" s="163"/>
    </row>
    <row r="136" spans="2:11" ht="15" thickBot="1" x14ac:dyDescent="0.35">
      <c r="B136" s="117">
        <v>46</v>
      </c>
      <c r="C136" s="118"/>
      <c r="D136" s="120">
        <f t="shared" ref="D136" si="172">$N$30</f>
        <v>15.588640673015377</v>
      </c>
      <c r="E136" s="120"/>
      <c r="F136" s="120">
        <f t="shared" ref="F136" si="173">($N$18/12)*J134</f>
        <v>7.8497764030826715</v>
      </c>
      <c r="G136" s="120"/>
      <c r="H136" s="120">
        <f t="shared" ref="H136" si="174">D136-F136</f>
        <v>7.738864269932705</v>
      </c>
      <c r="I136" s="120"/>
      <c r="J136" s="160">
        <f t="shared" ref="J136" si="175">J134-H136</f>
        <v>2846.7252823055842</v>
      </c>
      <c r="K136" s="161"/>
    </row>
    <row r="137" spans="2:11" ht="15" thickBot="1" x14ac:dyDescent="0.35">
      <c r="B137" s="41"/>
      <c r="C137" s="35"/>
      <c r="D137" s="121"/>
      <c r="E137" s="121"/>
      <c r="F137" s="121"/>
      <c r="G137" s="121"/>
      <c r="H137" s="121"/>
      <c r="I137" s="121"/>
      <c r="J137" s="162"/>
      <c r="K137" s="163"/>
    </row>
    <row r="138" spans="2:11" ht="15" thickBot="1" x14ac:dyDescent="0.35">
      <c r="B138" s="117">
        <v>47</v>
      </c>
      <c r="C138" s="118"/>
      <c r="D138" s="120">
        <f t="shared" ref="D138" si="176">$N$30</f>
        <v>15.588640673015377</v>
      </c>
      <c r="E138" s="120"/>
      <c r="F138" s="120">
        <f t="shared" ref="F138" si="177">($N$18/12)*J136</f>
        <v>7.8284945263403571</v>
      </c>
      <c r="G138" s="120"/>
      <c r="H138" s="120">
        <f t="shared" ref="H138" si="178">D138-F138</f>
        <v>7.7601461466750195</v>
      </c>
      <c r="I138" s="120"/>
      <c r="J138" s="160">
        <f t="shared" ref="J138" si="179">J136-H138</f>
        <v>2838.965136158909</v>
      </c>
      <c r="K138" s="161"/>
    </row>
    <row r="139" spans="2:11" ht="15" thickBot="1" x14ac:dyDescent="0.35">
      <c r="B139" s="41"/>
      <c r="C139" s="35"/>
      <c r="D139" s="121"/>
      <c r="E139" s="121"/>
      <c r="F139" s="121"/>
      <c r="G139" s="121"/>
      <c r="H139" s="121"/>
      <c r="I139" s="121"/>
      <c r="J139" s="162"/>
      <c r="K139" s="163"/>
    </row>
    <row r="140" spans="2:11" ht="15" thickBot="1" x14ac:dyDescent="0.35">
      <c r="B140" s="117">
        <v>48</v>
      </c>
      <c r="C140" s="118"/>
      <c r="D140" s="120">
        <f t="shared" ref="D140" si="180">$N$30</f>
        <v>15.588640673015377</v>
      </c>
      <c r="E140" s="120"/>
      <c r="F140" s="120">
        <f t="shared" ref="F140" si="181">($N$18/12)*J138</f>
        <v>7.8071541244370009</v>
      </c>
      <c r="G140" s="120"/>
      <c r="H140" s="120">
        <f t="shared" ref="H140" si="182">D140-F140</f>
        <v>7.7814865485783757</v>
      </c>
      <c r="I140" s="120"/>
      <c r="J140" s="160">
        <f t="shared" ref="J140" si="183">J138-H140</f>
        <v>2831.1836496103306</v>
      </c>
      <c r="K140" s="161"/>
    </row>
    <row r="141" spans="2:11" ht="15" thickBot="1" x14ac:dyDescent="0.35">
      <c r="B141" s="41"/>
      <c r="C141" s="35"/>
      <c r="D141" s="121"/>
      <c r="E141" s="121"/>
      <c r="F141" s="121"/>
      <c r="G141" s="121"/>
      <c r="H141" s="121"/>
      <c r="I141" s="121"/>
      <c r="J141" s="162"/>
      <c r="K141" s="163"/>
    </row>
    <row r="142" spans="2:11" ht="15" thickBot="1" x14ac:dyDescent="0.35">
      <c r="B142" s="117">
        <v>49</v>
      </c>
      <c r="C142" s="118"/>
      <c r="D142" s="120">
        <f t="shared" ref="D142" si="184">$N$30</f>
        <v>15.588640673015377</v>
      </c>
      <c r="E142" s="120"/>
      <c r="F142" s="120">
        <f t="shared" ref="F142" si="185">($N$18/12)*J140</f>
        <v>7.7857550364284096</v>
      </c>
      <c r="G142" s="120"/>
      <c r="H142" s="120">
        <f t="shared" ref="H142" si="186">D142-F142</f>
        <v>7.802885636586967</v>
      </c>
      <c r="I142" s="120"/>
      <c r="J142" s="160">
        <f t="shared" ref="J142" si="187">J140-H142</f>
        <v>2823.3807639737438</v>
      </c>
      <c r="K142" s="161"/>
    </row>
    <row r="143" spans="2:11" ht="15" thickBot="1" x14ac:dyDescent="0.35">
      <c r="B143" s="41"/>
      <c r="C143" s="35"/>
      <c r="D143" s="121"/>
      <c r="E143" s="121"/>
      <c r="F143" s="121"/>
      <c r="G143" s="121"/>
      <c r="H143" s="121"/>
      <c r="I143" s="121"/>
      <c r="J143" s="162"/>
      <c r="K143" s="163"/>
    </row>
    <row r="144" spans="2:11" ht="15" thickBot="1" x14ac:dyDescent="0.35">
      <c r="B144" s="117">
        <v>50</v>
      </c>
      <c r="C144" s="118"/>
      <c r="D144" s="120">
        <f t="shared" ref="D144" si="188">$N$30</f>
        <v>15.588640673015377</v>
      </c>
      <c r="E144" s="120"/>
      <c r="F144" s="120">
        <f t="shared" ref="F144" si="189">($N$18/12)*J142</f>
        <v>7.7642971009277959</v>
      </c>
      <c r="G144" s="120"/>
      <c r="H144" s="120">
        <f t="shared" ref="H144" si="190">D144-F144</f>
        <v>7.8243435720875807</v>
      </c>
      <c r="I144" s="120"/>
      <c r="J144" s="160">
        <f t="shared" ref="J144" si="191">J142-H144</f>
        <v>2815.5564204016564</v>
      </c>
      <c r="K144" s="161"/>
    </row>
    <row r="145" spans="2:11" ht="15" thickBot="1" x14ac:dyDescent="0.35">
      <c r="B145" s="41"/>
      <c r="C145" s="35"/>
      <c r="D145" s="121"/>
      <c r="E145" s="121"/>
      <c r="F145" s="121"/>
      <c r="G145" s="121"/>
      <c r="H145" s="121"/>
      <c r="I145" s="121"/>
      <c r="J145" s="162"/>
      <c r="K145" s="163"/>
    </row>
    <row r="146" spans="2:11" ht="15" thickBot="1" x14ac:dyDescent="0.35">
      <c r="B146" s="117">
        <v>51</v>
      </c>
      <c r="C146" s="118"/>
      <c r="D146" s="120">
        <f t="shared" ref="D146" si="192">$N$30</f>
        <v>15.588640673015377</v>
      </c>
      <c r="E146" s="120"/>
      <c r="F146" s="120">
        <f t="shared" ref="F146" si="193">($N$18/12)*J144</f>
        <v>7.7427801561045557</v>
      </c>
      <c r="G146" s="120"/>
      <c r="H146" s="120">
        <f t="shared" ref="H146" si="194">D146-F146</f>
        <v>7.8458605169108209</v>
      </c>
      <c r="I146" s="120"/>
      <c r="J146" s="160">
        <f t="shared" ref="J146" si="195">J144-H146</f>
        <v>2807.7105598847456</v>
      </c>
      <c r="K146" s="161"/>
    </row>
    <row r="147" spans="2:11" ht="15" thickBot="1" x14ac:dyDescent="0.35">
      <c r="B147" s="41"/>
      <c r="C147" s="35"/>
      <c r="D147" s="121"/>
      <c r="E147" s="121"/>
      <c r="F147" s="121"/>
      <c r="G147" s="121"/>
      <c r="H147" s="121"/>
      <c r="I147" s="121"/>
      <c r="J147" s="162"/>
      <c r="K147" s="163"/>
    </row>
    <row r="148" spans="2:11" ht="15" thickBot="1" x14ac:dyDescent="0.35">
      <c r="B148" s="117">
        <v>52</v>
      </c>
      <c r="C148" s="118"/>
      <c r="D148" s="120">
        <f t="shared" ref="D148" si="196">$N$30</f>
        <v>15.588640673015377</v>
      </c>
      <c r="E148" s="120"/>
      <c r="F148" s="120">
        <f t="shared" ref="F148" si="197">($N$18/12)*J146</f>
        <v>7.7212040396830517</v>
      </c>
      <c r="G148" s="120"/>
      <c r="H148" s="120">
        <f t="shared" ref="H148" si="198">D148-F148</f>
        <v>7.8674366333323249</v>
      </c>
      <c r="I148" s="120"/>
      <c r="J148" s="160">
        <f t="shared" ref="J148" si="199">J146-H148</f>
        <v>2799.8431232514131</v>
      </c>
      <c r="K148" s="161"/>
    </row>
    <row r="149" spans="2:11" ht="15" thickBot="1" x14ac:dyDescent="0.35">
      <c r="B149" s="41"/>
      <c r="C149" s="35"/>
      <c r="D149" s="121"/>
      <c r="E149" s="121"/>
      <c r="F149" s="121"/>
      <c r="G149" s="121"/>
      <c r="H149" s="121"/>
      <c r="I149" s="121"/>
      <c r="J149" s="162"/>
      <c r="K149" s="163"/>
    </row>
    <row r="150" spans="2:11" ht="15" thickBot="1" x14ac:dyDescent="0.35">
      <c r="B150" s="117">
        <v>53</v>
      </c>
      <c r="C150" s="118"/>
      <c r="D150" s="120">
        <f t="shared" ref="D150" si="200">$N$30</f>
        <v>15.588640673015377</v>
      </c>
      <c r="E150" s="120"/>
      <c r="F150" s="120">
        <f t="shared" ref="F150" si="201">($N$18/12)*J148</f>
        <v>7.6995685889413865</v>
      </c>
      <c r="G150" s="120"/>
      <c r="H150" s="120">
        <f t="shared" ref="H150" si="202">D150-F150</f>
        <v>7.8890720840739901</v>
      </c>
      <c r="I150" s="120"/>
      <c r="J150" s="160">
        <f t="shared" ref="J150" si="203">J148-H150</f>
        <v>2791.954051167339</v>
      </c>
      <c r="K150" s="161"/>
    </row>
    <row r="151" spans="2:11" ht="15" thickBot="1" x14ac:dyDescent="0.35">
      <c r="B151" s="41"/>
      <c r="C151" s="35"/>
      <c r="D151" s="121"/>
      <c r="E151" s="121"/>
      <c r="F151" s="121"/>
      <c r="G151" s="121"/>
      <c r="H151" s="121"/>
      <c r="I151" s="121"/>
      <c r="J151" s="162"/>
      <c r="K151" s="163"/>
    </row>
    <row r="152" spans="2:11" ht="15" thickBot="1" x14ac:dyDescent="0.35">
      <c r="B152" s="117">
        <v>54</v>
      </c>
      <c r="C152" s="118"/>
      <c r="D152" s="120">
        <f t="shared" ref="D152" si="204">$N$30</f>
        <v>15.588640673015377</v>
      </c>
      <c r="E152" s="120"/>
      <c r="F152" s="120">
        <f t="shared" ref="F152" si="205">($N$18/12)*J150</f>
        <v>7.6778736407101826</v>
      </c>
      <c r="G152" s="120"/>
      <c r="H152" s="120">
        <f t="shared" ref="H152" si="206">D152-F152</f>
        <v>7.910767032305194</v>
      </c>
      <c r="I152" s="120"/>
      <c r="J152" s="160">
        <f t="shared" ref="J152" si="207">J150-H152</f>
        <v>2784.0432841350339</v>
      </c>
      <c r="K152" s="161"/>
    </row>
    <row r="153" spans="2:11" ht="15" thickBot="1" x14ac:dyDescent="0.35">
      <c r="B153" s="41"/>
      <c r="C153" s="35"/>
      <c r="D153" s="121"/>
      <c r="E153" s="121"/>
      <c r="F153" s="121"/>
      <c r="G153" s="121"/>
      <c r="H153" s="121"/>
      <c r="I153" s="121"/>
      <c r="J153" s="162"/>
      <c r="K153" s="163"/>
    </row>
    <row r="154" spans="2:11" ht="15" thickBot="1" x14ac:dyDescent="0.35">
      <c r="B154" s="117">
        <v>55</v>
      </c>
      <c r="C154" s="118"/>
      <c r="D154" s="120">
        <f t="shared" ref="D154" si="208">$N$30</f>
        <v>15.588640673015377</v>
      </c>
      <c r="E154" s="120"/>
      <c r="F154" s="120">
        <f t="shared" ref="F154" si="209">($N$18/12)*J152</f>
        <v>7.6561190313713441</v>
      </c>
      <c r="G154" s="120"/>
      <c r="H154" s="120">
        <f t="shared" ref="H154" si="210">D154-F154</f>
        <v>7.9325216416440325</v>
      </c>
      <c r="I154" s="120"/>
      <c r="J154" s="160">
        <f t="shared" ref="J154" si="211">J152-H154</f>
        <v>2776.1107624933898</v>
      </c>
      <c r="K154" s="161"/>
    </row>
    <row r="155" spans="2:11" ht="15" thickBot="1" x14ac:dyDescent="0.35">
      <c r="B155" s="41"/>
      <c r="C155" s="35"/>
      <c r="D155" s="121"/>
      <c r="E155" s="121"/>
      <c r="F155" s="121"/>
      <c r="G155" s="121"/>
      <c r="H155" s="121"/>
      <c r="I155" s="121"/>
      <c r="J155" s="162"/>
      <c r="K155" s="163"/>
    </row>
    <row r="156" spans="2:11" ht="15" thickBot="1" x14ac:dyDescent="0.35">
      <c r="B156" s="117">
        <v>56</v>
      </c>
      <c r="C156" s="118"/>
      <c r="D156" s="120">
        <f t="shared" ref="D156" si="212">$N$30</f>
        <v>15.588640673015377</v>
      </c>
      <c r="E156" s="120"/>
      <c r="F156" s="120">
        <f t="shared" ref="F156" si="213">($N$18/12)*J154</f>
        <v>7.6343045968568228</v>
      </c>
      <c r="G156" s="120"/>
      <c r="H156" s="120">
        <f t="shared" ref="H156" si="214">D156-F156</f>
        <v>7.9543360761585538</v>
      </c>
      <c r="I156" s="120"/>
      <c r="J156" s="160">
        <f t="shared" ref="J156" si="215">J154-H156</f>
        <v>2768.1564264172312</v>
      </c>
      <c r="K156" s="161"/>
    </row>
    <row r="157" spans="2:11" ht="15" thickBot="1" x14ac:dyDescent="0.35">
      <c r="B157" s="41"/>
      <c r="C157" s="35"/>
      <c r="D157" s="121"/>
      <c r="E157" s="121"/>
      <c r="F157" s="121"/>
      <c r="G157" s="121"/>
      <c r="H157" s="121"/>
      <c r="I157" s="121"/>
      <c r="J157" s="162"/>
      <c r="K157" s="163"/>
    </row>
    <row r="158" spans="2:11" ht="15" thickBot="1" x14ac:dyDescent="0.35">
      <c r="B158" s="117">
        <v>57</v>
      </c>
      <c r="C158" s="118"/>
      <c r="D158" s="120">
        <f t="shared" ref="D158" si="216">$N$30</f>
        <v>15.588640673015377</v>
      </c>
      <c r="E158" s="120"/>
      <c r="F158" s="120">
        <f t="shared" ref="F158" si="217">($N$18/12)*J156</f>
        <v>7.6124301726473869</v>
      </c>
      <c r="G158" s="120"/>
      <c r="H158" s="120">
        <f t="shared" ref="H158" si="218">D158-F158</f>
        <v>7.9762105003679897</v>
      </c>
      <c r="I158" s="120"/>
      <c r="J158" s="160">
        <f t="shared" ref="J158" si="219">J156-H158</f>
        <v>2760.1802159168633</v>
      </c>
      <c r="K158" s="161"/>
    </row>
    <row r="159" spans="2:11" ht="15" thickBot="1" x14ac:dyDescent="0.35">
      <c r="B159" s="41"/>
      <c r="C159" s="35"/>
      <c r="D159" s="121"/>
      <c r="E159" s="121"/>
      <c r="F159" s="121"/>
      <c r="G159" s="121"/>
      <c r="H159" s="121"/>
      <c r="I159" s="121"/>
      <c r="J159" s="162"/>
      <c r="K159" s="163"/>
    </row>
    <row r="160" spans="2:11" ht="15" thickBot="1" x14ac:dyDescent="0.35">
      <c r="B160" s="117">
        <v>58</v>
      </c>
      <c r="C160" s="118"/>
      <c r="D160" s="120">
        <f t="shared" ref="D160" si="220">$N$30</f>
        <v>15.588640673015377</v>
      </c>
      <c r="E160" s="120"/>
      <c r="F160" s="120">
        <f t="shared" ref="F160" si="221">($N$18/12)*J158</f>
        <v>7.5904955937713749</v>
      </c>
      <c r="G160" s="120"/>
      <c r="H160" s="120">
        <f t="shared" ref="H160" si="222">D160-F160</f>
        <v>7.9981450792440016</v>
      </c>
      <c r="I160" s="120"/>
      <c r="J160" s="160">
        <f t="shared" ref="J160" si="223">J158-H160</f>
        <v>2752.1820708376194</v>
      </c>
      <c r="K160" s="161"/>
    </row>
    <row r="161" spans="2:11" ht="15" thickBot="1" x14ac:dyDescent="0.35">
      <c r="B161" s="41"/>
      <c r="C161" s="35"/>
      <c r="D161" s="121"/>
      <c r="E161" s="121"/>
      <c r="F161" s="121"/>
      <c r="G161" s="121"/>
      <c r="H161" s="121"/>
      <c r="I161" s="121"/>
      <c r="J161" s="162"/>
      <c r="K161" s="163"/>
    </row>
    <row r="162" spans="2:11" ht="15" thickBot="1" x14ac:dyDescent="0.35">
      <c r="B162" s="117">
        <v>59</v>
      </c>
      <c r="C162" s="118"/>
      <c r="D162" s="120">
        <f t="shared" ref="D162" si="224">$N$30</f>
        <v>15.588640673015377</v>
      </c>
      <c r="E162" s="120"/>
      <c r="F162" s="120">
        <f t="shared" ref="F162" si="225">($N$18/12)*J160</f>
        <v>7.5685006948034541</v>
      </c>
      <c r="G162" s="120"/>
      <c r="H162" s="120">
        <f t="shared" ref="H162" si="226">D162-F162</f>
        <v>8.0201399782119225</v>
      </c>
      <c r="I162" s="120"/>
      <c r="J162" s="160">
        <f t="shared" ref="J162" si="227">J160-H162</f>
        <v>2744.1619308594077</v>
      </c>
      <c r="K162" s="161"/>
    </row>
    <row r="163" spans="2:11" ht="15" thickBot="1" x14ac:dyDescent="0.35">
      <c r="B163" s="41"/>
      <c r="C163" s="35"/>
      <c r="D163" s="121"/>
      <c r="E163" s="121"/>
      <c r="F163" s="121"/>
      <c r="G163" s="121"/>
      <c r="H163" s="121"/>
      <c r="I163" s="121"/>
      <c r="J163" s="162"/>
      <c r="K163" s="163"/>
    </row>
    <row r="164" spans="2:11" ht="15" thickBot="1" x14ac:dyDescent="0.35">
      <c r="B164" s="117">
        <v>60</v>
      </c>
      <c r="C164" s="118"/>
      <c r="D164" s="120">
        <f t="shared" ref="D164" si="228">$N$30</f>
        <v>15.588640673015377</v>
      </c>
      <c r="E164" s="120"/>
      <c r="F164" s="120">
        <f t="shared" ref="F164" si="229">($N$18/12)*J162</f>
        <v>7.5464453098633717</v>
      </c>
      <c r="G164" s="120"/>
      <c r="H164" s="120">
        <f t="shared" ref="H164" si="230">D164-F164</f>
        <v>8.042195363152004</v>
      </c>
      <c r="I164" s="120"/>
      <c r="J164" s="160">
        <f t="shared" ref="J164" si="231">J162-H164</f>
        <v>2736.1197354962555</v>
      </c>
      <c r="K164" s="161"/>
    </row>
    <row r="165" spans="2:11" ht="15" thickBot="1" x14ac:dyDescent="0.35">
      <c r="B165" s="41"/>
      <c r="C165" s="35"/>
      <c r="D165" s="121"/>
      <c r="E165" s="121"/>
      <c r="F165" s="121"/>
      <c r="G165" s="121"/>
      <c r="H165" s="121"/>
      <c r="I165" s="121"/>
      <c r="J165" s="162"/>
      <c r="K165" s="163"/>
    </row>
    <row r="166" spans="2:11" ht="15" thickBot="1" x14ac:dyDescent="0.35">
      <c r="B166" s="117">
        <v>61</v>
      </c>
      <c r="C166" s="118"/>
      <c r="D166" s="120">
        <f t="shared" ref="D166" si="232">$N$30</f>
        <v>15.588640673015377</v>
      </c>
      <c r="E166" s="120"/>
      <c r="F166" s="120">
        <f t="shared" ref="F166" si="233">($N$18/12)*J164</f>
        <v>7.5243292726147031</v>
      </c>
      <c r="G166" s="120"/>
      <c r="H166" s="120">
        <f t="shared" ref="H166" si="234">D166-F166</f>
        <v>8.0643114004006726</v>
      </c>
      <c r="I166" s="120"/>
      <c r="J166" s="160">
        <f t="shared" ref="J166" si="235">J164-H166</f>
        <v>2728.055424095855</v>
      </c>
      <c r="K166" s="161"/>
    </row>
    <row r="167" spans="2:11" ht="15" thickBot="1" x14ac:dyDescent="0.35">
      <c r="B167" s="41"/>
      <c r="C167" s="35"/>
      <c r="D167" s="121"/>
      <c r="E167" s="121"/>
      <c r="F167" s="121"/>
      <c r="G167" s="121"/>
      <c r="H167" s="121"/>
      <c r="I167" s="121"/>
      <c r="J167" s="162"/>
      <c r="K167" s="163"/>
    </row>
    <row r="168" spans="2:11" ht="15" thickBot="1" x14ac:dyDescent="0.35">
      <c r="B168" s="117">
        <v>62</v>
      </c>
      <c r="C168" s="118"/>
      <c r="D168" s="120">
        <f t="shared" ref="D168" si="236">$N$30</f>
        <v>15.588640673015377</v>
      </c>
      <c r="E168" s="120"/>
      <c r="F168" s="120">
        <f t="shared" ref="F168" si="237">($N$18/12)*J166</f>
        <v>7.502152416263602</v>
      </c>
      <c r="G168" s="120"/>
      <c r="H168" s="120">
        <f t="shared" ref="H168" si="238">D168-F168</f>
        <v>8.0864882567517746</v>
      </c>
      <c r="I168" s="120"/>
      <c r="J168" s="160">
        <f t="shared" ref="J168" si="239">J166-H168</f>
        <v>2719.9689358391033</v>
      </c>
      <c r="K168" s="161"/>
    </row>
    <row r="169" spans="2:11" ht="15" thickBot="1" x14ac:dyDescent="0.35">
      <c r="B169" s="41"/>
      <c r="C169" s="35"/>
      <c r="D169" s="121"/>
      <c r="E169" s="121"/>
      <c r="F169" s="121"/>
      <c r="G169" s="121"/>
      <c r="H169" s="121"/>
      <c r="I169" s="121"/>
      <c r="J169" s="162"/>
      <c r="K169" s="163"/>
    </row>
    <row r="170" spans="2:11" ht="15" thickBot="1" x14ac:dyDescent="0.35">
      <c r="B170" s="117">
        <v>63</v>
      </c>
      <c r="C170" s="118"/>
      <c r="D170" s="120">
        <f t="shared" ref="D170" si="240">$N$30</f>
        <v>15.588640673015377</v>
      </c>
      <c r="E170" s="120"/>
      <c r="F170" s="120">
        <f t="shared" ref="F170" si="241">($N$18/12)*J168</f>
        <v>7.4799145735575348</v>
      </c>
      <c r="G170" s="120"/>
      <c r="H170" s="120">
        <f t="shared" ref="H170" si="242">D170-F170</f>
        <v>8.1087260994578418</v>
      </c>
      <c r="I170" s="120"/>
      <c r="J170" s="160">
        <f t="shared" ref="J170" si="243">J168-H170</f>
        <v>2711.8602097396456</v>
      </c>
      <c r="K170" s="161"/>
    </row>
    <row r="171" spans="2:11" ht="15" thickBot="1" x14ac:dyDescent="0.35">
      <c r="B171" s="41"/>
      <c r="C171" s="35"/>
      <c r="D171" s="121"/>
      <c r="E171" s="121"/>
      <c r="F171" s="121"/>
      <c r="G171" s="121"/>
      <c r="H171" s="121"/>
      <c r="I171" s="121"/>
      <c r="J171" s="162"/>
      <c r="K171" s="163"/>
    </row>
    <row r="172" spans="2:11" ht="15" thickBot="1" x14ac:dyDescent="0.35">
      <c r="B172" s="117">
        <v>64</v>
      </c>
      <c r="C172" s="118"/>
      <c r="D172" s="120">
        <f t="shared" ref="D172" si="244">$N$30</f>
        <v>15.588640673015377</v>
      </c>
      <c r="E172" s="120"/>
      <c r="F172" s="120">
        <f t="shared" ref="F172" si="245">($N$18/12)*J170</f>
        <v>7.4576155767840264</v>
      </c>
      <c r="G172" s="120"/>
      <c r="H172" s="120">
        <f t="shared" ref="H172" si="246">D172-F172</f>
        <v>8.1310250962313511</v>
      </c>
      <c r="I172" s="120"/>
      <c r="J172" s="160">
        <f t="shared" ref="J172" si="247">J170-H172</f>
        <v>2703.7291846434141</v>
      </c>
      <c r="K172" s="161"/>
    </row>
    <row r="173" spans="2:11" ht="15" thickBot="1" x14ac:dyDescent="0.35">
      <c r="B173" s="41"/>
      <c r="C173" s="35"/>
      <c r="D173" s="121"/>
      <c r="E173" s="121"/>
      <c r="F173" s="121"/>
      <c r="G173" s="121"/>
      <c r="H173" s="121"/>
      <c r="I173" s="121"/>
      <c r="J173" s="162"/>
      <c r="K173" s="163"/>
    </row>
    <row r="174" spans="2:11" ht="15" thickBot="1" x14ac:dyDescent="0.35">
      <c r="B174" s="117">
        <v>65</v>
      </c>
      <c r="C174" s="118"/>
      <c r="D174" s="120">
        <f t="shared" ref="D174" si="248">$N$30</f>
        <v>15.588640673015377</v>
      </c>
      <c r="E174" s="120"/>
      <c r="F174" s="120">
        <f t="shared" ref="F174" si="249">($N$18/12)*J172</f>
        <v>7.4352552577693896</v>
      </c>
      <c r="G174" s="120"/>
      <c r="H174" s="120">
        <f t="shared" ref="H174" si="250">D174-F174</f>
        <v>8.153385415245987</v>
      </c>
      <c r="I174" s="120"/>
      <c r="J174" s="160">
        <f t="shared" ref="J174" si="251">J172-H174</f>
        <v>2695.5757992281683</v>
      </c>
      <c r="K174" s="161"/>
    </row>
    <row r="175" spans="2:11" ht="15" thickBot="1" x14ac:dyDescent="0.35">
      <c r="B175" s="41"/>
      <c r="C175" s="35"/>
      <c r="D175" s="121"/>
      <c r="E175" s="121"/>
      <c r="F175" s="121"/>
      <c r="G175" s="121"/>
      <c r="H175" s="121"/>
      <c r="I175" s="121"/>
      <c r="J175" s="162"/>
      <c r="K175" s="163"/>
    </row>
    <row r="176" spans="2:11" ht="15" thickBot="1" x14ac:dyDescent="0.35">
      <c r="B176" s="117">
        <v>66</v>
      </c>
      <c r="C176" s="118"/>
      <c r="D176" s="120">
        <f t="shared" ref="D176" si="252">$N$30</f>
        <v>15.588640673015377</v>
      </c>
      <c r="E176" s="120"/>
      <c r="F176" s="120">
        <f t="shared" ref="F176" si="253">($N$18/12)*J174</f>
        <v>7.412833447877464</v>
      </c>
      <c r="G176" s="120"/>
      <c r="H176" s="120">
        <f t="shared" ref="H176" si="254">D176-F176</f>
        <v>8.1758072251379126</v>
      </c>
      <c r="I176" s="120"/>
      <c r="J176" s="160">
        <f t="shared" ref="J176" si="255">J174-H176</f>
        <v>2687.3999920030305</v>
      </c>
      <c r="K176" s="161"/>
    </row>
    <row r="177" spans="2:11" ht="15" thickBot="1" x14ac:dyDescent="0.35">
      <c r="B177" s="41"/>
      <c r="C177" s="35"/>
      <c r="D177" s="121"/>
      <c r="E177" s="121"/>
      <c r="F177" s="121"/>
      <c r="G177" s="121"/>
      <c r="H177" s="121"/>
      <c r="I177" s="121"/>
      <c r="J177" s="162"/>
      <c r="K177" s="163"/>
    </row>
    <row r="178" spans="2:11" ht="15" thickBot="1" x14ac:dyDescent="0.35">
      <c r="B178" s="117">
        <v>67</v>
      </c>
      <c r="C178" s="118"/>
      <c r="D178" s="120">
        <f t="shared" ref="D178" si="256">$N$30</f>
        <v>15.588640673015377</v>
      </c>
      <c r="E178" s="120"/>
      <c r="F178" s="120">
        <f t="shared" ref="F178" si="257">($N$18/12)*J176</f>
        <v>7.3903499780083344</v>
      </c>
      <c r="G178" s="120"/>
      <c r="H178" s="120">
        <f t="shared" ref="H178" si="258">D178-F178</f>
        <v>8.1982906950070422</v>
      </c>
      <c r="I178" s="120"/>
      <c r="J178" s="160">
        <f t="shared" ref="J178" si="259">J176-H178</f>
        <v>2679.2017013080235</v>
      </c>
      <c r="K178" s="161"/>
    </row>
    <row r="179" spans="2:11" ht="15" thickBot="1" x14ac:dyDescent="0.35">
      <c r="B179" s="41"/>
      <c r="C179" s="35"/>
      <c r="D179" s="121"/>
      <c r="E179" s="121"/>
      <c r="F179" s="121"/>
      <c r="G179" s="121"/>
      <c r="H179" s="121"/>
      <c r="I179" s="121"/>
      <c r="J179" s="162"/>
      <c r="K179" s="163"/>
    </row>
    <row r="180" spans="2:11" ht="15" thickBot="1" x14ac:dyDescent="0.35">
      <c r="B180" s="117">
        <v>68</v>
      </c>
      <c r="C180" s="118"/>
      <c r="D180" s="120">
        <f t="shared" ref="D180" si="260">$N$30</f>
        <v>15.588640673015377</v>
      </c>
      <c r="E180" s="120"/>
      <c r="F180" s="120">
        <f t="shared" ref="F180" si="261">($N$18/12)*J178</f>
        <v>7.3678046785970652</v>
      </c>
      <c r="G180" s="120"/>
      <c r="H180" s="120">
        <f t="shared" ref="H180" si="262">D180-F180</f>
        <v>8.2208359944183123</v>
      </c>
      <c r="I180" s="120"/>
      <c r="J180" s="160">
        <f t="shared" ref="J180" si="263">J178-H180</f>
        <v>2670.9808653136051</v>
      </c>
      <c r="K180" s="161"/>
    </row>
    <row r="181" spans="2:11" ht="15" thickBot="1" x14ac:dyDescent="0.35">
      <c r="B181" s="41"/>
      <c r="C181" s="35"/>
      <c r="D181" s="121"/>
      <c r="E181" s="121"/>
      <c r="F181" s="121"/>
      <c r="G181" s="121"/>
      <c r="H181" s="121"/>
      <c r="I181" s="121"/>
      <c r="J181" s="162"/>
      <c r="K181" s="163"/>
    </row>
    <row r="182" spans="2:11" ht="15" thickBot="1" x14ac:dyDescent="0.35">
      <c r="B182" s="117">
        <v>69</v>
      </c>
      <c r="C182" s="118"/>
      <c r="D182" s="120">
        <f t="shared" ref="D182" si="264">$N$30</f>
        <v>15.588640673015377</v>
      </c>
      <c r="E182" s="120"/>
      <c r="F182" s="120">
        <f t="shared" ref="F182" si="265">($N$18/12)*J180</f>
        <v>7.345197379612415</v>
      </c>
      <c r="G182" s="120"/>
      <c r="H182" s="120">
        <f t="shared" ref="H182" si="266">D182-F182</f>
        <v>8.2434432934029616</v>
      </c>
      <c r="I182" s="120"/>
      <c r="J182" s="160">
        <f t="shared" ref="J182" si="267">J180-H182</f>
        <v>2662.7374220202023</v>
      </c>
      <c r="K182" s="161"/>
    </row>
    <row r="183" spans="2:11" ht="15" thickBot="1" x14ac:dyDescent="0.35">
      <c r="B183" s="41"/>
      <c r="C183" s="35"/>
      <c r="D183" s="121"/>
      <c r="E183" s="121"/>
      <c r="F183" s="121"/>
      <c r="G183" s="121"/>
      <c r="H183" s="121"/>
      <c r="I183" s="121"/>
      <c r="J183" s="162"/>
      <c r="K183" s="163"/>
    </row>
    <row r="184" spans="2:11" ht="15" thickBot="1" x14ac:dyDescent="0.35">
      <c r="B184" s="117">
        <v>70</v>
      </c>
      <c r="C184" s="118"/>
      <c r="D184" s="120">
        <f t="shared" ref="D184" si="268">$N$30</f>
        <v>15.588640673015377</v>
      </c>
      <c r="E184" s="120"/>
      <c r="F184" s="120">
        <f t="shared" ref="F184" si="269">($N$18/12)*J182</f>
        <v>7.3225279105555572</v>
      </c>
      <c r="G184" s="120"/>
      <c r="H184" s="120">
        <f t="shared" ref="H184" si="270">D184-F184</f>
        <v>8.2661127624598194</v>
      </c>
      <c r="I184" s="120"/>
      <c r="J184" s="160">
        <f t="shared" ref="J184" si="271">J182-H184</f>
        <v>2654.4713092577426</v>
      </c>
      <c r="K184" s="161"/>
    </row>
    <row r="185" spans="2:11" ht="15" thickBot="1" x14ac:dyDescent="0.35">
      <c r="B185" s="41"/>
      <c r="C185" s="35"/>
      <c r="D185" s="121"/>
      <c r="E185" s="121"/>
      <c r="F185" s="121"/>
      <c r="G185" s="121"/>
      <c r="H185" s="121"/>
      <c r="I185" s="121"/>
      <c r="J185" s="162"/>
      <c r="K185" s="163"/>
    </row>
    <row r="186" spans="2:11" ht="15" thickBot="1" x14ac:dyDescent="0.35">
      <c r="B186" s="117">
        <v>71</v>
      </c>
      <c r="C186" s="118"/>
      <c r="D186" s="120">
        <f t="shared" ref="D186" si="272">$N$30</f>
        <v>15.588640673015377</v>
      </c>
      <c r="E186" s="120"/>
      <c r="F186" s="120">
        <f t="shared" ref="F186" si="273">($N$18/12)*J184</f>
        <v>7.299796100458793</v>
      </c>
      <c r="G186" s="120"/>
      <c r="H186" s="120">
        <f t="shared" ref="H186" si="274">D186-F186</f>
        <v>8.2888445725565845</v>
      </c>
      <c r="I186" s="120"/>
      <c r="J186" s="160">
        <f t="shared" ref="J186" si="275">J184-H186</f>
        <v>2646.182464685186</v>
      </c>
      <c r="K186" s="161"/>
    </row>
    <row r="187" spans="2:11" ht="15" thickBot="1" x14ac:dyDescent="0.35">
      <c r="B187" s="41"/>
      <c r="C187" s="35"/>
      <c r="D187" s="121"/>
      <c r="E187" s="121"/>
      <c r="F187" s="121"/>
      <c r="G187" s="121"/>
      <c r="H187" s="121"/>
      <c r="I187" s="121"/>
      <c r="J187" s="162"/>
      <c r="K187" s="163"/>
    </row>
    <row r="188" spans="2:11" ht="15" thickBot="1" x14ac:dyDescent="0.35">
      <c r="B188" s="117">
        <v>72</v>
      </c>
      <c r="C188" s="118"/>
      <c r="D188" s="120">
        <f t="shared" ref="D188" si="276">$N$30</f>
        <v>15.588640673015377</v>
      </c>
      <c r="E188" s="120"/>
      <c r="F188" s="120">
        <f t="shared" ref="F188" si="277">($N$18/12)*J186</f>
        <v>7.2770017778842622</v>
      </c>
      <c r="G188" s="120"/>
      <c r="H188" s="120">
        <f t="shared" ref="H188" si="278">D188-F188</f>
        <v>8.3116388951311144</v>
      </c>
      <c r="I188" s="120"/>
      <c r="J188" s="160">
        <f t="shared" ref="J188" si="279">J186-H188</f>
        <v>2637.8708257900548</v>
      </c>
      <c r="K188" s="161"/>
    </row>
    <row r="189" spans="2:11" ht="15" thickBot="1" x14ac:dyDescent="0.35">
      <c r="B189" s="41"/>
      <c r="C189" s="35"/>
      <c r="D189" s="121"/>
      <c r="E189" s="121"/>
      <c r="F189" s="121"/>
      <c r="G189" s="121"/>
      <c r="H189" s="121"/>
      <c r="I189" s="121"/>
      <c r="J189" s="162"/>
      <c r="K189" s="163"/>
    </row>
    <row r="190" spans="2:11" ht="15" thickBot="1" x14ac:dyDescent="0.35">
      <c r="B190" s="117">
        <v>73</v>
      </c>
      <c r="C190" s="118"/>
      <c r="D190" s="120">
        <f t="shared" ref="D190" si="280">$N$30</f>
        <v>15.588640673015377</v>
      </c>
      <c r="E190" s="120"/>
      <c r="F190" s="120">
        <f t="shared" ref="F190" si="281">($N$18/12)*J188</f>
        <v>7.2541447709226512</v>
      </c>
      <c r="G190" s="120"/>
      <c r="H190" s="120">
        <f t="shared" ref="H190" si="282">D190-F190</f>
        <v>8.3344959020927263</v>
      </c>
      <c r="I190" s="120"/>
      <c r="J190" s="160">
        <f t="shared" ref="J190" si="283">J188-H190</f>
        <v>2629.536329887962</v>
      </c>
      <c r="K190" s="161"/>
    </row>
    <row r="191" spans="2:11" ht="15" thickBot="1" x14ac:dyDescent="0.35">
      <c r="B191" s="41"/>
      <c r="C191" s="35"/>
      <c r="D191" s="121"/>
      <c r="E191" s="121"/>
      <c r="F191" s="121"/>
      <c r="G191" s="121"/>
      <c r="H191" s="121"/>
      <c r="I191" s="121"/>
      <c r="J191" s="162"/>
      <c r="K191" s="163"/>
    </row>
    <row r="192" spans="2:11" ht="15" thickBot="1" x14ac:dyDescent="0.35">
      <c r="B192" s="117">
        <v>74</v>
      </c>
      <c r="C192" s="118"/>
      <c r="D192" s="120">
        <f t="shared" ref="D192" si="284">$N$30</f>
        <v>15.588640673015377</v>
      </c>
      <c r="E192" s="120"/>
      <c r="F192" s="120">
        <f t="shared" ref="F192" si="285">($N$18/12)*J190</f>
        <v>7.2312249071918959</v>
      </c>
      <c r="G192" s="120"/>
      <c r="H192" s="120">
        <f t="shared" ref="H192" si="286">D192-F192</f>
        <v>8.3574157658234807</v>
      </c>
      <c r="I192" s="120"/>
      <c r="J192" s="160">
        <f t="shared" ref="J192" si="287">J190-H192</f>
        <v>2621.1789141221384</v>
      </c>
      <c r="K192" s="161"/>
    </row>
    <row r="193" spans="2:11" ht="15" thickBot="1" x14ac:dyDescent="0.35">
      <c r="B193" s="41"/>
      <c r="C193" s="35"/>
      <c r="D193" s="121"/>
      <c r="E193" s="121"/>
      <c r="F193" s="121"/>
      <c r="G193" s="121"/>
      <c r="H193" s="121"/>
      <c r="I193" s="121"/>
      <c r="J193" s="162"/>
      <c r="K193" s="163"/>
    </row>
    <row r="194" spans="2:11" ht="15" thickBot="1" x14ac:dyDescent="0.35">
      <c r="B194" s="117">
        <v>75</v>
      </c>
      <c r="C194" s="118"/>
      <c r="D194" s="120">
        <f t="shared" ref="D194" si="288">$N$30</f>
        <v>15.588640673015377</v>
      </c>
      <c r="E194" s="120"/>
      <c r="F194" s="120">
        <f t="shared" ref="F194" si="289">($N$18/12)*J192</f>
        <v>7.2082420138358811</v>
      </c>
      <c r="G194" s="120"/>
      <c r="H194" s="120">
        <f t="shared" ref="H194" si="290">D194-F194</f>
        <v>8.3803986591794946</v>
      </c>
      <c r="I194" s="120"/>
      <c r="J194" s="120">
        <f t="shared" ref="J194" si="291">J192-H194</f>
        <v>2612.7985154629587</v>
      </c>
      <c r="K194" s="122"/>
    </row>
    <row r="195" spans="2:11" ht="15" thickBot="1" x14ac:dyDescent="0.35">
      <c r="B195" s="41"/>
      <c r="C195" s="35"/>
      <c r="D195" s="121"/>
      <c r="E195" s="121"/>
      <c r="F195" s="121"/>
      <c r="G195" s="121"/>
      <c r="H195" s="121"/>
      <c r="I195" s="121"/>
      <c r="J195" s="121"/>
      <c r="K195" s="123"/>
    </row>
    <row r="196" spans="2:11" ht="15" thickBot="1" x14ac:dyDescent="0.35">
      <c r="B196" s="117">
        <v>76</v>
      </c>
      <c r="C196" s="118"/>
      <c r="D196" s="120">
        <f t="shared" ref="D196" si="292">$N$30</f>
        <v>15.588640673015377</v>
      </c>
      <c r="E196" s="120"/>
      <c r="F196" s="120">
        <f t="shared" ref="F196" si="293">($N$18/12)*J194</f>
        <v>7.1851959175231368</v>
      </c>
      <c r="G196" s="120"/>
      <c r="H196" s="120">
        <f t="shared" ref="H196" si="294">D196-F196</f>
        <v>8.4034447554922398</v>
      </c>
      <c r="I196" s="120"/>
      <c r="J196" s="120">
        <f t="shared" ref="J196" si="295">J194-H196</f>
        <v>2604.3950707074664</v>
      </c>
      <c r="K196" s="122"/>
    </row>
    <row r="197" spans="2:11" ht="15" thickBot="1" x14ac:dyDescent="0.35">
      <c r="B197" s="41"/>
      <c r="C197" s="35"/>
      <c r="D197" s="121"/>
      <c r="E197" s="121"/>
      <c r="F197" s="121"/>
      <c r="G197" s="121"/>
      <c r="H197" s="121"/>
      <c r="I197" s="121"/>
      <c r="J197" s="121"/>
      <c r="K197" s="123"/>
    </row>
    <row r="198" spans="2:11" ht="15" thickBot="1" x14ac:dyDescent="0.35">
      <c r="B198" s="117">
        <v>77</v>
      </c>
      <c r="C198" s="118"/>
      <c r="D198" s="120">
        <f t="shared" ref="D198" si="296">$N$30</f>
        <v>15.588640673015377</v>
      </c>
      <c r="E198" s="120"/>
      <c r="F198" s="120">
        <f t="shared" ref="F198" si="297">($N$18/12)*J196</f>
        <v>7.1620864444455332</v>
      </c>
      <c r="G198" s="120"/>
      <c r="H198" s="120">
        <f t="shared" ref="H198" si="298">D198-F198</f>
        <v>8.4265542285698434</v>
      </c>
      <c r="I198" s="120"/>
      <c r="J198" s="120">
        <f t="shared" ref="J198" si="299">J196-H198</f>
        <v>2595.9685164788966</v>
      </c>
      <c r="K198" s="122"/>
    </row>
    <row r="199" spans="2:11" ht="15" thickBot="1" x14ac:dyDescent="0.35">
      <c r="B199" s="41"/>
      <c r="C199" s="35"/>
      <c r="D199" s="121"/>
      <c r="E199" s="121"/>
      <c r="F199" s="121"/>
      <c r="G199" s="121"/>
      <c r="H199" s="121"/>
      <c r="I199" s="121"/>
      <c r="J199" s="121"/>
      <c r="K199" s="123"/>
    </row>
    <row r="200" spans="2:11" ht="15" thickBot="1" x14ac:dyDescent="0.35">
      <c r="B200" s="117">
        <v>78</v>
      </c>
      <c r="C200" s="118"/>
      <c r="D200" s="120">
        <f t="shared" ref="D200" si="300">$N$30</f>
        <v>15.588640673015377</v>
      </c>
      <c r="E200" s="120"/>
      <c r="F200" s="120">
        <f t="shared" ref="F200" si="301">($N$18/12)*J198</f>
        <v>7.1389134203169666</v>
      </c>
      <c r="G200" s="120"/>
      <c r="H200" s="120">
        <f t="shared" ref="H200" si="302">D200-F200</f>
        <v>8.4497272526984091</v>
      </c>
      <c r="I200" s="120"/>
      <c r="J200" s="120">
        <f t="shared" ref="J200" si="303">J198-H200</f>
        <v>2587.5187892261984</v>
      </c>
      <c r="K200" s="122"/>
    </row>
    <row r="201" spans="2:11" ht="15" thickBot="1" x14ac:dyDescent="0.35">
      <c r="B201" s="41"/>
      <c r="C201" s="35"/>
      <c r="D201" s="121"/>
      <c r="E201" s="121"/>
      <c r="F201" s="121"/>
      <c r="G201" s="121"/>
      <c r="H201" s="121"/>
      <c r="I201" s="121"/>
      <c r="J201" s="121"/>
      <c r="K201" s="123"/>
    </row>
    <row r="202" spans="2:11" ht="15" thickBot="1" x14ac:dyDescent="0.35">
      <c r="B202" s="117">
        <v>79</v>
      </c>
      <c r="C202" s="118"/>
      <c r="D202" s="120">
        <f t="shared" ref="D202" si="304">$N$30</f>
        <v>15.588640673015377</v>
      </c>
      <c r="E202" s="120"/>
      <c r="F202" s="120">
        <f t="shared" ref="F202" si="305">($N$18/12)*J200</f>
        <v>7.1156766703720464</v>
      </c>
      <c r="G202" s="120"/>
      <c r="H202" s="120">
        <f t="shared" ref="H202" si="306">D202-F202</f>
        <v>8.4729640026433302</v>
      </c>
      <c r="I202" s="120"/>
      <c r="J202" s="120">
        <f t="shared" ref="J202" si="307">J200-H202</f>
        <v>2579.0458252235549</v>
      </c>
      <c r="K202" s="122"/>
    </row>
    <row r="203" spans="2:11" ht="15" thickBot="1" x14ac:dyDescent="0.35">
      <c r="B203" s="41"/>
      <c r="C203" s="35"/>
      <c r="D203" s="121"/>
      <c r="E203" s="121"/>
      <c r="F203" s="121"/>
      <c r="G203" s="121"/>
      <c r="H203" s="121"/>
      <c r="I203" s="121"/>
      <c r="J203" s="121"/>
      <c r="K203" s="123"/>
    </row>
    <row r="204" spans="2:11" ht="15" thickBot="1" x14ac:dyDescent="0.35">
      <c r="B204" s="117">
        <v>80</v>
      </c>
      <c r="C204" s="118"/>
      <c r="D204" s="120">
        <f t="shared" ref="D204" si="308">$N$30</f>
        <v>15.588640673015377</v>
      </c>
      <c r="E204" s="120"/>
      <c r="F204" s="120">
        <f t="shared" ref="F204" si="309">($N$18/12)*J202</f>
        <v>7.0923760193647762</v>
      </c>
      <c r="G204" s="120"/>
      <c r="H204" s="120">
        <f t="shared" ref="H204" si="310">D204-F204</f>
        <v>8.4962646536506004</v>
      </c>
      <c r="I204" s="120"/>
      <c r="J204" s="120">
        <f t="shared" ref="J204" si="311">J202-H204</f>
        <v>2570.5495605699043</v>
      </c>
      <c r="K204" s="122"/>
    </row>
    <row r="205" spans="2:11" ht="15" thickBot="1" x14ac:dyDescent="0.35">
      <c r="B205" s="41"/>
      <c r="C205" s="35"/>
      <c r="D205" s="121"/>
      <c r="E205" s="121"/>
      <c r="F205" s="121"/>
      <c r="G205" s="121"/>
      <c r="H205" s="121"/>
      <c r="I205" s="121"/>
      <c r="J205" s="121"/>
      <c r="K205" s="123"/>
    </row>
    <row r="206" spans="2:11" ht="15" thickBot="1" x14ac:dyDescent="0.35">
      <c r="B206" s="117">
        <v>81</v>
      </c>
      <c r="C206" s="118"/>
      <c r="D206" s="120">
        <f t="shared" ref="D206" si="312">$N$30</f>
        <v>15.588640673015377</v>
      </c>
      <c r="E206" s="120"/>
      <c r="F206" s="120">
        <f t="shared" ref="F206" si="313">($N$18/12)*J204</f>
        <v>7.0690112915672376</v>
      </c>
      <c r="G206" s="120"/>
      <c r="H206" s="120">
        <f t="shared" ref="H206" si="314">D206-F206</f>
        <v>8.519629381448139</v>
      </c>
      <c r="I206" s="120"/>
      <c r="J206" s="120">
        <f t="shared" ref="J206" si="315">J204-H206</f>
        <v>2562.029931188456</v>
      </c>
      <c r="K206" s="122"/>
    </row>
    <row r="207" spans="2:11" ht="15" thickBot="1" x14ac:dyDescent="0.35">
      <c r="B207" s="41"/>
      <c r="C207" s="35"/>
      <c r="D207" s="121"/>
      <c r="E207" s="121"/>
      <c r="F207" s="121"/>
      <c r="G207" s="121"/>
      <c r="H207" s="121"/>
      <c r="I207" s="121"/>
      <c r="J207" s="121"/>
      <c r="K207" s="123"/>
    </row>
    <row r="208" spans="2:11" ht="15" thickBot="1" x14ac:dyDescent="0.35">
      <c r="B208" s="117">
        <v>82</v>
      </c>
      <c r="C208" s="118"/>
      <c r="D208" s="120">
        <f t="shared" ref="D208" si="316">$N$30</f>
        <v>15.588640673015377</v>
      </c>
      <c r="E208" s="120"/>
      <c r="F208" s="120">
        <f t="shared" ref="F208" si="317">($N$18/12)*J206</f>
        <v>7.0455823107682543</v>
      </c>
      <c r="G208" s="120"/>
      <c r="H208" s="120">
        <f t="shared" ref="H208" si="318">D208-F208</f>
        <v>8.5430583622471232</v>
      </c>
      <c r="I208" s="120"/>
      <c r="J208" s="120">
        <f t="shared" ref="J208" si="319">J206-H208</f>
        <v>2553.486872826209</v>
      </c>
      <c r="K208" s="122"/>
    </row>
    <row r="209" spans="2:11" ht="15" thickBot="1" x14ac:dyDescent="0.35">
      <c r="B209" s="41"/>
      <c r="C209" s="35"/>
      <c r="D209" s="121"/>
      <c r="E209" s="121"/>
      <c r="F209" s="121"/>
      <c r="G209" s="121"/>
      <c r="H209" s="121"/>
      <c r="I209" s="121"/>
      <c r="J209" s="121"/>
      <c r="K209" s="123"/>
    </row>
    <row r="210" spans="2:11" ht="15" thickBot="1" x14ac:dyDescent="0.35">
      <c r="B210" s="117">
        <v>83</v>
      </c>
      <c r="C210" s="118"/>
      <c r="D210" s="120">
        <f t="shared" ref="D210" si="320">$N$30</f>
        <v>15.588640673015377</v>
      </c>
      <c r="E210" s="120"/>
      <c r="F210" s="120">
        <f t="shared" ref="F210" si="321">($N$18/12)*J208</f>
        <v>7.0220889002720757</v>
      </c>
      <c r="G210" s="120"/>
      <c r="H210" s="120">
        <f t="shared" ref="H210" si="322">D210-F210</f>
        <v>8.5665517727433009</v>
      </c>
      <c r="I210" s="120"/>
      <c r="J210" s="120">
        <f t="shared" ref="J210" si="323">J208-H210</f>
        <v>2544.9203210534656</v>
      </c>
      <c r="K210" s="122"/>
    </row>
    <row r="211" spans="2:11" ht="15" thickBot="1" x14ac:dyDescent="0.35">
      <c r="B211" s="41"/>
      <c r="C211" s="35"/>
      <c r="D211" s="121"/>
      <c r="E211" s="121"/>
      <c r="F211" s="121"/>
      <c r="G211" s="121"/>
      <c r="H211" s="121"/>
      <c r="I211" s="121"/>
      <c r="J211" s="121"/>
      <c r="K211" s="123"/>
    </row>
    <row r="212" spans="2:11" ht="15" thickBot="1" x14ac:dyDescent="0.35">
      <c r="B212" s="117">
        <v>84</v>
      </c>
      <c r="C212" s="118"/>
      <c r="D212" s="120">
        <f t="shared" ref="D212" si="324">$N$30</f>
        <v>15.588640673015377</v>
      </c>
      <c r="E212" s="120"/>
      <c r="F212" s="120">
        <f t="shared" ref="F212" si="325">($N$18/12)*J210</f>
        <v>6.9985308828970307</v>
      </c>
      <c r="G212" s="120"/>
      <c r="H212" s="120">
        <f t="shared" ref="H212" si="326">D212-F212</f>
        <v>8.5901097901183459</v>
      </c>
      <c r="I212" s="120"/>
      <c r="J212" s="120">
        <f t="shared" ref="J212" si="327">J210-H212</f>
        <v>2536.3302112633473</v>
      </c>
      <c r="K212" s="122"/>
    </row>
    <row r="213" spans="2:11" ht="15" thickBot="1" x14ac:dyDescent="0.35">
      <c r="B213" s="41"/>
      <c r="C213" s="35"/>
      <c r="D213" s="121"/>
      <c r="E213" s="121"/>
      <c r="F213" s="121"/>
      <c r="G213" s="121"/>
      <c r="H213" s="121"/>
      <c r="I213" s="121"/>
      <c r="J213" s="121"/>
      <c r="K213" s="123"/>
    </row>
    <row r="214" spans="2:11" ht="15" thickBot="1" x14ac:dyDescent="0.35">
      <c r="B214" s="117">
        <v>85</v>
      </c>
      <c r="C214" s="118"/>
      <c r="D214" s="120">
        <f t="shared" ref="D214" si="328">$N$30</f>
        <v>15.588640673015377</v>
      </c>
      <c r="E214" s="120"/>
      <c r="F214" s="120">
        <f t="shared" ref="F214" si="329">($N$18/12)*J212</f>
        <v>6.9749080809742061</v>
      </c>
      <c r="G214" s="120"/>
      <c r="H214" s="120">
        <f t="shared" ref="H214" si="330">D214-F214</f>
        <v>8.6137325920411705</v>
      </c>
      <c r="I214" s="120"/>
      <c r="J214" s="120">
        <f t="shared" ref="J214" si="331">J212-H214</f>
        <v>2527.716478671306</v>
      </c>
      <c r="K214" s="122"/>
    </row>
    <row r="215" spans="2:11" ht="15" thickBot="1" x14ac:dyDescent="0.35">
      <c r="B215" s="41"/>
      <c r="C215" s="35"/>
      <c r="D215" s="121"/>
      <c r="E215" s="121"/>
      <c r="F215" s="121"/>
      <c r="G215" s="121"/>
      <c r="H215" s="121"/>
      <c r="I215" s="121"/>
      <c r="J215" s="121"/>
      <c r="K215" s="123"/>
    </row>
    <row r="216" spans="2:11" ht="15" thickBot="1" x14ac:dyDescent="0.35">
      <c r="B216" s="117">
        <v>86</v>
      </c>
      <c r="C216" s="118"/>
      <c r="D216" s="120">
        <f t="shared" ref="D216" si="332">$N$30</f>
        <v>15.588640673015377</v>
      </c>
      <c r="E216" s="120"/>
      <c r="F216" s="120">
        <f t="shared" ref="F216" si="333">($N$18/12)*J214</f>
        <v>6.9512203163460926</v>
      </c>
      <c r="G216" s="120"/>
      <c r="H216" s="120">
        <f t="shared" ref="H216" si="334">D216-F216</f>
        <v>8.6374203566692849</v>
      </c>
      <c r="I216" s="120"/>
      <c r="J216" s="120">
        <f t="shared" ref="J216" si="335">J214-H216</f>
        <v>2519.0790583146368</v>
      </c>
      <c r="K216" s="122"/>
    </row>
    <row r="217" spans="2:11" ht="15" thickBot="1" x14ac:dyDescent="0.35">
      <c r="B217" s="41"/>
      <c r="C217" s="35"/>
      <c r="D217" s="121"/>
      <c r="E217" s="121"/>
      <c r="F217" s="121"/>
      <c r="G217" s="121"/>
      <c r="H217" s="121"/>
      <c r="I217" s="121"/>
      <c r="J217" s="121"/>
      <c r="K217" s="123"/>
    </row>
    <row r="218" spans="2:11" ht="15" thickBot="1" x14ac:dyDescent="0.35">
      <c r="B218" s="117">
        <v>87</v>
      </c>
      <c r="C218" s="118"/>
      <c r="D218" s="120">
        <f t="shared" ref="D218" si="336">$N$30</f>
        <v>15.588640673015377</v>
      </c>
      <c r="E218" s="120"/>
      <c r="F218" s="120">
        <f t="shared" ref="F218" si="337">($N$18/12)*J216</f>
        <v>6.927467410365252</v>
      </c>
      <c r="G218" s="120"/>
      <c r="H218" s="120">
        <f t="shared" ref="H218" si="338">D218-F218</f>
        <v>8.6611732626501237</v>
      </c>
      <c r="I218" s="120"/>
      <c r="J218" s="120">
        <f t="shared" ref="J218" si="339">J216-H218</f>
        <v>2510.4178850519866</v>
      </c>
      <c r="K218" s="122"/>
    </row>
    <row r="219" spans="2:11" ht="15" thickBot="1" x14ac:dyDescent="0.35">
      <c r="B219" s="41"/>
      <c r="C219" s="35"/>
      <c r="D219" s="121"/>
      <c r="E219" s="121"/>
      <c r="F219" s="121"/>
      <c r="G219" s="121"/>
      <c r="H219" s="121"/>
      <c r="I219" s="121"/>
      <c r="J219" s="121"/>
      <c r="K219" s="123"/>
    </row>
    <row r="220" spans="2:11" ht="15" thickBot="1" x14ac:dyDescent="0.35">
      <c r="B220" s="117">
        <v>88</v>
      </c>
      <c r="C220" s="118"/>
      <c r="D220" s="120">
        <f t="shared" ref="D220" si="340">$N$30</f>
        <v>15.588640673015377</v>
      </c>
      <c r="E220" s="120"/>
      <c r="F220" s="120">
        <f t="shared" ref="F220" si="341">($N$18/12)*J218</f>
        <v>6.9036491838929637</v>
      </c>
      <c r="G220" s="120"/>
      <c r="H220" s="120">
        <f t="shared" ref="H220" si="342">D220-F220</f>
        <v>8.6849914891224138</v>
      </c>
      <c r="I220" s="120"/>
      <c r="J220" s="120">
        <f t="shared" ref="J220" si="343">J218-H220</f>
        <v>2501.7328935628643</v>
      </c>
      <c r="K220" s="122"/>
    </row>
    <row r="221" spans="2:11" ht="15" thickBot="1" x14ac:dyDescent="0.35">
      <c r="B221" s="41"/>
      <c r="C221" s="35"/>
      <c r="D221" s="121"/>
      <c r="E221" s="121"/>
      <c r="F221" s="121"/>
      <c r="G221" s="121"/>
      <c r="H221" s="121"/>
      <c r="I221" s="121"/>
      <c r="J221" s="121"/>
      <c r="K221" s="123"/>
    </row>
    <row r="222" spans="2:11" ht="15" thickBot="1" x14ac:dyDescent="0.35">
      <c r="B222" s="117">
        <v>89</v>
      </c>
      <c r="C222" s="118"/>
      <c r="D222" s="120">
        <f t="shared" ref="D222" si="344">$N$30</f>
        <v>15.588640673015377</v>
      </c>
      <c r="E222" s="120"/>
      <c r="F222" s="120">
        <f t="shared" ref="F222" si="345">($N$18/12)*J220</f>
        <v>6.8797654572978777</v>
      </c>
      <c r="G222" s="120"/>
      <c r="H222" s="120">
        <f t="shared" ref="H222" si="346">D222-F222</f>
        <v>8.708875215717498</v>
      </c>
      <c r="I222" s="120"/>
      <c r="J222" s="120">
        <f t="shared" ref="J222" si="347">J220-H222</f>
        <v>2493.0240183471469</v>
      </c>
      <c r="K222" s="122"/>
    </row>
    <row r="223" spans="2:11" ht="15" thickBot="1" x14ac:dyDescent="0.35">
      <c r="B223" s="41"/>
      <c r="C223" s="35"/>
      <c r="D223" s="121"/>
      <c r="E223" s="121"/>
      <c r="F223" s="121"/>
      <c r="G223" s="121"/>
      <c r="H223" s="121"/>
      <c r="I223" s="121"/>
      <c r="J223" s="121"/>
      <c r="K223" s="123"/>
    </row>
    <row r="224" spans="2:11" ht="15" thickBot="1" x14ac:dyDescent="0.35">
      <c r="B224" s="117">
        <v>90</v>
      </c>
      <c r="C224" s="118"/>
      <c r="D224" s="120">
        <f t="shared" ref="D224" si="348">$N$30</f>
        <v>15.588640673015377</v>
      </c>
      <c r="E224" s="120"/>
      <c r="F224" s="120">
        <f t="shared" ref="F224" si="349">($N$18/12)*J222</f>
        <v>6.8558160504546546</v>
      </c>
      <c r="G224" s="120"/>
      <c r="H224" s="120">
        <f t="shared" ref="H224" si="350">D224-F224</f>
        <v>8.732824622560722</v>
      </c>
      <c r="I224" s="120"/>
      <c r="J224" s="120">
        <f t="shared" ref="J224" si="351">J222-H224</f>
        <v>2484.2911937245863</v>
      </c>
      <c r="K224" s="122"/>
    </row>
    <row r="225" spans="2:11" ht="15" thickBot="1" x14ac:dyDescent="0.35">
      <c r="B225" s="41"/>
      <c r="C225" s="35"/>
      <c r="D225" s="121"/>
      <c r="E225" s="121"/>
      <c r="F225" s="121"/>
      <c r="G225" s="121"/>
      <c r="H225" s="121"/>
      <c r="I225" s="121"/>
      <c r="J225" s="121"/>
      <c r="K225" s="123"/>
    </row>
    <row r="226" spans="2:11" ht="15" thickBot="1" x14ac:dyDescent="0.35">
      <c r="B226" s="117">
        <v>91</v>
      </c>
      <c r="C226" s="118"/>
      <c r="D226" s="120">
        <f t="shared" ref="D226" si="352">$N$30</f>
        <v>15.588640673015377</v>
      </c>
      <c r="E226" s="120"/>
      <c r="F226" s="120">
        <f t="shared" ref="F226" si="353">($N$18/12)*J224</f>
        <v>6.8318007827426133</v>
      </c>
      <c r="G226" s="120"/>
      <c r="H226" s="120">
        <f t="shared" ref="H226" si="354">D226-F226</f>
        <v>8.7568398902727633</v>
      </c>
      <c r="I226" s="120"/>
      <c r="J226" s="120">
        <f t="shared" ref="J226" si="355">J224-H226</f>
        <v>2475.5343538343136</v>
      </c>
      <c r="K226" s="122"/>
    </row>
    <row r="227" spans="2:11" ht="15" thickBot="1" x14ac:dyDescent="0.35">
      <c r="B227" s="41"/>
      <c r="C227" s="35"/>
      <c r="D227" s="121"/>
      <c r="E227" s="121"/>
      <c r="F227" s="121"/>
      <c r="G227" s="121"/>
      <c r="H227" s="121"/>
      <c r="I227" s="121"/>
      <c r="J227" s="121"/>
      <c r="K227" s="123"/>
    </row>
    <row r="228" spans="2:11" ht="15" thickBot="1" x14ac:dyDescent="0.35">
      <c r="B228" s="117">
        <v>92</v>
      </c>
      <c r="C228" s="118"/>
      <c r="D228" s="120">
        <f t="shared" ref="D228" si="356">$N$30</f>
        <v>15.588640673015377</v>
      </c>
      <c r="E228" s="120"/>
      <c r="F228" s="120">
        <f t="shared" ref="F228" si="357">($N$18/12)*J226</f>
        <v>6.8077194730443633</v>
      </c>
      <c r="G228" s="120"/>
      <c r="H228" s="120">
        <f t="shared" ref="H228" si="358">D228-F228</f>
        <v>8.7809211999710133</v>
      </c>
      <c r="I228" s="120"/>
      <c r="J228" s="120">
        <f t="shared" ref="J228" si="359">J226-H228</f>
        <v>2466.7534326343425</v>
      </c>
      <c r="K228" s="122"/>
    </row>
    <row r="229" spans="2:11" ht="15" thickBot="1" x14ac:dyDescent="0.35">
      <c r="B229" s="41"/>
      <c r="C229" s="35"/>
      <c r="D229" s="121"/>
      <c r="E229" s="121"/>
      <c r="F229" s="121"/>
      <c r="G229" s="121"/>
      <c r="H229" s="121"/>
      <c r="I229" s="121"/>
      <c r="J229" s="121"/>
      <c r="K229" s="123"/>
    </row>
    <row r="230" spans="2:11" ht="15" thickBot="1" x14ac:dyDescent="0.35">
      <c r="B230" s="117">
        <v>93</v>
      </c>
      <c r="C230" s="118"/>
      <c r="D230" s="120">
        <f t="shared" ref="D230" si="360">$N$30</f>
        <v>15.588640673015377</v>
      </c>
      <c r="E230" s="120"/>
      <c r="F230" s="120">
        <f t="shared" ref="F230" si="361">($N$18/12)*J228</f>
        <v>6.7835719397444425</v>
      </c>
      <c r="G230" s="120"/>
      <c r="H230" s="120">
        <f t="shared" ref="H230" si="362">D230-F230</f>
        <v>8.8050687332709341</v>
      </c>
      <c r="I230" s="120"/>
      <c r="J230" s="120">
        <f t="shared" ref="J230" si="363">J228-H230</f>
        <v>2457.9483639010714</v>
      </c>
      <c r="K230" s="122"/>
    </row>
    <row r="231" spans="2:11" ht="15" thickBot="1" x14ac:dyDescent="0.35">
      <c r="B231" s="41"/>
      <c r="C231" s="35"/>
      <c r="D231" s="121"/>
      <c r="E231" s="121"/>
      <c r="F231" s="121"/>
      <c r="G231" s="121"/>
      <c r="H231" s="121"/>
      <c r="I231" s="121"/>
      <c r="J231" s="121"/>
      <c r="K231" s="123"/>
    </row>
    <row r="232" spans="2:11" ht="15" thickBot="1" x14ac:dyDescent="0.35">
      <c r="B232" s="117">
        <v>94</v>
      </c>
      <c r="C232" s="118"/>
      <c r="D232" s="120">
        <f t="shared" ref="D232" si="364">$N$30</f>
        <v>15.588640673015377</v>
      </c>
      <c r="E232" s="120"/>
      <c r="F232" s="120">
        <f t="shared" ref="F232" si="365">($N$18/12)*J230</f>
        <v>6.7593580007279472</v>
      </c>
      <c r="G232" s="120"/>
      <c r="H232" s="120">
        <f t="shared" ref="H232" si="366">D232-F232</f>
        <v>8.8292826722874302</v>
      </c>
      <c r="I232" s="120"/>
      <c r="J232" s="120">
        <f t="shared" ref="J232" si="367">J230-H232</f>
        <v>2449.1190812287841</v>
      </c>
      <c r="K232" s="122"/>
    </row>
    <row r="233" spans="2:11" ht="15" thickBot="1" x14ac:dyDescent="0.35">
      <c r="B233" s="41"/>
      <c r="C233" s="35"/>
      <c r="D233" s="121"/>
      <c r="E233" s="121"/>
      <c r="F233" s="121"/>
      <c r="G233" s="121"/>
      <c r="H233" s="121"/>
      <c r="I233" s="121"/>
      <c r="J233" s="121"/>
      <c r="K233" s="123"/>
    </row>
    <row r="234" spans="2:11" ht="15" thickBot="1" x14ac:dyDescent="0.35">
      <c r="B234" s="117">
        <v>95</v>
      </c>
      <c r="C234" s="118"/>
      <c r="D234" s="120">
        <f t="shared" ref="D234" si="368">$N$30</f>
        <v>15.588640673015377</v>
      </c>
      <c r="E234" s="120"/>
      <c r="F234" s="120">
        <f t="shared" ref="F234" si="369">($N$18/12)*J232</f>
        <v>6.7350774733791567</v>
      </c>
      <c r="G234" s="120"/>
      <c r="H234" s="120">
        <f t="shared" ref="H234" si="370">D234-F234</f>
        <v>8.8535631996362198</v>
      </c>
      <c r="I234" s="120"/>
      <c r="J234" s="120">
        <f t="shared" ref="J234" si="371">J232-H234</f>
        <v>2440.2655180291481</v>
      </c>
      <c r="K234" s="122"/>
    </row>
    <row r="235" spans="2:11" ht="15" thickBot="1" x14ac:dyDescent="0.35">
      <c r="B235" s="41"/>
      <c r="C235" s="35"/>
      <c r="D235" s="121"/>
      <c r="E235" s="121"/>
      <c r="F235" s="121"/>
      <c r="G235" s="121"/>
      <c r="H235" s="121"/>
      <c r="I235" s="121"/>
      <c r="J235" s="121"/>
      <c r="K235" s="123"/>
    </row>
    <row r="236" spans="2:11" ht="15" thickBot="1" x14ac:dyDescent="0.35">
      <c r="B236" s="117">
        <v>96</v>
      </c>
      <c r="C236" s="118"/>
      <c r="D236" s="120">
        <f t="shared" ref="D236" si="372">$N$30</f>
        <v>15.588640673015377</v>
      </c>
      <c r="E236" s="120"/>
      <c r="F236" s="120">
        <f t="shared" ref="F236" si="373">($N$18/12)*J234</f>
        <v>6.7107301745801582</v>
      </c>
      <c r="G236" s="120"/>
      <c r="H236" s="120">
        <f t="shared" ref="H236" si="374">D236-F236</f>
        <v>8.8779104984352184</v>
      </c>
      <c r="I236" s="120"/>
      <c r="J236" s="120">
        <f t="shared" ref="J236" si="375">J234-H236</f>
        <v>2431.387607530713</v>
      </c>
      <c r="K236" s="122"/>
    </row>
    <row r="237" spans="2:11" ht="15" thickBot="1" x14ac:dyDescent="0.35">
      <c r="B237" s="41"/>
      <c r="C237" s="35"/>
      <c r="D237" s="121"/>
      <c r="E237" s="121"/>
      <c r="F237" s="121"/>
      <c r="G237" s="121"/>
      <c r="H237" s="121"/>
      <c r="I237" s="121"/>
      <c r="J237" s="121"/>
      <c r="K237" s="123"/>
    </row>
    <row r="238" spans="2:11" ht="15" thickBot="1" x14ac:dyDescent="0.35">
      <c r="B238" s="117">
        <v>97</v>
      </c>
      <c r="C238" s="118"/>
      <c r="D238" s="120">
        <f t="shared" ref="D238" si="376">$N$30</f>
        <v>15.588640673015377</v>
      </c>
      <c r="E238" s="120"/>
      <c r="F238" s="120">
        <f t="shared" ref="F238" si="377">($N$18/12)*J236</f>
        <v>6.6863159207094611</v>
      </c>
      <c r="G238" s="120"/>
      <c r="H238" s="120">
        <f t="shared" ref="H238" si="378">D238-F238</f>
        <v>8.9023247523059155</v>
      </c>
      <c r="I238" s="120"/>
      <c r="J238" s="120">
        <f t="shared" ref="J238" si="379">J236-H238</f>
        <v>2422.4852827784071</v>
      </c>
      <c r="K238" s="122"/>
    </row>
    <row r="239" spans="2:11" ht="15" thickBot="1" x14ac:dyDescent="0.35">
      <c r="B239" s="41"/>
      <c r="C239" s="35"/>
      <c r="D239" s="121"/>
      <c r="E239" s="121"/>
      <c r="F239" s="121"/>
      <c r="G239" s="121"/>
      <c r="H239" s="121"/>
      <c r="I239" s="121"/>
      <c r="J239" s="121"/>
      <c r="K239" s="123"/>
    </row>
    <row r="240" spans="2:11" ht="15" thickBot="1" x14ac:dyDescent="0.35">
      <c r="B240" s="117">
        <v>98</v>
      </c>
      <c r="C240" s="118"/>
      <c r="D240" s="120">
        <f t="shared" ref="D240" si="380">$N$30</f>
        <v>15.588640673015377</v>
      </c>
      <c r="E240" s="120"/>
      <c r="F240" s="120">
        <f t="shared" ref="F240" si="381">($N$18/12)*J238</f>
        <v>6.6618345276406199</v>
      </c>
      <c r="G240" s="120"/>
      <c r="H240" s="120">
        <f t="shared" ref="H240" si="382">D240-F240</f>
        <v>8.9268061453747567</v>
      </c>
      <c r="I240" s="120"/>
      <c r="J240" s="120">
        <f t="shared" ref="J240" si="383">J238-H240</f>
        <v>2413.5584766330321</v>
      </c>
      <c r="K240" s="122"/>
    </row>
    <row r="241" spans="2:11" ht="15" thickBot="1" x14ac:dyDescent="0.35">
      <c r="B241" s="41"/>
      <c r="C241" s="35"/>
      <c r="D241" s="121"/>
      <c r="E241" s="121"/>
      <c r="F241" s="121"/>
      <c r="G241" s="121"/>
      <c r="H241" s="121"/>
      <c r="I241" s="121"/>
      <c r="J241" s="121"/>
      <c r="K241" s="123"/>
    </row>
    <row r="242" spans="2:11" ht="15" thickBot="1" x14ac:dyDescent="0.35">
      <c r="B242" s="117">
        <v>99</v>
      </c>
      <c r="C242" s="118"/>
      <c r="D242" s="120">
        <f t="shared" ref="D242" si="384">$N$30</f>
        <v>15.588640673015377</v>
      </c>
      <c r="E242" s="120"/>
      <c r="F242" s="120">
        <f t="shared" ref="F242" si="385">($N$18/12)*J240</f>
        <v>6.6372858107408392</v>
      </c>
      <c r="G242" s="120"/>
      <c r="H242" s="120">
        <f t="shared" ref="H242" si="386">D242-F242</f>
        <v>8.9513548622745382</v>
      </c>
      <c r="I242" s="120"/>
      <c r="J242" s="120">
        <f t="shared" ref="J242" si="387">J240-H242</f>
        <v>2404.6071217707577</v>
      </c>
      <c r="K242" s="122"/>
    </row>
    <row r="243" spans="2:11" ht="15" thickBot="1" x14ac:dyDescent="0.35">
      <c r="B243" s="41"/>
      <c r="C243" s="35"/>
      <c r="D243" s="121"/>
      <c r="E243" s="121"/>
      <c r="F243" s="121"/>
      <c r="G243" s="121"/>
      <c r="H243" s="121"/>
      <c r="I243" s="121"/>
      <c r="J243" s="121"/>
      <c r="K243" s="123"/>
    </row>
    <row r="244" spans="2:11" ht="15" thickBot="1" x14ac:dyDescent="0.35">
      <c r="B244" s="117">
        <v>100</v>
      </c>
      <c r="C244" s="118"/>
      <c r="D244" s="120">
        <f t="shared" ref="D244" si="388">$N$30</f>
        <v>15.588640673015377</v>
      </c>
      <c r="E244" s="120"/>
      <c r="F244" s="120">
        <f t="shared" ref="F244" si="389">($N$18/12)*J242</f>
        <v>6.6126695848695842</v>
      </c>
      <c r="G244" s="120"/>
      <c r="H244" s="120">
        <f t="shared" ref="H244" si="390">D244-F244</f>
        <v>8.9759710881457924</v>
      </c>
      <c r="I244" s="120"/>
      <c r="J244" s="120">
        <f t="shared" ref="J244" si="391">J242-H244</f>
        <v>2395.6311506826119</v>
      </c>
      <c r="K244" s="122"/>
    </row>
    <row r="245" spans="2:11" ht="15" thickBot="1" x14ac:dyDescent="0.35">
      <c r="B245" s="41"/>
      <c r="C245" s="35"/>
      <c r="D245" s="121"/>
      <c r="E245" s="121"/>
      <c r="F245" s="121"/>
      <c r="G245" s="121"/>
      <c r="H245" s="121"/>
      <c r="I245" s="121"/>
      <c r="J245" s="121"/>
      <c r="K245" s="123"/>
    </row>
    <row r="246" spans="2:11" ht="15" thickBot="1" x14ac:dyDescent="0.35">
      <c r="B246" s="117">
        <v>101</v>
      </c>
      <c r="C246" s="118"/>
      <c r="D246" s="120">
        <f t="shared" ref="D246" si="392">$N$30</f>
        <v>15.588640673015377</v>
      </c>
      <c r="E246" s="120"/>
      <c r="F246" s="120">
        <f t="shared" ref="F246" si="393">($N$18/12)*J244</f>
        <v>6.5879856643771832</v>
      </c>
      <c r="G246" s="120"/>
      <c r="H246" s="120">
        <f t="shared" ref="H246" si="394">D246-F246</f>
        <v>9.0006550086381942</v>
      </c>
      <c r="I246" s="120"/>
      <c r="J246" s="120">
        <f t="shared" ref="J246" si="395">J244-H246</f>
        <v>2386.6304956739737</v>
      </c>
      <c r="K246" s="122"/>
    </row>
    <row r="247" spans="2:11" ht="15" thickBot="1" x14ac:dyDescent="0.35">
      <c r="B247" s="41"/>
      <c r="C247" s="35"/>
      <c r="D247" s="121"/>
      <c r="E247" s="121"/>
      <c r="F247" s="121"/>
      <c r="G247" s="121"/>
      <c r="H247" s="121"/>
      <c r="I247" s="121"/>
      <c r="J247" s="121"/>
      <c r="K247" s="123"/>
    </row>
    <row r="248" spans="2:11" ht="15" thickBot="1" x14ac:dyDescent="0.35">
      <c r="B248" s="117">
        <v>102</v>
      </c>
      <c r="C248" s="118"/>
      <c r="D248" s="120">
        <f t="shared" ref="D248" si="396">$N$30</f>
        <v>15.588640673015377</v>
      </c>
      <c r="E248" s="120"/>
      <c r="F248" s="120">
        <f t="shared" ref="F248" si="397">($N$18/12)*J246</f>
        <v>6.5632338631034282</v>
      </c>
      <c r="G248" s="120"/>
      <c r="H248" s="120">
        <f t="shared" ref="H248" si="398">D248-F248</f>
        <v>9.0254068099119493</v>
      </c>
      <c r="I248" s="120"/>
      <c r="J248" s="120">
        <f t="shared" ref="J248" si="399">J246-H248</f>
        <v>2377.6050888640616</v>
      </c>
      <c r="K248" s="122"/>
    </row>
    <row r="249" spans="2:11" ht="15" thickBot="1" x14ac:dyDescent="0.35">
      <c r="B249" s="41"/>
      <c r="C249" s="35"/>
      <c r="D249" s="121"/>
      <c r="E249" s="121"/>
      <c r="F249" s="121"/>
      <c r="G249" s="121"/>
      <c r="H249" s="121"/>
      <c r="I249" s="121"/>
      <c r="J249" s="121"/>
      <c r="K249" s="123"/>
    </row>
    <row r="250" spans="2:11" ht="15" thickBot="1" x14ac:dyDescent="0.35">
      <c r="B250" s="117">
        <v>103</v>
      </c>
      <c r="C250" s="118"/>
      <c r="D250" s="120">
        <f t="shared" ref="D250" si="400">$N$30</f>
        <v>15.588640673015377</v>
      </c>
      <c r="E250" s="120"/>
      <c r="F250" s="120">
        <f t="shared" ref="F250" si="401">($N$18/12)*J248</f>
        <v>6.5384139943761701</v>
      </c>
      <c r="G250" s="120"/>
      <c r="H250" s="120">
        <f t="shared" ref="H250" si="402">D250-F250</f>
        <v>9.0502266786392056</v>
      </c>
      <c r="I250" s="120"/>
      <c r="J250" s="120">
        <f t="shared" ref="J250" si="403">J248-H250</f>
        <v>2368.5548621854223</v>
      </c>
      <c r="K250" s="122"/>
    </row>
    <row r="251" spans="2:11" ht="15" thickBot="1" x14ac:dyDescent="0.35">
      <c r="B251" s="41"/>
      <c r="C251" s="35"/>
      <c r="D251" s="121"/>
      <c r="E251" s="121"/>
      <c r="F251" s="121"/>
      <c r="G251" s="121"/>
      <c r="H251" s="121"/>
      <c r="I251" s="121"/>
      <c r="J251" s="121"/>
      <c r="K251" s="123"/>
    </row>
    <row r="252" spans="2:11" ht="15" thickBot="1" x14ac:dyDescent="0.35">
      <c r="B252" s="117">
        <v>104</v>
      </c>
      <c r="C252" s="118"/>
      <c r="D252" s="120">
        <f t="shared" ref="D252" si="404">$N$30</f>
        <v>15.588640673015377</v>
      </c>
      <c r="E252" s="120"/>
      <c r="F252" s="120">
        <f t="shared" ref="F252" si="405">($N$18/12)*J250</f>
        <v>6.5135258710099118</v>
      </c>
      <c r="G252" s="120"/>
      <c r="H252" s="120">
        <f t="shared" ref="H252" si="406">D252-F252</f>
        <v>9.0751148020054657</v>
      </c>
      <c r="I252" s="120"/>
      <c r="J252" s="120">
        <f t="shared" ref="J252" si="407">J250-H252</f>
        <v>2359.4797473834169</v>
      </c>
      <c r="K252" s="122"/>
    </row>
    <row r="253" spans="2:11" ht="15" thickBot="1" x14ac:dyDescent="0.35">
      <c r="B253" s="41"/>
      <c r="C253" s="35"/>
      <c r="D253" s="121"/>
      <c r="E253" s="121"/>
      <c r="F253" s="121"/>
      <c r="G253" s="121"/>
      <c r="H253" s="121"/>
      <c r="I253" s="121"/>
      <c r="J253" s="121"/>
      <c r="K253" s="123"/>
    </row>
    <row r="254" spans="2:11" ht="15" thickBot="1" x14ac:dyDescent="0.35">
      <c r="B254" s="117">
        <v>105</v>
      </c>
      <c r="C254" s="118"/>
      <c r="D254" s="120">
        <f t="shared" ref="D254" si="408">$N$30</f>
        <v>15.588640673015377</v>
      </c>
      <c r="E254" s="120"/>
      <c r="F254" s="120">
        <f t="shared" ref="F254" si="409">($N$18/12)*J252</f>
        <v>6.4885693053043969</v>
      </c>
      <c r="G254" s="120"/>
      <c r="H254" s="120">
        <f t="shared" ref="H254" si="410">D254-F254</f>
        <v>9.1000713677109797</v>
      </c>
      <c r="I254" s="120"/>
      <c r="J254" s="120">
        <f t="shared" ref="J254" si="411">J252-H254</f>
        <v>2350.3796760157061</v>
      </c>
      <c r="K254" s="122"/>
    </row>
    <row r="255" spans="2:11" ht="15" thickBot="1" x14ac:dyDescent="0.35">
      <c r="B255" s="41"/>
      <c r="C255" s="35"/>
      <c r="D255" s="121"/>
      <c r="E255" s="121"/>
      <c r="F255" s="121"/>
      <c r="G255" s="121"/>
      <c r="H255" s="121"/>
      <c r="I255" s="121"/>
      <c r="J255" s="121"/>
      <c r="K255" s="123"/>
    </row>
    <row r="256" spans="2:11" ht="15" thickBot="1" x14ac:dyDescent="0.35">
      <c r="B256" s="117">
        <v>106</v>
      </c>
      <c r="C256" s="118"/>
      <c r="D256" s="120">
        <f t="shared" ref="D256" si="412">$N$30</f>
        <v>15.588640673015377</v>
      </c>
      <c r="E256" s="120"/>
      <c r="F256" s="120">
        <f t="shared" ref="F256" si="413">($N$18/12)*J254</f>
        <v>6.463544109043192</v>
      </c>
      <c r="G256" s="120"/>
      <c r="H256" s="120">
        <f t="shared" ref="H256" si="414">D256-F256</f>
        <v>9.1250965639721855</v>
      </c>
      <c r="I256" s="120"/>
      <c r="J256" s="120">
        <f t="shared" ref="J256" si="415">J254-H256</f>
        <v>2341.2545794517341</v>
      </c>
      <c r="K256" s="122"/>
    </row>
    <row r="257" spans="2:11" ht="15" thickBot="1" x14ac:dyDescent="0.35">
      <c r="B257" s="41"/>
      <c r="C257" s="35"/>
      <c r="D257" s="121"/>
      <c r="E257" s="121"/>
      <c r="F257" s="121"/>
      <c r="G257" s="121"/>
      <c r="H257" s="121"/>
      <c r="I257" s="121"/>
      <c r="J257" s="121"/>
      <c r="K257" s="123"/>
    </row>
    <row r="258" spans="2:11" ht="15" thickBot="1" x14ac:dyDescent="0.35">
      <c r="B258" s="117">
        <v>107</v>
      </c>
      <c r="C258" s="118"/>
      <c r="D258" s="120">
        <f t="shared" ref="D258" si="416">$N$30</f>
        <v>15.588640673015377</v>
      </c>
      <c r="E258" s="120"/>
      <c r="F258" s="120">
        <f t="shared" ref="F258" si="417">($N$18/12)*J256</f>
        <v>6.4384500934922695</v>
      </c>
      <c r="G258" s="120"/>
      <c r="H258" s="120">
        <f t="shared" ref="H258" si="418">D258-F258</f>
        <v>9.1501905795231071</v>
      </c>
      <c r="I258" s="120"/>
      <c r="J258" s="120">
        <f t="shared" ref="J258" si="419">J256-H258</f>
        <v>2332.1043888722111</v>
      </c>
      <c r="K258" s="122"/>
    </row>
    <row r="259" spans="2:11" ht="15" thickBot="1" x14ac:dyDescent="0.35">
      <c r="B259" s="41"/>
      <c r="C259" s="35"/>
      <c r="D259" s="121"/>
      <c r="E259" s="121"/>
      <c r="F259" s="121"/>
      <c r="G259" s="121"/>
      <c r="H259" s="121"/>
      <c r="I259" s="121"/>
      <c r="J259" s="121"/>
      <c r="K259" s="123"/>
    </row>
    <row r="260" spans="2:11" ht="15" thickBot="1" x14ac:dyDescent="0.35">
      <c r="B260" s="117">
        <v>108</v>
      </c>
      <c r="C260" s="118"/>
      <c r="D260" s="120">
        <f t="shared" ref="D260" si="420">$N$30</f>
        <v>15.588640673015377</v>
      </c>
      <c r="E260" s="120"/>
      <c r="F260" s="120">
        <f t="shared" ref="F260" si="421">($N$18/12)*J258</f>
        <v>6.4132870693985815</v>
      </c>
      <c r="G260" s="120"/>
      <c r="H260" s="120">
        <f t="shared" ref="H260" si="422">D260-F260</f>
        <v>9.1753536036167951</v>
      </c>
      <c r="I260" s="120"/>
      <c r="J260" s="120">
        <f t="shared" ref="J260" si="423">J258-H260</f>
        <v>2322.9290352685944</v>
      </c>
      <c r="K260" s="122"/>
    </row>
    <row r="261" spans="2:11" ht="15" thickBot="1" x14ac:dyDescent="0.35">
      <c r="B261" s="41"/>
      <c r="C261" s="35"/>
      <c r="D261" s="121"/>
      <c r="E261" s="121"/>
      <c r="F261" s="121"/>
      <c r="G261" s="121"/>
      <c r="H261" s="121"/>
      <c r="I261" s="121"/>
      <c r="J261" s="121"/>
      <c r="K261" s="123"/>
    </row>
    <row r="262" spans="2:11" ht="15" thickBot="1" x14ac:dyDescent="0.35">
      <c r="B262" s="117">
        <v>109</v>
      </c>
      <c r="C262" s="118"/>
      <c r="D262" s="120">
        <f t="shared" ref="D262" si="424">$N$30</f>
        <v>15.588640673015377</v>
      </c>
      <c r="E262" s="120"/>
      <c r="F262" s="120">
        <f t="shared" ref="F262" si="425">($N$18/12)*J260</f>
        <v>6.3880548469886351</v>
      </c>
      <c r="G262" s="120"/>
      <c r="H262" s="120">
        <f t="shared" ref="H262" si="426">D262-F262</f>
        <v>9.2005858260267424</v>
      </c>
      <c r="I262" s="120"/>
      <c r="J262" s="120">
        <f t="shared" ref="J262" si="427">J260-H262</f>
        <v>2313.7284494425676</v>
      </c>
      <c r="K262" s="122"/>
    </row>
    <row r="263" spans="2:11" ht="15" thickBot="1" x14ac:dyDescent="0.35">
      <c r="B263" s="41"/>
      <c r="C263" s="35"/>
      <c r="D263" s="121"/>
      <c r="E263" s="121"/>
      <c r="F263" s="121"/>
      <c r="G263" s="121"/>
      <c r="H263" s="121"/>
      <c r="I263" s="121"/>
      <c r="J263" s="121"/>
      <c r="K263" s="123"/>
    </row>
    <row r="264" spans="2:11" ht="15" thickBot="1" x14ac:dyDescent="0.35">
      <c r="B264" s="117">
        <v>110</v>
      </c>
      <c r="C264" s="118"/>
      <c r="D264" s="120">
        <f t="shared" ref="D264" si="428">$N$30</f>
        <v>15.588640673015377</v>
      </c>
      <c r="E264" s="120"/>
      <c r="F264" s="120">
        <f t="shared" ref="F264" si="429">($N$18/12)*J262</f>
        <v>6.3627532359670615</v>
      </c>
      <c r="G264" s="120"/>
      <c r="H264" s="120">
        <f t="shared" ref="H264" si="430">D264-F264</f>
        <v>9.2258874370483142</v>
      </c>
      <c r="I264" s="120"/>
      <c r="J264" s="120">
        <f t="shared" ref="J264" si="431">J262-H264</f>
        <v>2304.5025620055194</v>
      </c>
      <c r="K264" s="122"/>
    </row>
    <row r="265" spans="2:11" ht="15" thickBot="1" x14ac:dyDescent="0.35">
      <c r="B265" s="41"/>
      <c r="C265" s="35"/>
      <c r="D265" s="121"/>
      <c r="E265" s="121"/>
      <c r="F265" s="121"/>
      <c r="G265" s="121"/>
      <c r="H265" s="121"/>
      <c r="I265" s="121"/>
      <c r="J265" s="121"/>
      <c r="K265" s="123"/>
    </row>
    <row r="266" spans="2:11" ht="15" thickBot="1" x14ac:dyDescent="0.35">
      <c r="B266" s="117">
        <v>111</v>
      </c>
      <c r="C266" s="118"/>
      <c r="D266" s="120">
        <f t="shared" ref="D266" si="432">$N$30</f>
        <v>15.588640673015377</v>
      </c>
      <c r="E266" s="120"/>
      <c r="F266" s="120">
        <f t="shared" ref="F266" si="433">($N$18/12)*J264</f>
        <v>6.337382045515179</v>
      </c>
      <c r="G266" s="120"/>
      <c r="H266" s="120">
        <f t="shared" ref="H266" si="434">D266-F266</f>
        <v>9.2512586275001976</v>
      </c>
      <c r="I266" s="120"/>
      <c r="J266" s="120">
        <f t="shared" ref="J266" si="435">J264-H266</f>
        <v>2295.2513033780192</v>
      </c>
      <c r="K266" s="122"/>
    </row>
    <row r="267" spans="2:11" ht="15" thickBot="1" x14ac:dyDescent="0.35">
      <c r="B267" s="41"/>
      <c r="C267" s="35"/>
      <c r="D267" s="121"/>
      <c r="E267" s="121"/>
      <c r="F267" s="121"/>
      <c r="G267" s="121"/>
      <c r="H267" s="121"/>
      <c r="I267" s="121"/>
      <c r="J267" s="121"/>
      <c r="K267" s="123"/>
    </row>
    <row r="268" spans="2:11" ht="15" thickBot="1" x14ac:dyDescent="0.35">
      <c r="B268" s="117">
        <v>112</v>
      </c>
      <c r="C268" s="118"/>
      <c r="D268" s="120">
        <f t="shared" ref="D268" si="436">$N$30</f>
        <v>15.588640673015377</v>
      </c>
      <c r="E268" s="120"/>
      <c r="F268" s="120">
        <f t="shared" ref="F268" si="437">($N$18/12)*J266</f>
        <v>6.3119410842895531</v>
      </c>
      <c r="G268" s="120"/>
      <c r="H268" s="120">
        <f t="shared" ref="H268" si="438">D268-F268</f>
        <v>9.2766995887258226</v>
      </c>
      <c r="I268" s="120"/>
      <c r="J268" s="120">
        <f t="shared" ref="J268" si="439">J266-H268</f>
        <v>2285.9746037892933</v>
      </c>
      <c r="K268" s="122"/>
    </row>
    <row r="269" spans="2:11" ht="15" thickBot="1" x14ac:dyDescent="0.35">
      <c r="B269" s="41"/>
      <c r="C269" s="35"/>
      <c r="D269" s="121"/>
      <c r="E269" s="121"/>
      <c r="F269" s="121"/>
      <c r="G269" s="121"/>
      <c r="H269" s="121"/>
      <c r="I269" s="121"/>
      <c r="J269" s="121"/>
      <c r="K269" s="123"/>
    </row>
    <row r="270" spans="2:11" ht="15" thickBot="1" x14ac:dyDescent="0.35">
      <c r="B270" s="117">
        <v>113</v>
      </c>
      <c r="C270" s="118"/>
      <c r="D270" s="120">
        <f t="shared" ref="D270" si="440">$N$30</f>
        <v>15.588640673015377</v>
      </c>
      <c r="E270" s="120"/>
      <c r="F270" s="120">
        <f t="shared" ref="F270" si="441">($N$18/12)*J268</f>
        <v>6.286430160420557</v>
      </c>
      <c r="G270" s="120"/>
      <c r="H270" s="120">
        <f t="shared" ref="H270" si="442">D270-F270</f>
        <v>9.3022105125948187</v>
      </c>
      <c r="I270" s="120"/>
      <c r="J270" s="120">
        <f t="shared" ref="J270" si="443">J268-H270</f>
        <v>2276.6723932766986</v>
      </c>
      <c r="K270" s="122"/>
    </row>
    <row r="271" spans="2:11" ht="15" thickBot="1" x14ac:dyDescent="0.35">
      <c r="B271" s="41"/>
      <c r="C271" s="35"/>
      <c r="D271" s="121"/>
      <c r="E271" s="121"/>
      <c r="F271" s="121"/>
      <c r="G271" s="121"/>
      <c r="H271" s="121"/>
      <c r="I271" s="121"/>
      <c r="J271" s="121"/>
      <c r="K271" s="123"/>
    </row>
    <row r="272" spans="2:11" ht="15" thickBot="1" x14ac:dyDescent="0.35">
      <c r="B272" s="117">
        <v>114</v>
      </c>
      <c r="C272" s="118"/>
      <c r="D272" s="120">
        <f t="shared" ref="D272" si="444">$N$30</f>
        <v>15.588640673015377</v>
      </c>
      <c r="E272" s="120"/>
      <c r="F272" s="120">
        <f t="shared" ref="F272" si="445">($N$18/12)*J270</f>
        <v>6.2608490815109219</v>
      </c>
      <c r="G272" s="120"/>
      <c r="H272" s="120">
        <f t="shared" ref="H272" si="446">D272-F272</f>
        <v>9.3277915915044538</v>
      </c>
      <c r="I272" s="120"/>
      <c r="J272" s="120">
        <f t="shared" ref="J272" si="447">J270-H272</f>
        <v>2267.344601685194</v>
      </c>
      <c r="K272" s="122"/>
    </row>
    <row r="273" spans="2:22" ht="15" thickBot="1" x14ac:dyDescent="0.35">
      <c r="B273" s="41"/>
      <c r="C273" s="35"/>
      <c r="D273" s="121"/>
      <c r="E273" s="121"/>
      <c r="F273" s="121"/>
      <c r="G273" s="121"/>
      <c r="H273" s="121"/>
      <c r="I273" s="121"/>
      <c r="J273" s="121"/>
      <c r="K273" s="123"/>
    </row>
    <row r="274" spans="2:22" ht="15" thickBot="1" x14ac:dyDescent="0.35">
      <c r="B274" s="117">
        <v>115</v>
      </c>
      <c r="C274" s="118"/>
      <c r="D274" s="120">
        <f t="shared" ref="D274" si="448">$N$30</f>
        <v>15.588640673015377</v>
      </c>
      <c r="E274" s="120"/>
      <c r="F274" s="120">
        <f t="shared" ref="F274" si="449">($N$18/12)*J272</f>
        <v>6.235197654634284</v>
      </c>
      <c r="G274" s="120"/>
      <c r="H274" s="120">
        <f t="shared" ref="H274" si="450">D274-F274</f>
        <v>9.3534430183810926</v>
      </c>
      <c r="I274" s="120"/>
      <c r="J274" s="120">
        <f t="shared" ref="J274" si="451">J272-H274</f>
        <v>2257.9911586668127</v>
      </c>
      <c r="K274" s="122"/>
    </row>
    <row r="275" spans="2:22" ht="15" thickBot="1" x14ac:dyDescent="0.35">
      <c r="B275" s="41"/>
      <c r="C275" s="35"/>
      <c r="D275" s="121"/>
      <c r="E275" s="121"/>
      <c r="F275" s="121"/>
      <c r="G275" s="121"/>
      <c r="H275" s="121"/>
      <c r="I275" s="121"/>
      <c r="J275" s="121"/>
      <c r="K275" s="123"/>
    </row>
    <row r="276" spans="2:22" ht="15" thickBot="1" x14ac:dyDescent="0.35">
      <c r="B276" s="117">
        <v>116</v>
      </c>
      <c r="C276" s="118"/>
      <c r="D276" s="120">
        <f t="shared" ref="D276" si="452">$N$30</f>
        <v>15.588640673015377</v>
      </c>
      <c r="E276" s="120"/>
      <c r="F276" s="120">
        <f t="shared" ref="F276" si="453">($N$18/12)*J274</f>
        <v>6.2094756863337359</v>
      </c>
      <c r="G276" s="120"/>
      <c r="H276" s="120">
        <f t="shared" ref="H276" si="454">D276-F276</f>
        <v>9.3791649866816407</v>
      </c>
      <c r="I276" s="120"/>
      <c r="J276" s="120">
        <f t="shared" ref="J276" si="455">J274-H276</f>
        <v>2248.611993680131</v>
      </c>
      <c r="K276" s="122"/>
    </row>
    <row r="277" spans="2:22" ht="15" thickBot="1" x14ac:dyDescent="0.35">
      <c r="B277" s="41"/>
      <c r="C277" s="35"/>
      <c r="D277" s="121"/>
      <c r="E277" s="121"/>
      <c r="F277" s="121"/>
      <c r="G277" s="121"/>
      <c r="H277" s="121"/>
      <c r="I277" s="121"/>
      <c r="J277" s="121"/>
      <c r="K277" s="123"/>
    </row>
    <row r="278" spans="2:22" ht="15" thickBot="1" x14ac:dyDescent="0.35">
      <c r="B278" s="117">
        <v>117</v>
      </c>
      <c r="C278" s="118"/>
      <c r="D278" s="120">
        <f t="shared" ref="D278" si="456">$N$30</f>
        <v>15.588640673015377</v>
      </c>
      <c r="E278" s="120"/>
      <c r="F278" s="120">
        <f t="shared" ref="F278" si="457">($N$18/12)*J276</f>
        <v>6.1836829826203612</v>
      </c>
      <c r="G278" s="120"/>
      <c r="H278" s="120">
        <f t="shared" ref="H278" si="458">D278-F278</f>
        <v>9.4049576903950154</v>
      </c>
      <c r="I278" s="120"/>
      <c r="J278" s="120">
        <f t="shared" ref="J278" si="459">J276-H278</f>
        <v>2239.2070359897361</v>
      </c>
      <c r="K278" s="122"/>
    </row>
    <row r="279" spans="2:22" ht="15" thickBot="1" x14ac:dyDescent="0.35">
      <c r="B279" s="41"/>
      <c r="C279" s="35"/>
      <c r="D279" s="121"/>
      <c r="E279" s="121"/>
      <c r="F279" s="121"/>
      <c r="G279" s="121"/>
      <c r="H279" s="121"/>
      <c r="I279" s="121"/>
      <c r="J279" s="121"/>
      <c r="K279" s="123"/>
    </row>
    <row r="280" spans="2:22" ht="15" thickBot="1" x14ac:dyDescent="0.35">
      <c r="B280" s="117">
        <v>118</v>
      </c>
      <c r="C280" s="118"/>
      <c r="D280" s="120">
        <f t="shared" ref="D280" si="460">$N$30</f>
        <v>15.588640673015377</v>
      </c>
      <c r="E280" s="120"/>
      <c r="F280" s="120">
        <f t="shared" ref="F280" si="461">($N$18/12)*J278</f>
        <v>6.157819348971775</v>
      </c>
      <c r="G280" s="120"/>
      <c r="H280" s="120">
        <f t="shared" ref="H280" si="462">D280-F280</f>
        <v>9.4308213240436025</v>
      </c>
      <c r="I280" s="120"/>
      <c r="J280" s="120">
        <f t="shared" ref="J280" si="463">J278-H280</f>
        <v>2229.7762146656924</v>
      </c>
      <c r="K280" s="122"/>
    </row>
    <row r="281" spans="2:22" ht="15" thickBot="1" x14ac:dyDescent="0.35">
      <c r="B281" s="41"/>
      <c r="C281" s="35"/>
      <c r="D281" s="121"/>
      <c r="E281" s="121"/>
      <c r="F281" s="121"/>
      <c r="G281" s="121"/>
      <c r="H281" s="121"/>
      <c r="I281" s="121"/>
      <c r="J281" s="121"/>
      <c r="K281" s="123"/>
    </row>
    <row r="282" spans="2:22" ht="15" thickBot="1" x14ac:dyDescent="0.35">
      <c r="B282" s="117">
        <v>119</v>
      </c>
      <c r="C282" s="118"/>
      <c r="D282" s="120">
        <f t="shared" ref="D282" si="464">$N$30</f>
        <v>15.588640673015377</v>
      </c>
      <c r="E282" s="120"/>
      <c r="F282" s="120">
        <f t="shared" ref="F282" si="465">($N$18/12)*J280</f>
        <v>6.1318845903306549</v>
      </c>
      <c r="G282" s="120"/>
      <c r="H282" s="120">
        <f t="shared" ref="H282" si="466">D282-F282</f>
        <v>9.4567560826847217</v>
      </c>
      <c r="I282" s="120"/>
      <c r="J282" s="120">
        <f t="shared" ref="J282" si="467">J280-H282</f>
        <v>2220.3194585830074</v>
      </c>
      <c r="K282" s="122"/>
    </row>
    <row r="283" spans="2:22" ht="15" thickBot="1" x14ac:dyDescent="0.35">
      <c r="B283" s="41"/>
      <c r="C283" s="35"/>
      <c r="D283" s="121"/>
      <c r="E283" s="121"/>
      <c r="F283" s="121"/>
      <c r="G283" s="121"/>
      <c r="H283" s="121"/>
      <c r="I283" s="121"/>
      <c r="J283" s="121"/>
      <c r="K283" s="123"/>
    </row>
    <row r="284" spans="2:22" ht="15" thickBot="1" x14ac:dyDescent="0.35">
      <c r="B284" s="117">
        <v>120</v>
      </c>
      <c r="C284" s="118"/>
      <c r="D284" s="120">
        <f t="shared" ref="D284" si="468">$N$30</f>
        <v>15.588640673015377</v>
      </c>
      <c r="E284" s="120"/>
      <c r="F284" s="120">
        <f t="shared" ref="F284" si="469">($N$18/12)*J282</f>
        <v>6.1058785111032714</v>
      </c>
      <c r="G284" s="120"/>
      <c r="H284" s="120">
        <f t="shared" ref="H284" si="470">D284-F284</f>
        <v>9.4827621619121061</v>
      </c>
      <c r="I284" s="120"/>
      <c r="J284" s="120">
        <f t="shared" ref="J284" si="471">J282-H284</f>
        <v>2210.8366964210954</v>
      </c>
      <c r="K284" s="122"/>
    </row>
    <row r="285" spans="2:22" ht="15" thickBot="1" x14ac:dyDescent="0.35">
      <c r="B285" s="41"/>
      <c r="C285" s="35"/>
      <c r="D285" s="121"/>
      <c r="E285" s="121"/>
      <c r="F285" s="121"/>
      <c r="G285" s="121"/>
      <c r="H285" s="121"/>
      <c r="I285" s="121"/>
      <c r="J285" s="121"/>
      <c r="K285" s="123"/>
    </row>
    <row r="287" spans="2:22" ht="15" thickBot="1" x14ac:dyDescent="0.35"/>
    <row r="288" spans="2:22" ht="15" thickTop="1" x14ac:dyDescent="0.3">
      <c r="B288" s="4" t="s">
        <v>120</v>
      </c>
      <c r="C288" s="5"/>
      <c r="D288" s="5"/>
      <c r="E288" s="5"/>
      <c r="F288" s="5"/>
      <c r="G288" s="5"/>
      <c r="H288" s="5"/>
      <c r="I288" s="5"/>
      <c r="J288" s="5"/>
      <c r="K288" s="6"/>
      <c r="M288" s="4" t="s">
        <v>121</v>
      </c>
      <c r="N288" s="5"/>
      <c r="O288" s="5"/>
      <c r="P288" s="5"/>
      <c r="Q288" s="5"/>
      <c r="R288" s="5"/>
      <c r="S288" s="5"/>
      <c r="T288" s="5"/>
      <c r="U288" s="5"/>
      <c r="V288" s="6"/>
    </row>
    <row r="289" spans="2:22" ht="15" thickBot="1" x14ac:dyDescent="0.35">
      <c r="B289" s="7"/>
      <c r="C289" s="8"/>
      <c r="D289" s="8"/>
      <c r="E289" s="8"/>
      <c r="F289" s="8"/>
      <c r="G289" s="8"/>
      <c r="H289" s="8"/>
      <c r="I289" s="8"/>
      <c r="J289" s="8"/>
      <c r="K289" s="9"/>
      <c r="M289" s="7"/>
      <c r="N289" s="8"/>
      <c r="O289" s="8"/>
      <c r="P289" s="8"/>
      <c r="Q289" s="8"/>
      <c r="R289" s="8"/>
      <c r="S289" s="8"/>
      <c r="T289" s="8"/>
      <c r="U289" s="8"/>
      <c r="V289" s="9"/>
    </row>
    <row r="290" spans="2:22" ht="15.6" thickTop="1" thickBot="1" x14ac:dyDescent="0.35">
      <c r="B290" s="30" t="s">
        <v>113</v>
      </c>
      <c r="C290" s="31"/>
      <c r="D290" s="31" t="s">
        <v>85</v>
      </c>
      <c r="E290" s="31"/>
      <c r="F290" s="31" t="s">
        <v>86</v>
      </c>
      <c r="G290" s="31"/>
      <c r="H290" s="31" t="s">
        <v>87</v>
      </c>
      <c r="I290" s="31"/>
      <c r="J290" s="31" t="s">
        <v>88</v>
      </c>
      <c r="K290" s="49"/>
      <c r="M290" s="30" t="s">
        <v>113</v>
      </c>
      <c r="N290" s="31"/>
      <c r="O290" s="31" t="s">
        <v>85</v>
      </c>
      <c r="P290" s="31"/>
      <c r="Q290" s="31" t="s">
        <v>86</v>
      </c>
      <c r="R290" s="31"/>
      <c r="S290" s="31" t="s">
        <v>87</v>
      </c>
      <c r="T290" s="31"/>
      <c r="U290" s="31" t="s">
        <v>88</v>
      </c>
      <c r="V290" s="49"/>
    </row>
    <row r="291" spans="2:22" ht="15" thickBot="1" x14ac:dyDescent="0.35">
      <c r="B291" s="32"/>
      <c r="C291" s="33"/>
      <c r="D291" s="33"/>
      <c r="E291" s="33"/>
      <c r="F291" s="33"/>
      <c r="G291" s="33"/>
      <c r="H291" s="33"/>
      <c r="I291" s="33"/>
      <c r="J291" s="33"/>
      <c r="K291" s="110"/>
      <c r="M291" s="32"/>
      <c r="N291" s="33"/>
      <c r="O291" s="33"/>
      <c r="P291" s="33"/>
      <c r="Q291" s="33"/>
      <c r="R291" s="33"/>
      <c r="S291" s="33"/>
      <c r="T291" s="33"/>
      <c r="U291" s="33"/>
      <c r="V291" s="110"/>
    </row>
    <row r="292" spans="2:22" ht="15" thickBot="1" x14ac:dyDescent="0.35">
      <c r="B292" s="46"/>
      <c r="C292" s="47"/>
      <c r="D292" s="47"/>
      <c r="E292" s="47"/>
      <c r="F292" s="47"/>
      <c r="G292" s="47"/>
      <c r="H292" s="47"/>
      <c r="I292" s="47"/>
      <c r="J292" s="47"/>
      <c r="K292" s="50"/>
      <c r="M292" s="46"/>
      <c r="N292" s="47"/>
      <c r="O292" s="47"/>
      <c r="P292" s="47"/>
      <c r="Q292" s="47"/>
      <c r="R292" s="47"/>
      <c r="S292" s="47"/>
      <c r="T292" s="47"/>
      <c r="U292" s="47"/>
      <c r="V292" s="50"/>
    </row>
    <row r="293" spans="2:22" ht="15.6" thickTop="1" thickBot="1" x14ac:dyDescent="0.35">
      <c r="B293" s="45">
        <v>121</v>
      </c>
      <c r="C293" s="34"/>
      <c r="D293" s="124">
        <f>$N$30</f>
        <v>15.588640673015377</v>
      </c>
      <c r="E293" s="124"/>
      <c r="F293" s="124">
        <f>($N$18/12)*J284</f>
        <v>6.079800915158013</v>
      </c>
      <c r="G293" s="124"/>
      <c r="H293" s="124">
        <f>D293-F293</f>
        <v>9.5088397578573627</v>
      </c>
      <c r="I293" s="124"/>
      <c r="J293" s="124">
        <f>J284-H293</f>
        <v>2201.327856663238</v>
      </c>
      <c r="K293" s="180"/>
      <c r="M293" s="45">
        <v>121</v>
      </c>
      <c r="N293" s="34"/>
      <c r="O293" s="124">
        <f>$S$29</f>
        <v>16.137436987603884</v>
      </c>
      <c r="P293" s="124"/>
      <c r="Q293" s="124">
        <f>($S$18/12)*S26</f>
        <v>7.0030831668617708</v>
      </c>
      <c r="R293" s="124"/>
      <c r="S293" s="124">
        <f>O293-Q293</f>
        <v>9.1343538207421133</v>
      </c>
      <c r="T293" s="124"/>
      <c r="U293" s="124">
        <f>S26-S293</f>
        <v>2202.365593609291</v>
      </c>
      <c r="V293" s="180"/>
    </row>
    <row r="294" spans="2:22" ht="15" thickBot="1" x14ac:dyDescent="0.35">
      <c r="B294" s="41"/>
      <c r="C294" s="35"/>
      <c r="D294" s="121"/>
      <c r="E294" s="121"/>
      <c r="F294" s="121"/>
      <c r="G294" s="121"/>
      <c r="H294" s="121"/>
      <c r="I294" s="121"/>
      <c r="J294" s="121"/>
      <c r="K294" s="123"/>
      <c r="M294" s="41"/>
      <c r="N294" s="35"/>
      <c r="O294" s="121"/>
      <c r="P294" s="121"/>
      <c r="Q294" s="166"/>
      <c r="R294" s="166"/>
      <c r="S294" s="121"/>
      <c r="T294" s="121"/>
      <c r="U294" s="121"/>
      <c r="V294" s="123"/>
    </row>
    <row r="295" spans="2:22" ht="15" thickBot="1" x14ac:dyDescent="0.35">
      <c r="B295" s="41">
        <v>122</v>
      </c>
      <c r="C295" s="35"/>
      <c r="D295" s="121">
        <f>$N$30</f>
        <v>15.588640673015377</v>
      </c>
      <c r="E295" s="35"/>
      <c r="F295" s="121">
        <f>($N$18/12)*J293</f>
        <v>6.0536516058239052</v>
      </c>
      <c r="G295" s="121"/>
      <c r="H295" s="121">
        <f>D295-F295</f>
        <v>9.5349890671914714</v>
      </c>
      <c r="I295" s="121"/>
      <c r="J295" s="121">
        <f>J293-H295</f>
        <v>2191.7928675960466</v>
      </c>
      <c r="K295" s="37"/>
      <c r="M295" s="41">
        <v>122</v>
      </c>
      <c r="N295" s="35"/>
      <c r="O295" s="121">
        <f t="shared" ref="O295" si="472">$S$29</f>
        <v>16.137436987603884</v>
      </c>
      <c r="P295" s="121"/>
      <c r="Q295" s="121">
        <f>($S$18/12)*U293</f>
        <v>6.9741577130960879</v>
      </c>
      <c r="R295" s="121"/>
      <c r="S295" s="121">
        <f>O295-Q295</f>
        <v>9.1632792745077971</v>
      </c>
      <c r="T295" s="35"/>
      <c r="U295" s="121">
        <f>U293-S295</f>
        <v>2193.2023143347833</v>
      </c>
      <c r="V295" s="37"/>
    </row>
    <row r="296" spans="2:22" ht="15" thickBot="1" x14ac:dyDescent="0.35">
      <c r="B296" s="41"/>
      <c r="C296" s="35"/>
      <c r="D296" s="35"/>
      <c r="E296" s="35"/>
      <c r="F296" s="121"/>
      <c r="G296" s="121"/>
      <c r="H296" s="121"/>
      <c r="I296" s="121"/>
      <c r="J296" s="35"/>
      <c r="K296" s="37"/>
      <c r="M296" s="41"/>
      <c r="N296" s="35"/>
      <c r="O296" s="121"/>
      <c r="P296" s="121"/>
      <c r="Q296" s="121"/>
      <c r="R296" s="121"/>
      <c r="S296" s="35"/>
      <c r="T296" s="35"/>
      <c r="U296" s="35"/>
      <c r="V296" s="37"/>
    </row>
    <row r="297" spans="2:22" ht="15" thickBot="1" x14ac:dyDescent="0.35">
      <c r="B297" s="41">
        <v>123</v>
      </c>
      <c r="C297" s="35"/>
      <c r="D297" s="121">
        <f t="shared" ref="D297" si="473">$N$30</f>
        <v>15.588640673015377</v>
      </c>
      <c r="E297" s="35"/>
      <c r="F297" s="121">
        <f t="shared" ref="F297" si="474">($N$18/12)*J295</f>
        <v>6.0274303858891285</v>
      </c>
      <c r="G297" s="121"/>
      <c r="H297" s="121">
        <f t="shared" ref="H297" si="475">D297-F297</f>
        <v>9.5612102871262472</v>
      </c>
      <c r="I297" s="121"/>
      <c r="J297" s="121">
        <f t="shared" ref="J297" si="476">J295-H297</f>
        <v>2182.2316573089201</v>
      </c>
      <c r="K297" s="37"/>
      <c r="M297" s="41">
        <v>123</v>
      </c>
      <c r="N297" s="35"/>
      <c r="O297" s="121">
        <f t="shared" ref="O297" si="477">$S$29</f>
        <v>16.137436987603884</v>
      </c>
      <c r="P297" s="121"/>
      <c r="Q297" s="121">
        <f t="shared" ref="Q297" si="478">($S$18/12)*U295</f>
        <v>6.9451406620601466</v>
      </c>
      <c r="R297" s="121"/>
      <c r="S297" s="121">
        <f t="shared" ref="S297" si="479">O297-Q297</f>
        <v>9.1922963255437367</v>
      </c>
      <c r="T297" s="35"/>
      <c r="U297" s="121">
        <f t="shared" ref="U297" si="480">U295-S297</f>
        <v>2184.0100180092395</v>
      </c>
      <c r="V297" s="37"/>
    </row>
    <row r="298" spans="2:22" ht="15" thickBot="1" x14ac:dyDescent="0.35">
      <c r="B298" s="41"/>
      <c r="C298" s="35"/>
      <c r="D298" s="35"/>
      <c r="E298" s="35"/>
      <c r="F298" s="121"/>
      <c r="G298" s="121"/>
      <c r="H298" s="121"/>
      <c r="I298" s="121"/>
      <c r="J298" s="35"/>
      <c r="K298" s="37"/>
      <c r="M298" s="41"/>
      <c r="N298" s="35"/>
      <c r="O298" s="121"/>
      <c r="P298" s="121"/>
      <c r="Q298" s="121"/>
      <c r="R298" s="121"/>
      <c r="S298" s="35"/>
      <c r="T298" s="35"/>
      <c r="U298" s="35"/>
      <c r="V298" s="37"/>
    </row>
    <row r="299" spans="2:22" ht="15" thickBot="1" x14ac:dyDescent="0.35">
      <c r="B299" s="41">
        <v>124</v>
      </c>
      <c r="C299" s="35"/>
      <c r="D299" s="121">
        <f t="shared" ref="D299" si="481">$N$30</f>
        <v>15.588640673015377</v>
      </c>
      <c r="E299" s="35"/>
      <c r="F299" s="121">
        <f t="shared" ref="F299" si="482">($N$18/12)*J297</f>
        <v>6.0011370575995313</v>
      </c>
      <c r="G299" s="121"/>
      <c r="H299" s="121">
        <f t="shared" ref="H299" si="483">D299-F299</f>
        <v>9.5875036154158444</v>
      </c>
      <c r="I299" s="121"/>
      <c r="J299" s="121">
        <f t="shared" ref="J299" si="484">J297-H299</f>
        <v>2172.6441536935044</v>
      </c>
      <c r="K299" s="37"/>
      <c r="M299" s="41">
        <v>124</v>
      </c>
      <c r="N299" s="35"/>
      <c r="O299" s="121">
        <f t="shared" ref="O299" si="485">$S$29</f>
        <v>16.137436987603884</v>
      </c>
      <c r="P299" s="121"/>
      <c r="Q299" s="121">
        <f t="shared" ref="Q299" si="486">($S$18/12)*U297</f>
        <v>6.9160317236959248</v>
      </c>
      <c r="R299" s="121"/>
      <c r="S299" s="121">
        <f t="shared" ref="S299" si="487">O299-Q299</f>
        <v>9.2214052639079593</v>
      </c>
      <c r="T299" s="35"/>
      <c r="U299" s="121">
        <f t="shared" ref="U299" si="488">U297-S299</f>
        <v>2174.7886127453316</v>
      </c>
      <c r="V299" s="37"/>
    </row>
    <row r="300" spans="2:22" ht="15" thickBot="1" x14ac:dyDescent="0.35">
      <c r="B300" s="41"/>
      <c r="C300" s="35"/>
      <c r="D300" s="35"/>
      <c r="E300" s="35"/>
      <c r="F300" s="121"/>
      <c r="G300" s="121"/>
      <c r="H300" s="121"/>
      <c r="I300" s="121"/>
      <c r="J300" s="35"/>
      <c r="K300" s="37"/>
      <c r="M300" s="41"/>
      <c r="N300" s="35"/>
      <c r="O300" s="121"/>
      <c r="P300" s="121"/>
      <c r="Q300" s="121"/>
      <c r="R300" s="121"/>
      <c r="S300" s="35"/>
      <c r="T300" s="35"/>
      <c r="U300" s="35"/>
      <c r="V300" s="37"/>
    </row>
    <row r="301" spans="2:22" ht="15" thickBot="1" x14ac:dyDescent="0.35">
      <c r="B301" s="41">
        <v>125</v>
      </c>
      <c r="C301" s="35"/>
      <c r="D301" s="121">
        <f t="shared" ref="D301" si="489">$N$30</f>
        <v>15.588640673015377</v>
      </c>
      <c r="E301" s="35"/>
      <c r="F301" s="121">
        <f t="shared" ref="F301" si="490">($N$18/12)*J299</f>
        <v>5.9747714226571382</v>
      </c>
      <c r="G301" s="121"/>
      <c r="H301" s="121">
        <f t="shared" ref="H301" si="491">D301-F301</f>
        <v>9.6138692503582384</v>
      </c>
      <c r="I301" s="121"/>
      <c r="J301" s="121">
        <f t="shared" ref="J301" si="492">J299-H301</f>
        <v>2163.0302844431462</v>
      </c>
      <c r="K301" s="37"/>
      <c r="M301" s="41">
        <v>125</v>
      </c>
      <c r="N301" s="35"/>
      <c r="O301" s="121">
        <f t="shared" ref="O301" si="493">$S$29</f>
        <v>16.137436987603884</v>
      </c>
      <c r="P301" s="121"/>
      <c r="Q301" s="121">
        <f t="shared" ref="Q301" si="494">($S$18/12)*U299</f>
        <v>6.8868306070268837</v>
      </c>
      <c r="R301" s="121"/>
      <c r="S301" s="121">
        <f t="shared" ref="S301" si="495">O301-Q301</f>
        <v>9.2506063805770005</v>
      </c>
      <c r="T301" s="35"/>
      <c r="U301" s="121">
        <f t="shared" ref="U301" si="496">U299-S301</f>
        <v>2165.5380063647544</v>
      </c>
      <c r="V301" s="37"/>
    </row>
    <row r="302" spans="2:22" ht="15" thickBot="1" x14ac:dyDescent="0.35">
      <c r="B302" s="41"/>
      <c r="C302" s="35"/>
      <c r="D302" s="35"/>
      <c r="E302" s="35"/>
      <c r="F302" s="121"/>
      <c r="G302" s="121"/>
      <c r="H302" s="121"/>
      <c r="I302" s="121"/>
      <c r="J302" s="35"/>
      <c r="K302" s="37"/>
      <c r="M302" s="41"/>
      <c r="N302" s="35"/>
      <c r="O302" s="121"/>
      <c r="P302" s="121"/>
      <c r="Q302" s="121"/>
      <c r="R302" s="121"/>
      <c r="S302" s="35"/>
      <c r="T302" s="35"/>
      <c r="U302" s="35"/>
      <c r="V302" s="37"/>
    </row>
    <row r="303" spans="2:22" ht="15" thickBot="1" x14ac:dyDescent="0.35">
      <c r="B303" s="41">
        <v>126</v>
      </c>
      <c r="C303" s="35"/>
      <c r="D303" s="121">
        <f t="shared" ref="D303" si="497">$N$30</f>
        <v>15.588640673015377</v>
      </c>
      <c r="E303" s="35"/>
      <c r="F303" s="121">
        <f t="shared" ref="F303" si="498">($N$18/12)*J301</f>
        <v>5.9483332822186528</v>
      </c>
      <c r="G303" s="121"/>
      <c r="H303" s="121">
        <f t="shared" ref="H303" si="499">D303-F303</f>
        <v>9.6403073907967247</v>
      </c>
      <c r="I303" s="121"/>
      <c r="J303" s="121">
        <f t="shared" ref="J303" si="500">J301-H303</f>
        <v>2153.3899770523494</v>
      </c>
      <c r="K303" s="37"/>
      <c r="M303" s="41">
        <v>126</v>
      </c>
      <c r="N303" s="35"/>
      <c r="O303" s="121">
        <f t="shared" ref="O303" si="501">$S$29</f>
        <v>16.137436987603884</v>
      </c>
      <c r="P303" s="121"/>
      <c r="Q303" s="121">
        <f t="shared" ref="Q303" si="502">($S$18/12)*U301</f>
        <v>6.8575370201550552</v>
      </c>
      <c r="R303" s="121"/>
      <c r="S303" s="121">
        <f t="shared" ref="S303" si="503">O303-Q303</f>
        <v>9.2798999674488289</v>
      </c>
      <c r="T303" s="35"/>
      <c r="U303" s="121">
        <f t="shared" ref="U303" si="504">U301-S303</f>
        <v>2156.2581063973057</v>
      </c>
      <c r="V303" s="37"/>
    </row>
    <row r="304" spans="2:22" ht="15" thickBot="1" x14ac:dyDescent="0.35">
      <c r="B304" s="41"/>
      <c r="C304" s="35"/>
      <c r="D304" s="35"/>
      <c r="E304" s="35"/>
      <c r="F304" s="121"/>
      <c r="G304" s="121"/>
      <c r="H304" s="121"/>
      <c r="I304" s="121"/>
      <c r="J304" s="35"/>
      <c r="K304" s="37"/>
      <c r="M304" s="41"/>
      <c r="N304" s="35"/>
      <c r="O304" s="121"/>
      <c r="P304" s="121"/>
      <c r="Q304" s="121"/>
      <c r="R304" s="121"/>
      <c r="S304" s="35"/>
      <c r="T304" s="35"/>
      <c r="U304" s="35"/>
      <c r="V304" s="37"/>
    </row>
    <row r="305" spans="2:22" ht="15" thickBot="1" x14ac:dyDescent="0.35">
      <c r="B305" s="41">
        <v>127</v>
      </c>
      <c r="C305" s="35"/>
      <c r="D305" s="121">
        <f t="shared" ref="D305" si="505">$N$30</f>
        <v>15.588640673015377</v>
      </c>
      <c r="E305" s="35"/>
      <c r="F305" s="121">
        <f t="shared" ref="F305" si="506">($N$18/12)*J303</f>
        <v>5.9218224368939616</v>
      </c>
      <c r="G305" s="121"/>
      <c r="H305" s="121">
        <f t="shared" ref="H305" si="507">D305-F305</f>
        <v>9.666818236121415</v>
      </c>
      <c r="I305" s="121"/>
      <c r="J305" s="121">
        <f t="shared" ref="J305" si="508">J303-H305</f>
        <v>2143.7231588162281</v>
      </c>
      <c r="K305" s="37"/>
      <c r="M305" s="41">
        <v>127</v>
      </c>
      <c r="N305" s="35"/>
      <c r="O305" s="121">
        <f t="shared" ref="O305" si="509">$S$29</f>
        <v>16.137436987603884</v>
      </c>
      <c r="P305" s="121"/>
      <c r="Q305" s="121">
        <f t="shared" ref="Q305" si="510">($S$18/12)*U303</f>
        <v>6.8281506702581343</v>
      </c>
      <c r="R305" s="121"/>
      <c r="S305" s="121">
        <f t="shared" ref="S305" si="511">O305-Q305</f>
        <v>9.3092863173457499</v>
      </c>
      <c r="T305" s="35"/>
      <c r="U305" s="121">
        <f t="shared" ref="U305" si="512">U303-S305</f>
        <v>2146.9488200799601</v>
      </c>
      <c r="V305" s="37"/>
    </row>
    <row r="306" spans="2:22" ht="15" thickBot="1" x14ac:dyDescent="0.35">
      <c r="B306" s="41"/>
      <c r="C306" s="35"/>
      <c r="D306" s="35"/>
      <c r="E306" s="35"/>
      <c r="F306" s="121"/>
      <c r="G306" s="121"/>
      <c r="H306" s="121"/>
      <c r="I306" s="121"/>
      <c r="J306" s="35"/>
      <c r="K306" s="37"/>
      <c r="M306" s="41"/>
      <c r="N306" s="35"/>
      <c r="O306" s="121"/>
      <c r="P306" s="121"/>
      <c r="Q306" s="121"/>
      <c r="R306" s="121"/>
      <c r="S306" s="35"/>
      <c r="T306" s="35"/>
      <c r="U306" s="35"/>
      <c r="V306" s="37"/>
    </row>
    <row r="307" spans="2:22" ht="15" thickBot="1" x14ac:dyDescent="0.35">
      <c r="B307" s="41">
        <v>128</v>
      </c>
      <c r="C307" s="35"/>
      <c r="D307" s="121">
        <f t="shared" ref="D307" si="513">$N$30</f>
        <v>15.588640673015377</v>
      </c>
      <c r="E307" s="35"/>
      <c r="F307" s="121">
        <f t="shared" ref="F307" si="514">($N$18/12)*J305</f>
        <v>5.8952386867446274</v>
      </c>
      <c r="G307" s="121"/>
      <c r="H307" s="121">
        <f t="shared" ref="H307" si="515">D307-F307</f>
        <v>9.6934019862707501</v>
      </c>
      <c r="I307" s="121"/>
      <c r="J307" s="121">
        <f t="shared" ref="J307" si="516">J305-H307</f>
        <v>2134.0297568299575</v>
      </c>
      <c r="K307" s="37"/>
      <c r="M307" s="41">
        <v>128</v>
      </c>
      <c r="N307" s="35"/>
      <c r="O307" s="121">
        <f t="shared" ref="O307" si="517">$S$29</f>
        <v>16.137436987603884</v>
      </c>
      <c r="P307" s="121"/>
      <c r="Q307" s="121">
        <f t="shared" ref="Q307" si="518">($S$18/12)*U305</f>
        <v>6.7986712635865398</v>
      </c>
      <c r="R307" s="121"/>
      <c r="S307" s="121">
        <f t="shared" ref="S307" si="519">O307-Q307</f>
        <v>9.3387657240173443</v>
      </c>
      <c r="T307" s="35"/>
      <c r="U307" s="121">
        <f t="shared" ref="U307" si="520">U305-S307</f>
        <v>2137.6100543559428</v>
      </c>
      <c r="V307" s="37"/>
    </row>
    <row r="308" spans="2:22" ht="15" thickBot="1" x14ac:dyDescent="0.35">
      <c r="B308" s="41"/>
      <c r="C308" s="35"/>
      <c r="D308" s="35"/>
      <c r="E308" s="35"/>
      <c r="F308" s="121"/>
      <c r="G308" s="121"/>
      <c r="H308" s="121"/>
      <c r="I308" s="121"/>
      <c r="J308" s="35"/>
      <c r="K308" s="37"/>
      <c r="M308" s="41"/>
      <c r="N308" s="35"/>
      <c r="O308" s="121"/>
      <c r="P308" s="121"/>
      <c r="Q308" s="121"/>
      <c r="R308" s="121"/>
      <c r="S308" s="35"/>
      <c r="T308" s="35"/>
      <c r="U308" s="35"/>
      <c r="V308" s="37"/>
    </row>
    <row r="309" spans="2:22" ht="15" thickBot="1" x14ac:dyDescent="0.35">
      <c r="B309" s="41">
        <v>129</v>
      </c>
      <c r="C309" s="35"/>
      <c r="D309" s="121">
        <f t="shared" ref="D309" si="521">$N$30</f>
        <v>15.588640673015377</v>
      </c>
      <c r="E309" s="35"/>
      <c r="F309" s="121">
        <f t="shared" ref="F309" si="522">($N$18/12)*J307</f>
        <v>5.8685818312823841</v>
      </c>
      <c r="G309" s="121"/>
      <c r="H309" s="121">
        <f t="shared" ref="H309" si="523">D309-F309</f>
        <v>9.7200588417329925</v>
      </c>
      <c r="I309" s="121"/>
      <c r="J309" s="121">
        <f t="shared" ref="J309" si="524">J307-H309</f>
        <v>2124.3096979882243</v>
      </c>
      <c r="K309" s="37"/>
      <c r="M309" s="41">
        <v>129</v>
      </c>
      <c r="N309" s="35"/>
      <c r="O309" s="121">
        <f t="shared" ref="O309" si="525">$S$29</f>
        <v>16.137436987603884</v>
      </c>
      <c r="P309" s="121"/>
      <c r="Q309" s="121">
        <f t="shared" ref="Q309" si="526">($S$18/12)*U307</f>
        <v>6.7690985054604855</v>
      </c>
      <c r="R309" s="121"/>
      <c r="S309" s="121">
        <f t="shared" ref="S309" si="527">O309-Q309</f>
        <v>9.3683384821433986</v>
      </c>
      <c r="T309" s="35"/>
      <c r="U309" s="121">
        <f t="shared" ref="U309" si="528">U307-S309</f>
        <v>2128.2417158737994</v>
      </c>
      <c r="V309" s="37"/>
    </row>
    <row r="310" spans="2:22" ht="15" thickBot="1" x14ac:dyDescent="0.35">
      <c r="B310" s="41"/>
      <c r="C310" s="35"/>
      <c r="D310" s="35"/>
      <c r="E310" s="35"/>
      <c r="F310" s="121"/>
      <c r="G310" s="121"/>
      <c r="H310" s="121"/>
      <c r="I310" s="121"/>
      <c r="J310" s="35"/>
      <c r="K310" s="37"/>
      <c r="M310" s="41"/>
      <c r="N310" s="35"/>
      <c r="O310" s="121"/>
      <c r="P310" s="121"/>
      <c r="Q310" s="121"/>
      <c r="R310" s="121"/>
      <c r="S310" s="35"/>
      <c r="T310" s="35"/>
      <c r="U310" s="35"/>
      <c r="V310" s="37"/>
    </row>
    <row r="311" spans="2:22" ht="15" thickBot="1" x14ac:dyDescent="0.35">
      <c r="B311" s="41">
        <v>130</v>
      </c>
      <c r="C311" s="35"/>
      <c r="D311" s="121">
        <f t="shared" ref="D311" si="529">$N$30</f>
        <v>15.588640673015377</v>
      </c>
      <c r="E311" s="35"/>
      <c r="F311" s="121">
        <f t="shared" ref="F311" si="530">($N$18/12)*J309</f>
        <v>5.8418516694676175</v>
      </c>
      <c r="G311" s="121"/>
      <c r="H311" s="121">
        <f t="shared" ref="H311" si="531">D311-F311</f>
        <v>9.7467890035477591</v>
      </c>
      <c r="I311" s="121"/>
      <c r="J311" s="121">
        <f t="shared" ref="J311" si="532">J309-H311</f>
        <v>2114.5629089846766</v>
      </c>
      <c r="K311" s="37"/>
      <c r="M311" s="41">
        <v>130</v>
      </c>
      <c r="N311" s="35"/>
      <c r="O311" s="121">
        <f t="shared" ref="O311" si="533">$S$29</f>
        <v>16.137436987603884</v>
      </c>
      <c r="P311" s="121"/>
      <c r="Q311" s="121">
        <f t="shared" ref="Q311" si="534">($S$18/12)*U309</f>
        <v>6.739432100267031</v>
      </c>
      <c r="R311" s="121"/>
      <c r="S311" s="121">
        <f t="shared" ref="S311" si="535">O311-Q311</f>
        <v>9.3980048873368531</v>
      </c>
      <c r="T311" s="35"/>
      <c r="U311" s="121">
        <f t="shared" ref="U311" si="536">U309-S311</f>
        <v>2118.8437109864626</v>
      </c>
      <c r="V311" s="37"/>
    </row>
    <row r="312" spans="2:22" ht="15" thickBot="1" x14ac:dyDescent="0.35">
      <c r="B312" s="41"/>
      <c r="C312" s="35"/>
      <c r="D312" s="35"/>
      <c r="E312" s="35"/>
      <c r="F312" s="121"/>
      <c r="G312" s="121"/>
      <c r="H312" s="121"/>
      <c r="I312" s="121"/>
      <c r="J312" s="35"/>
      <c r="K312" s="37"/>
      <c r="M312" s="41"/>
      <c r="N312" s="35"/>
      <c r="O312" s="121"/>
      <c r="P312" s="121"/>
      <c r="Q312" s="121"/>
      <c r="R312" s="121"/>
      <c r="S312" s="35"/>
      <c r="T312" s="35"/>
      <c r="U312" s="35"/>
      <c r="V312" s="37"/>
    </row>
    <row r="313" spans="2:22" ht="15" thickBot="1" x14ac:dyDescent="0.35">
      <c r="B313" s="41">
        <v>131</v>
      </c>
      <c r="C313" s="35"/>
      <c r="D313" s="121">
        <f t="shared" ref="D313" si="537">$N$30</f>
        <v>15.588640673015377</v>
      </c>
      <c r="E313" s="35"/>
      <c r="F313" s="121">
        <f t="shared" ref="F313" si="538">($N$18/12)*J311</f>
        <v>5.8150479997078612</v>
      </c>
      <c r="G313" s="121"/>
      <c r="H313" s="121">
        <f t="shared" ref="H313" si="539">D313-F313</f>
        <v>9.7735926733075154</v>
      </c>
      <c r="I313" s="121"/>
      <c r="J313" s="121">
        <f t="shared" ref="J313" si="540">J311-H313</f>
        <v>2104.789316311369</v>
      </c>
      <c r="K313" s="37"/>
      <c r="M313" s="41">
        <v>131</v>
      </c>
      <c r="N313" s="35"/>
      <c r="O313" s="121">
        <f t="shared" ref="O313" si="541">$S$29</f>
        <v>16.137436987603884</v>
      </c>
      <c r="P313" s="121"/>
      <c r="Q313" s="121">
        <f t="shared" ref="Q313" si="542">($S$18/12)*U311</f>
        <v>6.7096717514571314</v>
      </c>
      <c r="R313" s="121"/>
      <c r="S313" s="121">
        <f t="shared" ref="S313" si="543">O313-Q313</f>
        <v>9.4277652361467528</v>
      </c>
      <c r="T313" s="35"/>
      <c r="U313" s="121">
        <f t="shared" ref="U313" si="544">U311-S313</f>
        <v>2109.415945750316</v>
      </c>
      <c r="V313" s="37"/>
    </row>
    <row r="314" spans="2:22" ht="15" thickBot="1" x14ac:dyDescent="0.35">
      <c r="B314" s="41"/>
      <c r="C314" s="35"/>
      <c r="D314" s="35"/>
      <c r="E314" s="35"/>
      <c r="F314" s="121"/>
      <c r="G314" s="121"/>
      <c r="H314" s="121"/>
      <c r="I314" s="121"/>
      <c r="J314" s="35"/>
      <c r="K314" s="37"/>
      <c r="M314" s="41"/>
      <c r="N314" s="35"/>
      <c r="O314" s="121"/>
      <c r="P314" s="121"/>
      <c r="Q314" s="121"/>
      <c r="R314" s="121"/>
      <c r="S314" s="35"/>
      <c r="T314" s="35"/>
      <c r="U314" s="35"/>
      <c r="V314" s="37"/>
    </row>
    <row r="315" spans="2:22" ht="15" thickBot="1" x14ac:dyDescent="0.35">
      <c r="B315" s="41">
        <v>132</v>
      </c>
      <c r="C315" s="35"/>
      <c r="D315" s="121">
        <f t="shared" ref="D315" si="545">$N$30</f>
        <v>15.588640673015377</v>
      </c>
      <c r="E315" s="35"/>
      <c r="F315" s="121">
        <f t="shared" ref="F315" si="546">($N$18/12)*J313</f>
        <v>5.788170619856265</v>
      </c>
      <c r="G315" s="121"/>
      <c r="H315" s="121">
        <f t="shared" ref="H315" si="547">D315-F315</f>
        <v>9.8004700531591116</v>
      </c>
      <c r="I315" s="121"/>
      <c r="J315" s="121">
        <f t="shared" ref="J315" si="548">J313-H315</f>
        <v>2094.9888462582098</v>
      </c>
      <c r="K315" s="37"/>
      <c r="M315" s="41">
        <v>132</v>
      </c>
      <c r="N315" s="35"/>
      <c r="O315" s="121">
        <f t="shared" ref="O315" si="549">$S$29</f>
        <v>16.137436987603884</v>
      </c>
      <c r="P315" s="121"/>
      <c r="Q315" s="121">
        <f t="shared" ref="Q315" si="550">($S$18/12)*U313</f>
        <v>6.6798171615426671</v>
      </c>
      <c r="R315" s="121"/>
      <c r="S315" s="121">
        <f t="shared" ref="S315" si="551">O315-Q315</f>
        <v>9.457619826061217</v>
      </c>
      <c r="T315" s="35"/>
      <c r="U315" s="121">
        <f t="shared" ref="U315" si="552">U313-S315</f>
        <v>2099.958325924255</v>
      </c>
      <c r="V315" s="37"/>
    </row>
    <row r="316" spans="2:22" ht="15" thickBot="1" x14ac:dyDescent="0.35">
      <c r="B316" s="41"/>
      <c r="C316" s="35"/>
      <c r="D316" s="35"/>
      <c r="E316" s="35"/>
      <c r="F316" s="121"/>
      <c r="G316" s="121"/>
      <c r="H316" s="121"/>
      <c r="I316" s="121"/>
      <c r="J316" s="35"/>
      <c r="K316" s="37"/>
      <c r="M316" s="41"/>
      <c r="N316" s="35"/>
      <c r="O316" s="121"/>
      <c r="P316" s="121"/>
      <c r="Q316" s="121"/>
      <c r="R316" s="121"/>
      <c r="S316" s="35"/>
      <c r="T316" s="35"/>
      <c r="U316" s="35"/>
      <c r="V316" s="37"/>
    </row>
    <row r="317" spans="2:22" ht="15" thickBot="1" x14ac:dyDescent="0.35">
      <c r="B317" s="41">
        <v>133</v>
      </c>
      <c r="C317" s="35"/>
      <c r="D317" s="121">
        <f t="shared" ref="D317" si="553">$N$30</f>
        <v>15.588640673015377</v>
      </c>
      <c r="E317" s="35"/>
      <c r="F317" s="121">
        <f t="shared" ref="F317" si="554">($N$18/12)*J315</f>
        <v>5.7612193272100773</v>
      </c>
      <c r="G317" s="121"/>
      <c r="H317" s="121">
        <f t="shared" ref="H317" si="555">D317-F317</f>
        <v>9.8274213458052984</v>
      </c>
      <c r="I317" s="121"/>
      <c r="J317" s="121">
        <f t="shared" ref="J317" si="556">J315-H317</f>
        <v>2085.1614249124045</v>
      </c>
      <c r="K317" s="37"/>
      <c r="M317" s="41">
        <v>133</v>
      </c>
      <c r="N317" s="35"/>
      <c r="O317" s="121">
        <f t="shared" ref="O317" si="557">$S$29</f>
        <v>16.137436987603884</v>
      </c>
      <c r="P317" s="121"/>
      <c r="Q317" s="121">
        <f t="shared" ref="Q317" si="558">($S$18/12)*U315</f>
        <v>6.6498680320934742</v>
      </c>
      <c r="R317" s="121"/>
      <c r="S317" s="121">
        <f t="shared" ref="S317" si="559">O317-Q317</f>
        <v>9.4875689555104099</v>
      </c>
      <c r="T317" s="35"/>
      <c r="U317" s="121">
        <f t="shared" ref="U317" si="560">U315-S317</f>
        <v>2090.4707569687444</v>
      </c>
      <c r="V317" s="37"/>
    </row>
    <row r="318" spans="2:22" ht="15" thickBot="1" x14ac:dyDescent="0.35">
      <c r="B318" s="41"/>
      <c r="C318" s="35"/>
      <c r="D318" s="35"/>
      <c r="E318" s="35"/>
      <c r="F318" s="121"/>
      <c r="G318" s="121"/>
      <c r="H318" s="121"/>
      <c r="I318" s="121"/>
      <c r="J318" s="35"/>
      <c r="K318" s="37"/>
      <c r="M318" s="41"/>
      <c r="N318" s="35"/>
      <c r="O318" s="121"/>
      <c r="P318" s="121"/>
      <c r="Q318" s="121"/>
      <c r="R318" s="121"/>
      <c r="S318" s="35"/>
      <c r="T318" s="35"/>
      <c r="U318" s="35"/>
      <c r="V318" s="37"/>
    </row>
    <row r="319" spans="2:22" ht="15" thickBot="1" x14ac:dyDescent="0.35">
      <c r="B319" s="41">
        <v>134</v>
      </c>
      <c r="C319" s="35"/>
      <c r="D319" s="121">
        <f t="shared" ref="D319" si="561">$N$30</f>
        <v>15.588640673015377</v>
      </c>
      <c r="E319" s="35"/>
      <c r="F319" s="121">
        <f t="shared" ref="F319" si="562">($N$18/12)*J317</f>
        <v>5.7341939185091126</v>
      </c>
      <c r="G319" s="121"/>
      <c r="H319" s="121">
        <f t="shared" ref="H319" si="563">D319-F319</f>
        <v>9.8544467545062631</v>
      </c>
      <c r="I319" s="121"/>
      <c r="J319" s="121">
        <f t="shared" ref="J319" si="564">J317-H319</f>
        <v>2075.3069781578984</v>
      </c>
      <c r="K319" s="37"/>
      <c r="M319" s="41">
        <v>134</v>
      </c>
      <c r="N319" s="35"/>
      <c r="O319" s="121">
        <f t="shared" ref="O319" si="565">$S$29</f>
        <v>16.137436987603884</v>
      </c>
      <c r="P319" s="121"/>
      <c r="Q319" s="121">
        <f t="shared" ref="Q319" si="566">($S$18/12)*U317</f>
        <v>6.6198240637343568</v>
      </c>
      <c r="R319" s="121"/>
      <c r="S319" s="121">
        <f t="shared" ref="S319" si="567">O319-Q319</f>
        <v>9.5176129238695282</v>
      </c>
      <c r="T319" s="35"/>
      <c r="U319" s="121">
        <f t="shared" ref="U319" si="568">U317-S319</f>
        <v>2080.953144044875</v>
      </c>
      <c r="V319" s="37"/>
    </row>
    <row r="320" spans="2:22" ht="15" thickBot="1" x14ac:dyDescent="0.35">
      <c r="B320" s="41"/>
      <c r="C320" s="35"/>
      <c r="D320" s="35"/>
      <c r="E320" s="35"/>
      <c r="F320" s="121"/>
      <c r="G320" s="121"/>
      <c r="H320" s="121"/>
      <c r="I320" s="121"/>
      <c r="J320" s="35"/>
      <c r="K320" s="37"/>
      <c r="M320" s="41"/>
      <c r="N320" s="35"/>
      <c r="O320" s="121"/>
      <c r="P320" s="121"/>
      <c r="Q320" s="121"/>
      <c r="R320" s="121"/>
      <c r="S320" s="35"/>
      <c r="T320" s="35"/>
      <c r="U320" s="35"/>
      <c r="V320" s="37"/>
    </row>
    <row r="321" spans="2:22" ht="15" thickBot="1" x14ac:dyDescent="0.35">
      <c r="B321" s="41">
        <v>135</v>
      </c>
      <c r="C321" s="35"/>
      <c r="D321" s="121">
        <f t="shared" ref="D321" si="569">$N$30</f>
        <v>15.588640673015377</v>
      </c>
      <c r="E321" s="35"/>
      <c r="F321" s="121">
        <f t="shared" ref="F321" si="570">($N$18/12)*J319</f>
        <v>5.7070941899342209</v>
      </c>
      <c r="G321" s="121"/>
      <c r="H321" s="121">
        <f t="shared" ref="H321" si="571">D321-F321</f>
        <v>9.8815464830811557</v>
      </c>
      <c r="I321" s="121"/>
      <c r="J321" s="121">
        <f t="shared" ref="J321" si="572">J319-H321</f>
        <v>2065.425431674817</v>
      </c>
      <c r="K321" s="37"/>
      <c r="M321" s="41">
        <v>135</v>
      </c>
      <c r="N321" s="35"/>
      <c r="O321" s="121">
        <f t="shared" ref="O321" si="573">$S$29</f>
        <v>16.137436987603884</v>
      </c>
      <c r="P321" s="121"/>
      <c r="Q321" s="121">
        <f t="shared" ref="Q321" si="574">($S$18/12)*U319</f>
        <v>6.5896849561421043</v>
      </c>
      <c r="R321" s="121"/>
      <c r="S321" s="121">
        <f t="shared" ref="S321" si="575">O321-Q321</f>
        <v>9.5477520314617799</v>
      </c>
      <c r="T321" s="35"/>
      <c r="U321" s="121">
        <f t="shared" ref="U321" si="576">U319-S321</f>
        <v>2071.4053920134133</v>
      </c>
      <c r="V321" s="37"/>
    </row>
    <row r="322" spans="2:22" ht="15" thickBot="1" x14ac:dyDescent="0.35">
      <c r="B322" s="41"/>
      <c r="C322" s="35"/>
      <c r="D322" s="35"/>
      <c r="E322" s="35"/>
      <c r="F322" s="121"/>
      <c r="G322" s="121"/>
      <c r="H322" s="121"/>
      <c r="I322" s="121"/>
      <c r="J322" s="35"/>
      <c r="K322" s="37"/>
      <c r="M322" s="41"/>
      <c r="N322" s="35"/>
      <c r="O322" s="121"/>
      <c r="P322" s="121"/>
      <c r="Q322" s="121"/>
      <c r="R322" s="121"/>
      <c r="S322" s="35"/>
      <c r="T322" s="35"/>
      <c r="U322" s="35"/>
      <c r="V322" s="37"/>
    </row>
    <row r="323" spans="2:22" ht="15" thickBot="1" x14ac:dyDescent="0.35">
      <c r="B323" s="41">
        <v>136</v>
      </c>
      <c r="C323" s="35"/>
      <c r="D323" s="121">
        <f t="shared" ref="D323" si="577">$N$30</f>
        <v>15.588640673015377</v>
      </c>
      <c r="E323" s="35"/>
      <c r="F323" s="121">
        <f t="shared" ref="F323" si="578">($N$18/12)*J321</f>
        <v>5.6799199371057476</v>
      </c>
      <c r="G323" s="121"/>
      <c r="H323" s="121">
        <f t="shared" ref="H323" si="579">D323-F323</f>
        <v>9.908720735909629</v>
      </c>
      <c r="I323" s="121"/>
      <c r="J323" s="121">
        <f t="shared" ref="J323" si="580">J321-H323</f>
        <v>2055.5167109389072</v>
      </c>
      <c r="K323" s="37"/>
      <c r="M323" s="41">
        <v>136</v>
      </c>
      <c r="N323" s="35"/>
      <c r="O323" s="121">
        <f t="shared" ref="O323" si="581">$S$29</f>
        <v>16.137436987603884</v>
      </c>
      <c r="P323" s="121"/>
      <c r="Q323" s="121">
        <f t="shared" ref="Q323" si="582">($S$18/12)*U321</f>
        <v>6.5594504080424754</v>
      </c>
      <c r="R323" s="121"/>
      <c r="S323" s="121">
        <f t="shared" ref="S323" si="583">O323-Q323</f>
        <v>9.5779865795614079</v>
      </c>
      <c r="T323" s="35"/>
      <c r="U323" s="121">
        <f t="shared" ref="U323" si="584">U321-S323</f>
        <v>2061.8274054338522</v>
      </c>
      <c r="V323" s="37"/>
    </row>
    <row r="324" spans="2:22" ht="15" thickBot="1" x14ac:dyDescent="0.35">
      <c r="B324" s="41"/>
      <c r="C324" s="35"/>
      <c r="D324" s="35"/>
      <c r="E324" s="35"/>
      <c r="F324" s="121"/>
      <c r="G324" s="121"/>
      <c r="H324" s="121"/>
      <c r="I324" s="121"/>
      <c r="J324" s="35"/>
      <c r="K324" s="37"/>
      <c r="M324" s="41"/>
      <c r="N324" s="35"/>
      <c r="O324" s="121"/>
      <c r="P324" s="121"/>
      <c r="Q324" s="121"/>
      <c r="R324" s="121"/>
      <c r="S324" s="35"/>
      <c r="T324" s="35"/>
      <c r="U324" s="35"/>
      <c r="V324" s="37"/>
    </row>
    <row r="325" spans="2:22" ht="15" thickBot="1" x14ac:dyDescent="0.35">
      <c r="B325" s="41">
        <v>137</v>
      </c>
      <c r="C325" s="35"/>
      <c r="D325" s="121">
        <f t="shared" ref="D325" si="585">$N$30</f>
        <v>15.588640673015377</v>
      </c>
      <c r="E325" s="35"/>
      <c r="F325" s="121">
        <f t="shared" ref="F325" si="586">($N$18/12)*J323</f>
        <v>5.6526709550819954</v>
      </c>
      <c r="G325" s="121"/>
      <c r="H325" s="121">
        <f t="shared" ref="H325" si="587">D325-F325</f>
        <v>9.9359697179333821</v>
      </c>
      <c r="I325" s="121"/>
      <c r="J325" s="121">
        <f t="shared" ref="J325" si="588">J323-H325</f>
        <v>2045.5807412209738</v>
      </c>
      <c r="K325" s="37"/>
      <c r="M325" s="41">
        <v>137</v>
      </c>
      <c r="N325" s="35"/>
      <c r="O325" s="121">
        <f t="shared" ref="O325" si="589">$S$29</f>
        <v>16.137436987603884</v>
      </c>
      <c r="P325" s="121"/>
      <c r="Q325" s="121">
        <f t="shared" ref="Q325" si="590">($S$18/12)*U323</f>
        <v>6.5291201172071984</v>
      </c>
      <c r="R325" s="121"/>
      <c r="S325" s="121">
        <f t="shared" ref="S325" si="591">O325-Q325</f>
        <v>9.6083168703966848</v>
      </c>
      <c r="T325" s="35"/>
      <c r="U325" s="121">
        <f t="shared" ref="U325" si="592">U323-S325</f>
        <v>2052.2190885634554</v>
      </c>
      <c r="V325" s="37"/>
    </row>
    <row r="326" spans="2:22" ht="15" thickBot="1" x14ac:dyDescent="0.35">
      <c r="B326" s="41"/>
      <c r="C326" s="35"/>
      <c r="D326" s="35"/>
      <c r="E326" s="35"/>
      <c r="F326" s="121"/>
      <c r="G326" s="121"/>
      <c r="H326" s="121"/>
      <c r="I326" s="121"/>
      <c r="J326" s="35"/>
      <c r="K326" s="37"/>
      <c r="M326" s="41"/>
      <c r="N326" s="35"/>
      <c r="O326" s="121"/>
      <c r="P326" s="121"/>
      <c r="Q326" s="121"/>
      <c r="R326" s="121"/>
      <c r="S326" s="35"/>
      <c r="T326" s="35"/>
      <c r="U326" s="35"/>
      <c r="V326" s="37"/>
    </row>
    <row r="327" spans="2:22" ht="15" thickBot="1" x14ac:dyDescent="0.35">
      <c r="B327" s="41">
        <v>138</v>
      </c>
      <c r="C327" s="35"/>
      <c r="D327" s="121">
        <f t="shared" ref="D327" si="593">$N$30</f>
        <v>15.588640673015377</v>
      </c>
      <c r="E327" s="35"/>
      <c r="F327" s="121">
        <f t="shared" ref="F327" si="594">($N$18/12)*J325</f>
        <v>5.6253470383576785</v>
      </c>
      <c r="G327" s="121"/>
      <c r="H327" s="121">
        <f t="shared" ref="H327" si="595">D327-F327</f>
        <v>9.963293634657699</v>
      </c>
      <c r="I327" s="121"/>
      <c r="J327" s="121">
        <f t="shared" ref="J327" si="596">J325-H327</f>
        <v>2035.6174475863161</v>
      </c>
      <c r="K327" s="37"/>
      <c r="M327" s="41">
        <v>138</v>
      </c>
      <c r="N327" s="35"/>
      <c r="O327" s="121">
        <f t="shared" ref="O327" si="597">$S$29</f>
        <v>16.137436987603884</v>
      </c>
      <c r="P327" s="121"/>
      <c r="Q327" s="121">
        <f t="shared" ref="Q327" si="598">($S$18/12)*U325</f>
        <v>6.4986937804509424</v>
      </c>
      <c r="R327" s="121"/>
      <c r="S327" s="121">
        <f t="shared" ref="S327" si="599">O327-Q327</f>
        <v>9.6387432071529417</v>
      </c>
      <c r="T327" s="35"/>
      <c r="U327" s="121">
        <f t="shared" ref="U327" si="600">U325-S327</f>
        <v>2042.5803453563026</v>
      </c>
      <c r="V327" s="37"/>
    </row>
    <row r="328" spans="2:22" ht="15" thickBot="1" x14ac:dyDescent="0.35">
      <c r="B328" s="41"/>
      <c r="C328" s="35"/>
      <c r="D328" s="35"/>
      <c r="E328" s="35"/>
      <c r="F328" s="121"/>
      <c r="G328" s="121"/>
      <c r="H328" s="121"/>
      <c r="I328" s="121"/>
      <c r="J328" s="35"/>
      <c r="K328" s="37"/>
      <c r="M328" s="41"/>
      <c r="N328" s="35"/>
      <c r="O328" s="121"/>
      <c r="P328" s="121"/>
      <c r="Q328" s="121"/>
      <c r="R328" s="121"/>
      <c r="S328" s="35"/>
      <c r="T328" s="35"/>
      <c r="U328" s="35"/>
      <c r="V328" s="37"/>
    </row>
    <row r="329" spans="2:22" ht="15" thickBot="1" x14ac:dyDescent="0.35">
      <c r="B329" s="41">
        <v>139</v>
      </c>
      <c r="C329" s="35"/>
      <c r="D329" s="121">
        <f t="shared" ref="D329" si="601">$N$30</f>
        <v>15.588640673015377</v>
      </c>
      <c r="E329" s="35"/>
      <c r="F329" s="121">
        <f t="shared" ref="F329" si="602">($N$18/12)*J327</f>
        <v>5.5979479808623696</v>
      </c>
      <c r="G329" s="121"/>
      <c r="H329" s="121">
        <f t="shared" ref="H329" si="603">D329-F329</f>
        <v>9.9906926921530079</v>
      </c>
      <c r="I329" s="121"/>
      <c r="J329" s="121">
        <f t="shared" ref="J329" si="604">J327-H329</f>
        <v>2025.626754894163</v>
      </c>
      <c r="K329" s="37"/>
      <c r="M329" s="41">
        <v>139</v>
      </c>
      <c r="N329" s="35"/>
      <c r="O329" s="121">
        <f t="shared" ref="O329" si="605">$S$29</f>
        <v>16.137436987603884</v>
      </c>
      <c r="P329" s="121"/>
      <c r="Q329" s="121">
        <f t="shared" ref="Q329" si="606">($S$18/12)*U327</f>
        <v>6.4681710936282917</v>
      </c>
      <c r="R329" s="121"/>
      <c r="S329" s="121">
        <f t="shared" ref="S329" si="607">O329-Q329</f>
        <v>9.6692658939755916</v>
      </c>
      <c r="T329" s="35"/>
      <c r="U329" s="121">
        <f t="shared" ref="U329" si="608">U327-S329</f>
        <v>2032.9110794623271</v>
      </c>
      <c r="V329" s="37"/>
    </row>
    <row r="330" spans="2:22" ht="15" thickBot="1" x14ac:dyDescent="0.35">
      <c r="B330" s="41"/>
      <c r="C330" s="35"/>
      <c r="D330" s="35"/>
      <c r="E330" s="35"/>
      <c r="F330" s="121"/>
      <c r="G330" s="121"/>
      <c r="H330" s="121"/>
      <c r="I330" s="121"/>
      <c r="J330" s="35"/>
      <c r="K330" s="37"/>
      <c r="M330" s="41"/>
      <c r="N330" s="35"/>
      <c r="O330" s="121"/>
      <c r="P330" s="121"/>
      <c r="Q330" s="121"/>
      <c r="R330" s="121"/>
      <c r="S330" s="35"/>
      <c r="T330" s="35"/>
      <c r="U330" s="35"/>
      <c r="V330" s="37"/>
    </row>
    <row r="331" spans="2:22" ht="15" thickBot="1" x14ac:dyDescent="0.35">
      <c r="B331" s="41">
        <v>140</v>
      </c>
      <c r="C331" s="35"/>
      <c r="D331" s="121">
        <f t="shared" ref="D331" si="609">$N$30</f>
        <v>15.588640673015377</v>
      </c>
      <c r="E331" s="35"/>
      <c r="F331" s="121">
        <f t="shared" ref="F331" si="610">($N$18/12)*J329</f>
        <v>5.5704735759589488</v>
      </c>
      <c r="G331" s="121"/>
      <c r="H331" s="121">
        <f t="shared" ref="H331" si="611">D331-F331</f>
        <v>10.018167097056427</v>
      </c>
      <c r="I331" s="121"/>
      <c r="J331" s="121">
        <f t="shared" ref="J331" si="612">J329-H331</f>
        <v>2015.6085877971066</v>
      </c>
      <c r="K331" s="37"/>
      <c r="M331" s="41">
        <v>140</v>
      </c>
      <c r="N331" s="35"/>
      <c r="O331" s="121">
        <f t="shared" ref="O331" si="613">$S$29</f>
        <v>16.137436987603884</v>
      </c>
      <c r="P331" s="121"/>
      <c r="Q331" s="121">
        <f t="shared" ref="Q331" si="614">($S$18/12)*U329</f>
        <v>6.4375517516307026</v>
      </c>
      <c r="R331" s="121"/>
      <c r="S331" s="121">
        <f t="shared" ref="S331" si="615">O331-Q331</f>
        <v>9.6998852359731806</v>
      </c>
      <c r="T331" s="35"/>
      <c r="U331" s="121">
        <f t="shared" ref="U331" si="616">U329-S331</f>
        <v>2023.2111942263539</v>
      </c>
      <c r="V331" s="37"/>
    </row>
    <row r="332" spans="2:22" ht="15" thickBot="1" x14ac:dyDescent="0.35">
      <c r="B332" s="41"/>
      <c r="C332" s="35"/>
      <c r="D332" s="35"/>
      <c r="E332" s="35"/>
      <c r="F332" s="121"/>
      <c r="G332" s="121"/>
      <c r="H332" s="121"/>
      <c r="I332" s="121"/>
      <c r="J332" s="35"/>
      <c r="K332" s="37"/>
      <c r="M332" s="41"/>
      <c r="N332" s="35"/>
      <c r="O332" s="121"/>
      <c r="P332" s="121"/>
      <c r="Q332" s="121"/>
      <c r="R332" s="121"/>
      <c r="S332" s="35"/>
      <c r="T332" s="35"/>
      <c r="U332" s="35"/>
      <c r="V332" s="37"/>
    </row>
    <row r="333" spans="2:22" ht="15" thickBot="1" x14ac:dyDescent="0.35">
      <c r="B333" s="41">
        <v>141</v>
      </c>
      <c r="C333" s="35"/>
      <c r="D333" s="121">
        <f t="shared" ref="D333" si="617">$N$30</f>
        <v>15.588640673015377</v>
      </c>
      <c r="E333" s="35"/>
      <c r="F333" s="121">
        <f t="shared" ref="F333" si="618">($N$18/12)*J331</f>
        <v>5.5429236164420432</v>
      </c>
      <c r="G333" s="121"/>
      <c r="H333" s="121">
        <f t="shared" ref="H333" si="619">D333-F333</f>
        <v>10.045717056573334</v>
      </c>
      <c r="I333" s="121"/>
      <c r="J333" s="121">
        <f t="shared" ref="J333" si="620">J331-H333</f>
        <v>2005.5628707405333</v>
      </c>
      <c r="K333" s="37"/>
      <c r="M333" s="41">
        <v>141</v>
      </c>
      <c r="N333" s="35"/>
      <c r="O333" s="121">
        <f t="shared" ref="O333" si="621">$S$29</f>
        <v>16.137436987603884</v>
      </c>
      <c r="P333" s="121"/>
      <c r="Q333" s="121">
        <f t="shared" ref="Q333" si="622">($S$18/12)*U331</f>
        <v>6.406835448383454</v>
      </c>
      <c r="R333" s="121"/>
      <c r="S333" s="121">
        <f t="shared" ref="S333" si="623">O333-Q333</f>
        <v>9.7306015392204301</v>
      </c>
      <c r="T333" s="35"/>
      <c r="U333" s="121">
        <f t="shared" ref="U333" si="624">U331-S333</f>
        <v>2013.4805926871334</v>
      </c>
      <c r="V333" s="37"/>
    </row>
    <row r="334" spans="2:22" ht="15" thickBot="1" x14ac:dyDescent="0.35">
      <c r="B334" s="41"/>
      <c r="C334" s="35"/>
      <c r="D334" s="35"/>
      <c r="E334" s="35"/>
      <c r="F334" s="121"/>
      <c r="G334" s="121"/>
      <c r="H334" s="121"/>
      <c r="I334" s="121"/>
      <c r="J334" s="35"/>
      <c r="K334" s="37"/>
      <c r="M334" s="41"/>
      <c r="N334" s="35"/>
      <c r="O334" s="121"/>
      <c r="P334" s="121"/>
      <c r="Q334" s="121"/>
      <c r="R334" s="121"/>
      <c r="S334" s="35"/>
      <c r="T334" s="35"/>
      <c r="U334" s="35"/>
      <c r="V334" s="37"/>
    </row>
    <row r="335" spans="2:22" ht="15" thickBot="1" x14ac:dyDescent="0.35">
      <c r="B335" s="41">
        <v>142</v>
      </c>
      <c r="C335" s="35"/>
      <c r="D335" s="121">
        <f t="shared" ref="D335" si="625">$N$30</f>
        <v>15.588640673015377</v>
      </c>
      <c r="E335" s="35"/>
      <c r="F335" s="121">
        <f t="shared" ref="F335" si="626">($N$18/12)*J333</f>
        <v>5.5152978945364675</v>
      </c>
      <c r="G335" s="121"/>
      <c r="H335" s="121">
        <f t="shared" ref="H335" si="627">D335-F335</f>
        <v>10.07334277847891</v>
      </c>
      <c r="I335" s="121"/>
      <c r="J335" s="121">
        <f t="shared" ref="J335" si="628">J333-H335</f>
        <v>1995.4895279620544</v>
      </c>
      <c r="K335" s="37"/>
      <c r="M335" s="41">
        <v>142</v>
      </c>
      <c r="N335" s="35"/>
      <c r="O335" s="121">
        <f t="shared" ref="O335" si="629">$S$29</f>
        <v>16.137436987603884</v>
      </c>
      <c r="P335" s="121"/>
      <c r="Q335" s="121">
        <f t="shared" ref="Q335" si="630">($S$18/12)*U333</f>
        <v>6.3760218768425885</v>
      </c>
      <c r="R335" s="121"/>
      <c r="S335" s="121">
        <f t="shared" ref="S335" si="631">O335-Q335</f>
        <v>9.7614151107612948</v>
      </c>
      <c r="T335" s="35"/>
      <c r="U335" s="121">
        <f t="shared" ref="U335" si="632">U333-S335</f>
        <v>2003.719177576372</v>
      </c>
      <c r="V335" s="37"/>
    </row>
    <row r="336" spans="2:22" ht="15" thickBot="1" x14ac:dyDescent="0.35">
      <c r="B336" s="41"/>
      <c r="C336" s="35"/>
      <c r="D336" s="35"/>
      <c r="E336" s="35"/>
      <c r="F336" s="121"/>
      <c r="G336" s="121"/>
      <c r="H336" s="121"/>
      <c r="I336" s="121"/>
      <c r="J336" s="35"/>
      <c r="K336" s="37"/>
      <c r="M336" s="41"/>
      <c r="N336" s="35"/>
      <c r="O336" s="121"/>
      <c r="P336" s="121"/>
      <c r="Q336" s="121"/>
      <c r="R336" s="121"/>
      <c r="S336" s="35"/>
      <c r="T336" s="35"/>
      <c r="U336" s="35"/>
      <c r="V336" s="37"/>
    </row>
    <row r="337" spans="2:22" ht="15" thickBot="1" x14ac:dyDescent="0.35">
      <c r="B337" s="41">
        <v>143</v>
      </c>
      <c r="C337" s="35"/>
      <c r="D337" s="121">
        <f t="shared" ref="D337" si="633">$N$30</f>
        <v>15.588640673015377</v>
      </c>
      <c r="E337" s="35"/>
      <c r="F337" s="121">
        <f t="shared" ref="F337" si="634">($N$18/12)*J335</f>
        <v>5.4875962018956503</v>
      </c>
      <c r="G337" s="121"/>
      <c r="H337" s="121">
        <f t="shared" ref="H337" si="635">D337-F337</f>
        <v>10.101044471119726</v>
      </c>
      <c r="I337" s="121"/>
      <c r="J337" s="121">
        <f t="shared" ref="J337" si="636">J335-H337</f>
        <v>1985.3884834909347</v>
      </c>
      <c r="K337" s="37"/>
      <c r="M337" s="41">
        <v>143</v>
      </c>
      <c r="N337" s="35"/>
      <c r="O337" s="121">
        <f t="shared" ref="O337" si="637">$S$29</f>
        <v>16.137436987603884</v>
      </c>
      <c r="P337" s="121"/>
      <c r="Q337" s="121">
        <f t="shared" ref="Q337" si="638">($S$18/12)*U335</f>
        <v>6.3451107289918447</v>
      </c>
      <c r="R337" s="121"/>
      <c r="S337" s="121">
        <f t="shared" ref="S337" si="639">O337-Q337</f>
        <v>9.7923262586120394</v>
      </c>
      <c r="T337" s="35"/>
      <c r="U337" s="121">
        <f t="shared" ref="U337" si="640">U335-S337</f>
        <v>1993.9268513177599</v>
      </c>
      <c r="V337" s="37"/>
    </row>
    <row r="338" spans="2:22" ht="15" thickBot="1" x14ac:dyDescent="0.35">
      <c r="B338" s="41"/>
      <c r="C338" s="35"/>
      <c r="D338" s="35"/>
      <c r="E338" s="35"/>
      <c r="F338" s="121"/>
      <c r="G338" s="121"/>
      <c r="H338" s="121"/>
      <c r="I338" s="121"/>
      <c r="J338" s="35"/>
      <c r="K338" s="37"/>
      <c r="M338" s="41"/>
      <c r="N338" s="35"/>
      <c r="O338" s="121"/>
      <c r="P338" s="121"/>
      <c r="Q338" s="121"/>
      <c r="R338" s="121"/>
      <c r="S338" s="35"/>
      <c r="T338" s="35"/>
      <c r="U338" s="35"/>
      <c r="V338" s="37"/>
    </row>
    <row r="339" spans="2:22" ht="15" thickBot="1" x14ac:dyDescent="0.35">
      <c r="B339" s="41">
        <v>144</v>
      </c>
      <c r="C339" s="35"/>
      <c r="D339" s="121">
        <f t="shared" ref="D339" si="641">$N$30</f>
        <v>15.588640673015377</v>
      </c>
      <c r="E339" s="35"/>
      <c r="F339" s="121">
        <f t="shared" ref="F339" si="642">($N$18/12)*J337</f>
        <v>5.4598183296000711</v>
      </c>
      <c r="G339" s="121"/>
      <c r="H339" s="121">
        <f t="shared" ref="H339" si="643">D339-F339</f>
        <v>10.128822343415305</v>
      </c>
      <c r="I339" s="121"/>
      <c r="J339" s="121">
        <f t="shared" ref="J339" si="644">J337-H339</f>
        <v>1975.2596611475194</v>
      </c>
      <c r="K339" s="37"/>
      <c r="M339" s="41">
        <v>144</v>
      </c>
      <c r="N339" s="35"/>
      <c r="O339" s="121">
        <f t="shared" ref="O339" si="645">$S$29</f>
        <v>16.137436987603884</v>
      </c>
      <c r="P339" s="121"/>
      <c r="Q339" s="121">
        <f t="shared" ref="Q339" si="646">($S$18/12)*U337</f>
        <v>6.3141016958395726</v>
      </c>
      <c r="R339" s="121"/>
      <c r="S339" s="121">
        <f t="shared" ref="S339" si="647">O339-Q339</f>
        <v>9.8233352917643124</v>
      </c>
      <c r="T339" s="35"/>
      <c r="U339" s="121">
        <f t="shared" ref="U339" si="648">U337-S339</f>
        <v>1984.1035160259955</v>
      </c>
      <c r="V339" s="37"/>
    </row>
    <row r="340" spans="2:22" ht="15" thickBot="1" x14ac:dyDescent="0.35">
      <c r="B340" s="41"/>
      <c r="C340" s="35"/>
      <c r="D340" s="35"/>
      <c r="E340" s="35"/>
      <c r="F340" s="121"/>
      <c r="G340" s="121"/>
      <c r="H340" s="121"/>
      <c r="I340" s="121"/>
      <c r="J340" s="35"/>
      <c r="K340" s="37"/>
      <c r="M340" s="41"/>
      <c r="N340" s="35"/>
      <c r="O340" s="121"/>
      <c r="P340" s="121"/>
      <c r="Q340" s="121"/>
      <c r="R340" s="121"/>
      <c r="S340" s="35"/>
      <c r="T340" s="35"/>
      <c r="U340" s="35"/>
      <c r="V340" s="37"/>
    </row>
    <row r="341" spans="2:22" ht="15" thickBot="1" x14ac:dyDescent="0.35">
      <c r="B341" s="41">
        <v>145</v>
      </c>
      <c r="C341" s="35"/>
      <c r="D341" s="121">
        <f t="shared" ref="D341" si="649">$N$30</f>
        <v>15.588640673015377</v>
      </c>
      <c r="E341" s="35"/>
      <c r="F341" s="121">
        <f t="shared" ref="F341" si="650">($N$18/12)*J339</f>
        <v>5.4319640681556791</v>
      </c>
      <c r="G341" s="121"/>
      <c r="H341" s="121">
        <f t="shared" ref="H341" si="651">D341-F341</f>
        <v>10.156676604859697</v>
      </c>
      <c r="I341" s="121"/>
      <c r="J341" s="121">
        <f t="shared" ref="J341" si="652">J339-H341</f>
        <v>1965.1029845426597</v>
      </c>
      <c r="K341" s="37"/>
      <c r="M341" s="41">
        <v>145</v>
      </c>
      <c r="N341" s="35"/>
      <c r="O341" s="121">
        <f t="shared" ref="O341" si="653">$S$29</f>
        <v>16.137436987603884</v>
      </c>
      <c r="P341" s="121"/>
      <c r="Q341" s="121">
        <f t="shared" ref="Q341" si="654">($S$18/12)*U339</f>
        <v>6.2829944674156524</v>
      </c>
      <c r="R341" s="121"/>
      <c r="S341" s="121">
        <f t="shared" ref="S341" si="655">O341-Q341</f>
        <v>9.8544425201882326</v>
      </c>
      <c r="T341" s="35"/>
      <c r="U341" s="121">
        <f t="shared" ref="U341" si="656">U339-S341</f>
        <v>1974.2490735058072</v>
      </c>
      <c r="V341" s="37"/>
    </row>
    <row r="342" spans="2:22" ht="15" thickBot="1" x14ac:dyDescent="0.35">
      <c r="B342" s="41"/>
      <c r="C342" s="35"/>
      <c r="D342" s="35"/>
      <c r="E342" s="35"/>
      <c r="F342" s="121"/>
      <c r="G342" s="121"/>
      <c r="H342" s="121"/>
      <c r="I342" s="121"/>
      <c r="J342" s="35"/>
      <c r="K342" s="37"/>
      <c r="M342" s="41"/>
      <c r="N342" s="35"/>
      <c r="O342" s="121"/>
      <c r="P342" s="121"/>
      <c r="Q342" s="121"/>
      <c r="R342" s="121"/>
      <c r="S342" s="35"/>
      <c r="T342" s="35"/>
      <c r="U342" s="35"/>
      <c r="V342" s="37"/>
    </row>
    <row r="343" spans="2:22" ht="15" thickBot="1" x14ac:dyDescent="0.35">
      <c r="B343" s="41">
        <v>146</v>
      </c>
      <c r="C343" s="35"/>
      <c r="D343" s="121">
        <f t="shared" ref="D343" si="657">$N$30</f>
        <v>15.588640673015377</v>
      </c>
      <c r="E343" s="35"/>
      <c r="F343" s="121">
        <f t="shared" ref="F343" si="658">($N$18/12)*J341</f>
        <v>5.404033207492315</v>
      </c>
      <c r="G343" s="121"/>
      <c r="H343" s="121">
        <f t="shared" ref="H343" si="659">D343-F343</f>
        <v>10.184607465523062</v>
      </c>
      <c r="I343" s="121"/>
      <c r="J343" s="121">
        <f t="shared" ref="J343" si="660">J341-H343</f>
        <v>1954.9183770771367</v>
      </c>
      <c r="K343" s="37"/>
      <c r="M343" s="41">
        <v>146</v>
      </c>
      <c r="N343" s="35"/>
      <c r="O343" s="121">
        <f t="shared" ref="O343" si="661">$S$29</f>
        <v>16.137436987603884</v>
      </c>
      <c r="P343" s="121"/>
      <c r="Q343" s="121">
        <f t="shared" ref="Q343" si="662">($S$18/12)*U341</f>
        <v>6.2517887327683894</v>
      </c>
      <c r="R343" s="121"/>
      <c r="S343" s="121">
        <f t="shared" ref="S343" si="663">O343-Q343</f>
        <v>9.8856482548354947</v>
      </c>
      <c r="T343" s="35"/>
      <c r="U343" s="121">
        <f t="shared" ref="U343" si="664">U341-S343</f>
        <v>1964.3634252509717</v>
      </c>
      <c r="V343" s="37"/>
    </row>
    <row r="344" spans="2:22" ht="15" thickBot="1" x14ac:dyDescent="0.35">
      <c r="B344" s="41"/>
      <c r="C344" s="35"/>
      <c r="D344" s="35"/>
      <c r="E344" s="35"/>
      <c r="F344" s="121"/>
      <c r="G344" s="121"/>
      <c r="H344" s="121"/>
      <c r="I344" s="121"/>
      <c r="J344" s="35"/>
      <c r="K344" s="37"/>
      <c r="M344" s="41"/>
      <c r="N344" s="35"/>
      <c r="O344" s="121"/>
      <c r="P344" s="121"/>
      <c r="Q344" s="121"/>
      <c r="R344" s="121"/>
      <c r="S344" s="35"/>
      <c r="T344" s="35"/>
      <c r="U344" s="35"/>
      <c r="V344" s="37"/>
    </row>
    <row r="345" spans="2:22" ht="15" thickBot="1" x14ac:dyDescent="0.35">
      <c r="B345" s="41">
        <v>147</v>
      </c>
      <c r="C345" s="35"/>
      <c r="D345" s="121">
        <f t="shared" ref="D345" si="665">$N$30</f>
        <v>15.588640673015377</v>
      </c>
      <c r="E345" s="35"/>
      <c r="F345" s="121">
        <f t="shared" ref="F345" si="666">($N$18/12)*J343</f>
        <v>5.3760255369621266</v>
      </c>
      <c r="G345" s="121"/>
      <c r="H345" s="121">
        <f t="shared" ref="H345" si="667">D345-F345</f>
        <v>10.21261513605325</v>
      </c>
      <c r="I345" s="121"/>
      <c r="J345" s="121">
        <f t="shared" ref="J345" si="668">J343-H345</f>
        <v>1944.7057619410834</v>
      </c>
      <c r="K345" s="37"/>
      <c r="M345" s="41">
        <v>147</v>
      </c>
      <c r="N345" s="35"/>
      <c r="O345" s="121">
        <f t="shared" ref="O345" si="669">$S$29</f>
        <v>16.137436987603884</v>
      </c>
      <c r="P345" s="121"/>
      <c r="Q345" s="121">
        <f t="shared" ref="Q345" si="670">($S$18/12)*U343</f>
        <v>6.2204841799614101</v>
      </c>
      <c r="R345" s="121"/>
      <c r="S345" s="121">
        <f t="shared" ref="S345" si="671">O345-Q345</f>
        <v>9.916952807642474</v>
      </c>
      <c r="T345" s="35"/>
      <c r="U345" s="121">
        <f t="shared" ref="U345" si="672">U343-S345</f>
        <v>1954.4464724433292</v>
      </c>
      <c r="V345" s="37"/>
    </row>
    <row r="346" spans="2:22" ht="15" thickBot="1" x14ac:dyDescent="0.35">
      <c r="B346" s="41"/>
      <c r="C346" s="35"/>
      <c r="D346" s="35"/>
      <c r="E346" s="35"/>
      <c r="F346" s="121"/>
      <c r="G346" s="121"/>
      <c r="H346" s="121"/>
      <c r="I346" s="121"/>
      <c r="J346" s="35"/>
      <c r="K346" s="37"/>
      <c r="M346" s="41"/>
      <c r="N346" s="35"/>
      <c r="O346" s="121"/>
      <c r="P346" s="121"/>
      <c r="Q346" s="121"/>
      <c r="R346" s="121"/>
      <c r="S346" s="35"/>
      <c r="T346" s="35"/>
      <c r="U346" s="35"/>
      <c r="V346" s="37"/>
    </row>
    <row r="347" spans="2:22" ht="15" thickBot="1" x14ac:dyDescent="0.35">
      <c r="B347" s="41">
        <v>148</v>
      </c>
      <c r="C347" s="35"/>
      <c r="D347" s="121">
        <f t="shared" ref="D347" si="673">$N$30</f>
        <v>15.588640673015377</v>
      </c>
      <c r="E347" s="35"/>
      <c r="F347" s="121">
        <f t="shared" ref="F347" si="674">($N$18/12)*J345</f>
        <v>5.3479408453379804</v>
      </c>
      <c r="G347" s="121"/>
      <c r="H347" s="121">
        <f t="shared" ref="H347" si="675">D347-F347</f>
        <v>10.240699827677396</v>
      </c>
      <c r="I347" s="121"/>
      <c r="J347" s="121">
        <f t="shared" ref="J347" si="676">J345-H347</f>
        <v>1934.465062113406</v>
      </c>
      <c r="K347" s="37"/>
      <c r="M347" s="41">
        <v>148</v>
      </c>
      <c r="N347" s="35"/>
      <c r="O347" s="121">
        <f t="shared" ref="O347" si="677">$S$29</f>
        <v>16.137436987603884</v>
      </c>
      <c r="P347" s="121"/>
      <c r="Q347" s="121">
        <f t="shared" ref="Q347" si="678">($S$18/12)*U345</f>
        <v>6.1890804960705426</v>
      </c>
      <c r="R347" s="121"/>
      <c r="S347" s="121">
        <f t="shared" ref="S347" si="679">O347-Q347</f>
        <v>9.9483564915333424</v>
      </c>
      <c r="T347" s="35"/>
      <c r="U347" s="121">
        <f t="shared" ref="U347" si="680">U345-S347</f>
        <v>1944.4981159517959</v>
      </c>
      <c r="V347" s="37"/>
    </row>
    <row r="348" spans="2:22" ht="15" thickBot="1" x14ac:dyDescent="0.35">
      <c r="B348" s="41"/>
      <c r="C348" s="35"/>
      <c r="D348" s="35"/>
      <c r="E348" s="35"/>
      <c r="F348" s="121"/>
      <c r="G348" s="121"/>
      <c r="H348" s="121"/>
      <c r="I348" s="121"/>
      <c r="J348" s="35"/>
      <c r="K348" s="37"/>
      <c r="M348" s="41"/>
      <c r="N348" s="35"/>
      <c r="O348" s="121"/>
      <c r="P348" s="121"/>
      <c r="Q348" s="121"/>
      <c r="R348" s="121"/>
      <c r="S348" s="35"/>
      <c r="T348" s="35"/>
      <c r="U348" s="35"/>
      <c r="V348" s="37"/>
    </row>
    <row r="349" spans="2:22" ht="15" thickBot="1" x14ac:dyDescent="0.35">
      <c r="B349" s="41">
        <v>149</v>
      </c>
      <c r="C349" s="35"/>
      <c r="D349" s="121">
        <f t="shared" ref="D349" si="681">$N$30</f>
        <v>15.588640673015377</v>
      </c>
      <c r="E349" s="35"/>
      <c r="F349" s="121">
        <f t="shared" ref="F349" si="682">($N$18/12)*J347</f>
        <v>5.3197789208118671</v>
      </c>
      <c r="G349" s="121"/>
      <c r="H349" s="121">
        <f t="shared" ref="H349" si="683">D349-F349</f>
        <v>10.268861752203509</v>
      </c>
      <c r="I349" s="121"/>
      <c r="J349" s="121">
        <f t="shared" ref="J349" si="684">J347-H349</f>
        <v>1924.1962003612025</v>
      </c>
      <c r="K349" s="37"/>
      <c r="M349" s="41">
        <v>149</v>
      </c>
      <c r="N349" s="35"/>
      <c r="O349" s="121">
        <f t="shared" ref="O349" si="685">$S$29</f>
        <v>16.137436987603884</v>
      </c>
      <c r="P349" s="121"/>
      <c r="Q349" s="121">
        <f t="shared" ref="Q349" si="686">($S$18/12)*U347</f>
        <v>6.1575773671806866</v>
      </c>
      <c r="R349" s="121"/>
      <c r="S349" s="121">
        <f t="shared" ref="S349" si="687">O349-Q349</f>
        <v>9.9798596204231984</v>
      </c>
      <c r="T349" s="35"/>
      <c r="U349" s="121">
        <f t="shared" ref="U349" si="688">U347-S349</f>
        <v>1934.5182563313726</v>
      </c>
      <c r="V349" s="37"/>
    </row>
    <row r="350" spans="2:22" ht="15" thickBot="1" x14ac:dyDescent="0.35">
      <c r="B350" s="41"/>
      <c r="C350" s="35"/>
      <c r="D350" s="35"/>
      <c r="E350" s="35"/>
      <c r="F350" s="121"/>
      <c r="G350" s="121"/>
      <c r="H350" s="121"/>
      <c r="I350" s="121"/>
      <c r="J350" s="35"/>
      <c r="K350" s="37"/>
      <c r="M350" s="41"/>
      <c r="N350" s="35"/>
      <c r="O350" s="121"/>
      <c r="P350" s="121"/>
      <c r="Q350" s="121"/>
      <c r="R350" s="121"/>
      <c r="S350" s="35"/>
      <c r="T350" s="35"/>
      <c r="U350" s="35"/>
      <c r="V350" s="37"/>
    </row>
    <row r="351" spans="2:22" ht="15" thickBot="1" x14ac:dyDescent="0.35">
      <c r="B351" s="41">
        <v>150</v>
      </c>
      <c r="C351" s="35"/>
      <c r="D351" s="121">
        <f t="shared" ref="D351" si="689">$N$30</f>
        <v>15.588640673015377</v>
      </c>
      <c r="E351" s="35"/>
      <c r="F351" s="121">
        <f t="shared" ref="F351" si="690">($N$18/12)*J349</f>
        <v>5.2915395509933072</v>
      </c>
      <c r="G351" s="121"/>
      <c r="H351" s="121">
        <f t="shared" ref="H351" si="691">D351-F351</f>
        <v>10.29710112202207</v>
      </c>
      <c r="I351" s="121"/>
      <c r="J351" s="121">
        <f t="shared" ref="J351" si="692">J349-H351</f>
        <v>1913.8990992391805</v>
      </c>
      <c r="K351" s="37"/>
      <c r="M351" s="41">
        <v>150</v>
      </c>
      <c r="N351" s="35"/>
      <c r="O351" s="121">
        <f t="shared" ref="O351" si="693">$S$29</f>
        <v>16.137436987603884</v>
      </c>
      <c r="P351" s="121"/>
      <c r="Q351" s="121">
        <f t="shared" ref="Q351" si="694">($S$18/12)*U349</f>
        <v>6.1259744783826795</v>
      </c>
      <c r="R351" s="121"/>
      <c r="S351" s="121">
        <f t="shared" ref="S351" si="695">O351-Q351</f>
        <v>10.011462509221204</v>
      </c>
      <c r="T351" s="35"/>
      <c r="U351" s="121">
        <f t="shared" ref="U351" si="696">U349-S351</f>
        <v>1924.5067938221514</v>
      </c>
      <c r="V351" s="37"/>
    </row>
    <row r="352" spans="2:22" ht="15" thickBot="1" x14ac:dyDescent="0.35">
      <c r="B352" s="41"/>
      <c r="C352" s="35"/>
      <c r="D352" s="35"/>
      <c r="E352" s="35"/>
      <c r="F352" s="121"/>
      <c r="G352" s="121"/>
      <c r="H352" s="121"/>
      <c r="I352" s="121"/>
      <c r="J352" s="35"/>
      <c r="K352" s="37"/>
      <c r="M352" s="41"/>
      <c r="N352" s="35"/>
      <c r="O352" s="121"/>
      <c r="P352" s="121"/>
      <c r="Q352" s="121"/>
      <c r="R352" s="121"/>
      <c r="S352" s="35"/>
      <c r="T352" s="35"/>
      <c r="U352" s="35"/>
      <c r="V352" s="37"/>
    </row>
    <row r="353" spans="2:22" ht="15" thickBot="1" x14ac:dyDescent="0.35">
      <c r="B353" s="41">
        <v>151</v>
      </c>
      <c r="C353" s="35"/>
      <c r="D353" s="121">
        <f t="shared" ref="D353" si="697">$N$30</f>
        <v>15.588640673015377</v>
      </c>
      <c r="E353" s="35"/>
      <c r="F353" s="121">
        <f t="shared" ref="F353" si="698">($N$18/12)*J351</f>
        <v>5.2632225229077472</v>
      </c>
      <c r="G353" s="121"/>
      <c r="H353" s="121">
        <f t="shared" ref="H353" si="699">D353-F353</f>
        <v>10.32541815010763</v>
      </c>
      <c r="I353" s="121"/>
      <c r="J353" s="121">
        <f t="shared" ref="J353" si="700">J351-H353</f>
        <v>1903.5736810890728</v>
      </c>
      <c r="K353" s="37"/>
      <c r="M353" s="41">
        <v>151</v>
      </c>
      <c r="N353" s="35"/>
      <c r="O353" s="121">
        <f t="shared" ref="O353" si="701">$S$29</f>
        <v>16.137436987603884</v>
      </c>
      <c r="P353" s="121"/>
      <c r="Q353" s="121">
        <f t="shared" ref="Q353" si="702">($S$18/12)*U351</f>
        <v>6.0942715137701455</v>
      </c>
      <c r="R353" s="121"/>
      <c r="S353" s="121">
        <f t="shared" ref="S353" si="703">O353-Q353</f>
        <v>10.043165473833739</v>
      </c>
      <c r="T353" s="35"/>
      <c r="U353" s="121">
        <f t="shared" ref="U353" si="704">U351-S353</f>
        <v>1914.4636283483176</v>
      </c>
      <c r="V353" s="37"/>
    </row>
    <row r="354" spans="2:22" ht="15" thickBot="1" x14ac:dyDescent="0.35">
      <c r="B354" s="41"/>
      <c r="C354" s="35"/>
      <c r="D354" s="35"/>
      <c r="E354" s="35"/>
      <c r="F354" s="121"/>
      <c r="G354" s="121"/>
      <c r="H354" s="121"/>
      <c r="I354" s="121"/>
      <c r="J354" s="35"/>
      <c r="K354" s="37"/>
      <c r="M354" s="41"/>
      <c r="N354" s="35"/>
      <c r="O354" s="121"/>
      <c r="P354" s="121"/>
      <c r="Q354" s="121"/>
      <c r="R354" s="121"/>
      <c r="S354" s="35"/>
      <c r="T354" s="35"/>
      <c r="U354" s="35"/>
      <c r="V354" s="37"/>
    </row>
    <row r="355" spans="2:22" ht="15" thickBot="1" x14ac:dyDescent="0.35">
      <c r="B355" s="41">
        <v>152</v>
      </c>
      <c r="C355" s="35"/>
      <c r="D355" s="121">
        <f t="shared" ref="D355" si="705">$N$30</f>
        <v>15.588640673015377</v>
      </c>
      <c r="E355" s="35"/>
      <c r="F355" s="121">
        <f t="shared" ref="F355" si="706">($N$18/12)*J353</f>
        <v>5.2348276229949509</v>
      </c>
      <c r="G355" s="121"/>
      <c r="H355" s="121">
        <f t="shared" ref="H355" si="707">D355-F355</f>
        <v>10.353813050020426</v>
      </c>
      <c r="I355" s="121"/>
      <c r="J355" s="121">
        <f t="shared" ref="J355" si="708">J353-H355</f>
        <v>1893.2198680390525</v>
      </c>
      <c r="K355" s="37"/>
      <c r="M355" s="41">
        <v>152</v>
      </c>
      <c r="N355" s="35"/>
      <c r="O355" s="121">
        <f t="shared" ref="O355" si="709">$S$29</f>
        <v>16.137436987603884</v>
      </c>
      <c r="P355" s="121"/>
      <c r="Q355" s="121">
        <f t="shared" ref="Q355" si="710">($S$18/12)*U353</f>
        <v>6.0624681564363385</v>
      </c>
      <c r="R355" s="121"/>
      <c r="S355" s="121">
        <f t="shared" ref="S355" si="711">O355-Q355</f>
        <v>10.074968831167546</v>
      </c>
      <c r="T355" s="35"/>
      <c r="U355" s="121">
        <f t="shared" ref="U355" si="712">U353-S355</f>
        <v>1904.38865951715</v>
      </c>
      <c r="V355" s="37"/>
    </row>
    <row r="356" spans="2:22" ht="15" thickBot="1" x14ac:dyDescent="0.35">
      <c r="B356" s="41"/>
      <c r="C356" s="35"/>
      <c r="D356" s="35"/>
      <c r="E356" s="35"/>
      <c r="F356" s="121"/>
      <c r="G356" s="121"/>
      <c r="H356" s="121"/>
      <c r="I356" s="121"/>
      <c r="J356" s="35"/>
      <c r="K356" s="37"/>
      <c r="M356" s="41"/>
      <c r="N356" s="35"/>
      <c r="O356" s="121"/>
      <c r="P356" s="121"/>
      <c r="Q356" s="121"/>
      <c r="R356" s="121"/>
      <c r="S356" s="35"/>
      <c r="T356" s="35"/>
      <c r="U356" s="35"/>
      <c r="V356" s="37"/>
    </row>
    <row r="357" spans="2:22" ht="15" thickBot="1" x14ac:dyDescent="0.35">
      <c r="B357" s="41">
        <v>153</v>
      </c>
      <c r="C357" s="35"/>
      <c r="D357" s="121">
        <f t="shared" ref="D357" si="713">$N$30</f>
        <v>15.588640673015377</v>
      </c>
      <c r="E357" s="35"/>
      <c r="F357" s="121">
        <f t="shared" ref="F357" si="714">($N$18/12)*J355</f>
        <v>5.2063546371073945</v>
      </c>
      <c r="G357" s="121"/>
      <c r="H357" s="121">
        <f t="shared" ref="H357" si="715">D357-F357</f>
        <v>10.382286035907981</v>
      </c>
      <c r="I357" s="121"/>
      <c r="J357" s="121">
        <f t="shared" ref="J357" si="716">J355-H357</f>
        <v>1882.8375820031445</v>
      </c>
      <c r="K357" s="37"/>
      <c r="M357" s="41">
        <v>153</v>
      </c>
      <c r="N357" s="35"/>
      <c r="O357" s="121">
        <f t="shared" ref="O357" si="717">$S$29</f>
        <v>16.137436987603884</v>
      </c>
      <c r="P357" s="121"/>
      <c r="Q357" s="121">
        <f t="shared" ref="Q357" si="718">($S$18/12)*U355</f>
        <v>6.0305640884709746</v>
      </c>
      <c r="R357" s="121"/>
      <c r="S357" s="121">
        <f t="shared" ref="S357" si="719">O357-Q357</f>
        <v>10.10687289913291</v>
      </c>
      <c r="T357" s="35"/>
      <c r="U357" s="121">
        <f t="shared" ref="U357" si="720">U355-S357</f>
        <v>1894.2817866180171</v>
      </c>
      <c r="V357" s="37"/>
    </row>
    <row r="358" spans="2:22" ht="15" thickBot="1" x14ac:dyDescent="0.35">
      <c r="B358" s="41"/>
      <c r="C358" s="35"/>
      <c r="D358" s="35"/>
      <c r="E358" s="35"/>
      <c r="F358" s="121"/>
      <c r="G358" s="121"/>
      <c r="H358" s="121"/>
      <c r="I358" s="121"/>
      <c r="J358" s="35"/>
      <c r="K358" s="37"/>
      <c r="M358" s="41"/>
      <c r="N358" s="35"/>
      <c r="O358" s="121"/>
      <c r="P358" s="121"/>
      <c r="Q358" s="121"/>
      <c r="R358" s="121"/>
      <c r="S358" s="35"/>
      <c r="T358" s="35"/>
      <c r="U358" s="35"/>
      <c r="V358" s="37"/>
    </row>
    <row r="359" spans="2:22" ht="15" thickBot="1" x14ac:dyDescent="0.35">
      <c r="B359" s="41">
        <v>154</v>
      </c>
      <c r="C359" s="35"/>
      <c r="D359" s="121">
        <f t="shared" ref="D359" si="721">$N$30</f>
        <v>15.588640673015377</v>
      </c>
      <c r="E359" s="35"/>
      <c r="F359" s="121">
        <f t="shared" ref="F359" si="722">($N$18/12)*J357</f>
        <v>5.1778033505086478</v>
      </c>
      <c r="G359" s="121"/>
      <c r="H359" s="121">
        <f t="shared" ref="H359" si="723">D359-F359</f>
        <v>10.41083732250673</v>
      </c>
      <c r="I359" s="121"/>
      <c r="J359" s="121">
        <f t="shared" ref="J359" si="724">J357-H359</f>
        <v>1872.4267446806377</v>
      </c>
      <c r="K359" s="37"/>
      <c r="M359" s="41">
        <v>154</v>
      </c>
      <c r="N359" s="35"/>
      <c r="O359" s="121">
        <f t="shared" ref="O359" si="725">$S$29</f>
        <v>16.137436987603884</v>
      </c>
      <c r="P359" s="121"/>
      <c r="Q359" s="121">
        <f t="shared" ref="Q359" si="726">($S$18/12)*U357</f>
        <v>5.9985589909570542</v>
      </c>
      <c r="R359" s="121"/>
      <c r="S359" s="121">
        <f t="shared" ref="S359" si="727">O359-Q359</f>
        <v>10.13887799664683</v>
      </c>
      <c r="T359" s="35"/>
      <c r="U359" s="121">
        <f t="shared" ref="U359" si="728">U357-S359</f>
        <v>1884.1429086213702</v>
      </c>
      <c r="V359" s="37"/>
    </row>
    <row r="360" spans="2:22" ht="15" thickBot="1" x14ac:dyDescent="0.35">
      <c r="B360" s="41"/>
      <c r="C360" s="35"/>
      <c r="D360" s="35"/>
      <c r="E360" s="35"/>
      <c r="F360" s="121"/>
      <c r="G360" s="121"/>
      <c r="H360" s="121"/>
      <c r="I360" s="121"/>
      <c r="J360" s="35"/>
      <c r="K360" s="37"/>
      <c r="M360" s="41"/>
      <c r="N360" s="35"/>
      <c r="O360" s="121"/>
      <c r="P360" s="121"/>
      <c r="Q360" s="121"/>
      <c r="R360" s="121"/>
      <c r="S360" s="35"/>
      <c r="T360" s="35"/>
      <c r="U360" s="35"/>
      <c r="V360" s="37"/>
    </row>
    <row r="361" spans="2:22" ht="15" thickBot="1" x14ac:dyDescent="0.35">
      <c r="B361" s="41">
        <v>155</v>
      </c>
      <c r="C361" s="35"/>
      <c r="D361" s="121">
        <f t="shared" ref="D361" si="729">$N$30</f>
        <v>15.588640673015377</v>
      </c>
      <c r="E361" s="35"/>
      <c r="F361" s="121">
        <f t="shared" ref="F361" si="730">($N$18/12)*J359</f>
        <v>5.1491735478717544</v>
      </c>
      <c r="G361" s="121"/>
      <c r="H361" s="121">
        <f t="shared" ref="H361" si="731">D361-F361</f>
        <v>10.439467125143622</v>
      </c>
      <c r="I361" s="121"/>
      <c r="J361" s="121">
        <f t="shared" ref="J361" si="732">J359-H361</f>
        <v>1861.9872775554941</v>
      </c>
      <c r="K361" s="37"/>
      <c r="M361" s="41">
        <v>155</v>
      </c>
      <c r="N361" s="35"/>
      <c r="O361" s="121">
        <f t="shared" ref="O361" si="733">$S$29</f>
        <v>16.137436987603884</v>
      </c>
      <c r="P361" s="121"/>
      <c r="Q361" s="121">
        <f t="shared" ref="Q361" si="734">($S$18/12)*U359</f>
        <v>5.9664525439676721</v>
      </c>
      <c r="R361" s="121"/>
      <c r="S361" s="121">
        <f t="shared" ref="S361" si="735">O361-Q361</f>
        <v>10.170984443636211</v>
      </c>
      <c r="T361" s="35"/>
      <c r="U361" s="121">
        <f t="shared" ref="U361" si="736">U359-S361</f>
        <v>1873.9719241777341</v>
      </c>
      <c r="V361" s="37"/>
    </row>
    <row r="362" spans="2:22" ht="15" thickBot="1" x14ac:dyDescent="0.35">
      <c r="B362" s="41"/>
      <c r="C362" s="35"/>
      <c r="D362" s="35"/>
      <c r="E362" s="35"/>
      <c r="F362" s="121"/>
      <c r="G362" s="121"/>
      <c r="H362" s="121"/>
      <c r="I362" s="121"/>
      <c r="J362" s="35"/>
      <c r="K362" s="37"/>
      <c r="M362" s="41"/>
      <c r="N362" s="35"/>
      <c r="O362" s="121"/>
      <c r="P362" s="121"/>
      <c r="Q362" s="121"/>
      <c r="R362" s="121"/>
      <c r="S362" s="35"/>
      <c r="T362" s="35"/>
      <c r="U362" s="35"/>
      <c r="V362" s="37"/>
    </row>
    <row r="363" spans="2:22" ht="15" thickBot="1" x14ac:dyDescent="0.35">
      <c r="B363" s="41">
        <v>156</v>
      </c>
      <c r="C363" s="35"/>
      <c r="D363" s="121">
        <f t="shared" ref="D363" si="737">$N$30</f>
        <v>15.588640673015377</v>
      </c>
      <c r="E363" s="35"/>
      <c r="F363" s="121">
        <f t="shared" ref="F363" si="738">($N$18/12)*J361</f>
        <v>5.1204650132776095</v>
      </c>
      <c r="G363" s="121"/>
      <c r="H363" s="121">
        <f t="shared" ref="H363" si="739">D363-F363</f>
        <v>10.468175659737767</v>
      </c>
      <c r="I363" s="121"/>
      <c r="J363" s="121">
        <f t="shared" ref="J363" si="740">J361-H363</f>
        <v>1851.5191018957562</v>
      </c>
      <c r="K363" s="37"/>
      <c r="M363" s="41">
        <v>156</v>
      </c>
      <c r="N363" s="35"/>
      <c r="O363" s="121">
        <f t="shared" ref="O363" si="741">$S$29</f>
        <v>16.137436987603884</v>
      </c>
      <c r="P363" s="121"/>
      <c r="Q363" s="121">
        <f t="shared" ref="Q363" si="742">($S$18/12)*U361</f>
        <v>5.9342444265628247</v>
      </c>
      <c r="R363" s="121"/>
      <c r="S363" s="121">
        <f t="shared" ref="S363" si="743">O363-Q363</f>
        <v>10.20319256104106</v>
      </c>
      <c r="T363" s="35"/>
      <c r="U363" s="121">
        <f t="shared" ref="U363" si="744">U361-S363</f>
        <v>1863.768731616693</v>
      </c>
      <c r="V363" s="37"/>
    </row>
    <row r="364" spans="2:22" ht="15" thickBot="1" x14ac:dyDescent="0.35">
      <c r="B364" s="41"/>
      <c r="C364" s="35"/>
      <c r="D364" s="35"/>
      <c r="E364" s="35"/>
      <c r="F364" s="121"/>
      <c r="G364" s="121"/>
      <c r="H364" s="121"/>
      <c r="I364" s="121"/>
      <c r="J364" s="35"/>
      <c r="K364" s="37"/>
      <c r="M364" s="41"/>
      <c r="N364" s="35"/>
      <c r="O364" s="121"/>
      <c r="P364" s="121"/>
      <c r="Q364" s="121"/>
      <c r="R364" s="121"/>
      <c r="S364" s="35"/>
      <c r="T364" s="35"/>
      <c r="U364" s="35"/>
      <c r="V364" s="37"/>
    </row>
    <row r="365" spans="2:22" ht="15" thickBot="1" x14ac:dyDescent="0.35">
      <c r="B365" s="41">
        <v>157</v>
      </c>
      <c r="C365" s="35"/>
      <c r="D365" s="121">
        <f t="shared" ref="D365" si="745">$N$30</f>
        <v>15.588640673015377</v>
      </c>
      <c r="E365" s="35"/>
      <c r="F365" s="121">
        <f t="shared" ref="F365" si="746">($N$18/12)*J363</f>
        <v>5.0916775302133299</v>
      </c>
      <c r="G365" s="121"/>
      <c r="H365" s="121">
        <f t="shared" ref="H365" si="747">D365-F365</f>
        <v>10.496963142802047</v>
      </c>
      <c r="I365" s="121"/>
      <c r="J365" s="121">
        <f t="shared" ref="J365" si="748">J363-H365</f>
        <v>1841.0221387529541</v>
      </c>
      <c r="K365" s="37"/>
      <c r="M365" s="41">
        <v>157</v>
      </c>
      <c r="N365" s="35"/>
      <c r="O365" s="121">
        <f t="shared" ref="O365" si="749">$S$29</f>
        <v>16.137436987603884</v>
      </c>
      <c r="P365" s="121"/>
      <c r="Q365" s="121">
        <f t="shared" ref="Q365" si="750">($S$18/12)*U363</f>
        <v>5.9019343167861944</v>
      </c>
      <c r="R365" s="121"/>
      <c r="S365" s="121">
        <f t="shared" ref="S365" si="751">O365-Q365</f>
        <v>10.23550267081769</v>
      </c>
      <c r="T365" s="35"/>
      <c r="U365" s="121">
        <f t="shared" ref="U365" si="752">U363-S365</f>
        <v>1853.5332289458754</v>
      </c>
      <c r="V365" s="37"/>
    </row>
    <row r="366" spans="2:22" ht="15" thickBot="1" x14ac:dyDescent="0.35">
      <c r="B366" s="41"/>
      <c r="C366" s="35"/>
      <c r="D366" s="35"/>
      <c r="E366" s="35"/>
      <c r="F366" s="121"/>
      <c r="G366" s="121"/>
      <c r="H366" s="121"/>
      <c r="I366" s="121"/>
      <c r="J366" s="35"/>
      <c r="K366" s="37"/>
      <c r="M366" s="41"/>
      <c r="N366" s="35"/>
      <c r="O366" s="121"/>
      <c r="P366" s="121"/>
      <c r="Q366" s="121"/>
      <c r="R366" s="121"/>
      <c r="S366" s="35"/>
      <c r="T366" s="35"/>
      <c r="U366" s="35"/>
      <c r="V366" s="37"/>
    </row>
    <row r="367" spans="2:22" ht="15" thickBot="1" x14ac:dyDescent="0.35">
      <c r="B367" s="41">
        <v>158</v>
      </c>
      <c r="C367" s="35"/>
      <c r="D367" s="121">
        <f t="shared" ref="D367" si="753">$N$30</f>
        <v>15.588640673015377</v>
      </c>
      <c r="E367" s="35"/>
      <c r="F367" s="121">
        <f t="shared" ref="F367" si="754">($N$18/12)*J365</f>
        <v>5.0628108815706243</v>
      </c>
      <c r="G367" s="121"/>
      <c r="H367" s="121">
        <f t="shared" ref="H367" si="755">D367-F367</f>
        <v>10.525829791444753</v>
      </c>
      <c r="I367" s="121"/>
      <c r="J367" s="121">
        <f t="shared" ref="J367" si="756">J365-H367</f>
        <v>1830.4963089615094</v>
      </c>
      <c r="K367" s="37"/>
      <c r="M367" s="41">
        <v>158</v>
      </c>
      <c r="N367" s="35"/>
      <c r="O367" s="121">
        <f t="shared" ref="O367" si="757">$S$29</f>
        <v>16.137436987603884</v>
      </c>
      <c r="P367" s="121"/>
      <c r="Q367" s="121">
        <f t="shared" ref="Q367" si="758">($S$18/12)*U365</f>
        <v>5.8695218916619387</v>
      </c>
      <c r="R367" s="121"/>
      <c r="S367" s="121">
        <f t="shared" ref="S367" si="759">O367-Q367</f>
        <v>10.267915095941945</v>
      </c>
      <c r="T367" s="35"/>
      <c r="U367" s="121">
        <f t="shared" ref="U367" si="760">U365-S367</f>
        <v>1843.2653138499334</v>
      </c>
      <c r="V367" s="37"/>
    </row>
    <row r="368" spans="2:22" ht="15" thickBot="1" x14ac:dyDescent="0.35">
      <c r="B368" s="41"/>
      <c r="C368" s="35"/>
      <c r="D368" s="35"/>
      <c r="E368" s="35"/>
      <c r="F368" s="121"/>
      <c r="G368" s="121"/>
      <c r="H368" s="121"/>
      <c r="I368" s="121"/>
      <c r="J368" s="35"/>
      <c r="K368" s="37"/>
      <c r="M368" s="41"/>
      <c r="N368" s="35"/>
      <c r="O368" s="121"/>
      <c r="P368" s="121"/>
      <c r="Q368" s="121"/>
      <c r="R368" s="121"/>
      <c r="S368" s="35"/>
      <c r="T368" s="35"/>
      <c r="U368" s="35"/>
      <c r="V368" s="37"/>
    </row>
    <row r="369" spans="2:22" ht="15" thickBot="1" x14ac:dyDescent="0.35">
      <c r="B369" s="41">
        <v>159</v>
      </c>
      <c r="C369" s="35"/>
      <c r="D369" s="121">
        <f t="shared" ref="D369" si="761">$N$30</f>
        <v>15.588640673015377</v>
      </c>
      <c r="E369" s="35"/>
      <c r="F369" s="121">
        <f t="shared" ref="F369" si="762">($N$18/12)*J367</f>
        <v>5.0338648496441509</v>
      </c>
      <c r="G369" s="121"/>
      <c r="H369" s="121">
        <f t="shared" ref="H369" si="763">D369-F369</f>
        <v>10.554775823371227</v>
      </c>
      <c r="I369" s="121"/>
      <c r="J369" s="121">
        <f t="shared" ref="J369" si="764">J367-H369</f>
        <v>1819.9415331381381</v>
      </c>
      <c r="K369" s="37"/>
      <c r="M369" s="41">
        <v>159</v>
      </c>
      <c r="N369" s="35"/>
      <c r="O369" s="121">
        <f t="shared" ref="O369" si="765">$S$29</f>
        <v>16.137436987603884</v>
      </c>
      <c r="P369" s="121"/>
      <c r="Q369" s="121">
        <f t="shared" ref="Q369" si="766">($S$18/12)*U367</f>
        <v>5.8370068271914555</v>
      </c>
      <c r="R369" s="121"/>
      <c r="S369" s="121">
        <f t="shared" ref="S369" si="767">O369-Q369</f>
        <v>10.300430160412429</v>
      </c>
      <c r="T369" s="35"/>
      <c r="U369" s="121">
        <f t="shared" ref="U369" si="768">U367-S369</f>
        <v>1832.964883689521</v>
      </c>
      <c r="V369" s="37"/>
    </row>
    <row r="370" spans="2:22" ht="15" thickBot="1" x14ac:dyDescent="0.35">
      <c r="B370" s="41"/>
      <c r="C370" s="35"/>
      <c r="D370" s="35"/>
      <c r="E370" s="35"/>
      <c r="F370" s="121"/>
      <c r="G370" s="121"/>
      <c r="H370" s="121"/>
      <c r="I370" s="121"/>
      <c r="J370" s="35"/>
      <c r="K370" s="37"/>
      <c r="M370" s="41"/>
      <c r="N370" s="35"/>
      <c r="O370" s="121"/>
      <c r="P370" s="121"/>
      <c r="Q370" s="121"/>
      <c r="R370" s="121"/>
      <c r="S370" s="35"/>
      <c r="T370" s="35"/>
      <c r="U370" s="35"/>
      <c r="V370" s="37"/>
    </row>
    <row r="371" spans="2:22" ht="15" thickBot="1" x14ac:dyDescent="0.35">
      <c r="B371" s="41">
        <v>160</v>
      </c>
      <c r="C371" s="35"/>
      <c r="D371" s="121">
        <f t="shared" ref="D371" si="769">$N$30</f>
        <v>15.588640673015377</v>
      </c>
      <c r="E371" s="35"/>
      <c r="F371" s="121">
        <f t="shared" ref="F371" si="770">($N$18/12)*J369</f>
        <v>5.0048392161298798</v>
      </c>
      <c r="G371" s="121"/>
      <c r="H371" s="121">
        <f t="shared" ref="H371" si="771">D371-F371</f>
        <v>10.583801456885496</v>
      </c>
      <c r="I371" s="121"/>
      <c r="J371" s="121">
        <f t="shared" ref="J371" si="772">J369-H371</f>
        <v>1809.3577316812525</v>
      </c>
      <c r="K371" s="37"/>
      <c r="M371" s="41">
        <v>160</v>
      </c>
      <c r="N371" s="35"/>
      <c r="O371" s="121">
        <f t="shared" ref="O371" si="773">$S$29</f>
        <v>16.137436987603884</v>
      </c>
      <c r="P371" s="121"/>
      <c r="Q371" s="121">
        <f t="shared" ref="Q371" si="774">($S$18/12)*U369</f>
        <v>5.8043887983501499</v>
      </c>
      <c r="R371" s="121"/>
      <c r="S371" s="121">
        <f t="shared" ref="S371" si="775">O371-Q371</f>
        <v>10.333048189253734</v>
      </c>
      <c r="T371" s="35"/>
      <c r="U371" s="121">
        <f t="shared" ref="U371" si="776">U369-S371</f>
        <v>1822.6318355002672</v>
      </c>
      <c r="V371" s="37"/>
    </row>
    <row r="372" spans="2:22" ht="15" thickBot="1" x14ac:dyDescent="0.35">
      <c r="B372" s="41"/>
      <c r="C372" s="35"/>
      <c r="D372" s="35"/>
      <c r="E372" s="35"/>
      <c r="F372" s="121"/>
      <c r="G372" s="121"/>
      <c r="H372" s="121"/>
      <c r="I372" s="121"/>
      <c r="J372" s="35"/>
      <c r="K372" s="37"/>
      <c r="M372" s="41"/>
      <c r="N372" s="35"/>
      <c r="O372" s="121"/>
      <c r="P372" s="121"/>
      <c r="Q372" s="121"/>
      <c r="R372" s="121"/>
      <c r="S372" s="35"/>
      <c r="T372" s="35"/>
      <c r="U372" s="35"/>
      <c r="V372" s="37"/>
    </row>
    <row r="373" spans="2:22" ht="15" thickBot="1" x14ac:dyDescent="0.35">
      <c r="B373" s="41">
        <v>161</v>
      </c>
      <c r="C373" s="35"/>
      <c r="D373" s="121">
        <f t="shared" ref="D373" si="777">$N$30</f>
        <v>15.588640673015377</v>
      </c>
      <c r="E373" s="35"/>
      <c r="F373" s="121">
        <f t="shared" ref="F373" si="778">($N$18/12)*J371</f>
        <v>4.9757337621234452</v>
      </c>
      <c r="G373" s="121"/>
      <c r="H373" s="121">
        <f t="shared" ref="H373" si="779">D373-F373</f>
        <v>10.612906910891931</v>
      </c>
      <c r="I373" s="121"/>
      <c r="J373" s="121">
        <f t="shared" ref="J373" si="780">J371-H373</f>
        <v>1798.7448247703605</v>
      </c>
      <c r="K373" s="37"/>
      <c r="M373" s="41">
        <v>161</v>
      </c>
      <c r="N373" s="35"/>
      <c r="O373" s="121">
        <f t="shared" ref="O373" si="781">$S$29</f>
        <v>16.137436987603884</v>
      </c>
      <c r="P373" s="121"/>
      <c r="Q373" s="121">
        <f t="shared" ref="Q373" si="782">($S$18/12)*U371</f>
        <v>5.7716674790841793</v>
      </c>
      <c r="R373" s="121"/>
      <c r="S373" s="121">
        <f t="shared" ref="S373" si="783">O373-Q373</f>
        <v>10.365769508519705</v>
      </c>
      <c r="T373" s="35"/>
      <c r="U373" s="121">
        <f t="shared" ref="U373" si="784">U371-S373</f>
        <v>1812.2660659917476</v>
      </c>
      <c r="V373" s="37"/>
    </row>
    <row r="374" spans="2:22" ht="15" thickBot="1" x14ac:dyDescent="0.35">
      <c r="B374" s="41"/>
      <c r="C374" s="35"/>
      <c r="D374" s="35"/>
      <c r="E374" s="35"/>
      <c r="F374" s="121"/>
      <c r="G374" s="121"/>
      <c r="H374" s="121"/>
      <c r="I374" s="121"/>
      <c r="J374" s="35"/>
      <c r="K374" s="37"/>
      <c r="M374" s="41"/>
      <c r="N374" s="35"/>
      <c r="O374" s="121"/>
      <c r="P374" s="121"/>
      <c r="Q374" s="121"/>
      <c r="R374" s="121"/>
      <c r="S374" s="35"/>
      <c r="T374" s="35"/>
      <c r="U374" s="35"/>
      <c r="V374" s="37"/>
    </row>
    <row r="375" spans="2:22" ht="15" thickBot="1" x14ac:dyDescent="0.35">
      <c r="B375" s="41">
        <v>162</v>
      </c>
      <c r="C375" s="35"/>
      <c r="D375" s="121">
        <f t="shared" ref="D375" si="785">$N$30</f>
        <v>15.588640673015377</v>
      </c>
      <c r="E375" s="35"/>
      <c r="F375" s="121">
        <f t="shared" ref="F375" si="786">($N$18/12)*J373</f>
        <v>4.9465482681184918</v>
      </c>
      <c r="G375" s="121"/>
      <c r="H375" s="121">
        <f t="shared" ref="H375" si="787">D375-F375</f>
        <v>10.642092404896886</v>
      </c>
      <c r="I375" s="121"/>
      <c r="J375" s="121">
        <f t="shared" ref="J375" si="788">J373-H375</f>
        <v>1788.1027323654637</v>
      </c>
      <c r="K375" s="37"/>
      <c r="M375" s="41">
        <v>162</v>
      </c>
      <c r="N375" s="35"/>
      <c r="O375" s="121">
        <f t="shared" ref="O375" si="789">$S$29</f>
        <v>16.137436987603884</v>
      </c>
      <c r="P375" s="121"/>
      <c r="Q375" s="121">
        <f t="shared" ref="Q375" si="790">($S$18/12)*U373</f>
        <v>5.7388425423072009</v>
      </c>
      <c r="R375" s="121"/>
      <c r="S375" s="121">
        <f t="shared" ref="S375" si="791">O375-Q375</f>
        <v>10.398594445296684</v>
      </c>
      <c r="T375" s="35"/>
      <c r="U375" s="121">
        <f t="shared" ref="U375" si="792">U373-S375</f>
        <v>1801.8674715464508</v>
      </c>
      <c r="V375" s="37"/>
    </row>
    <row r="376" spans="2:22" ht="15" thickBot="1" x14ac:dyDescent="0.35">
      <c r="B376" s="41"/>
      <c r="C376" s="35"/>
      <c r="D376" s="35"/>
      <c r="E376" s="35"/>
      <c r="F376" s="121"/>
      <c r="G376" s="121"/>
      <c r="H376" s="121"/>
      <c r="I376" s="121"/>
      <c r="J376" s="35"/>
      <c r="K376" s="37"/>
      <c r="M376" s="41"/>
      <c r="N376" s="35"/>
      <c r="O376" s="121"/>
      <c r="P376" s="121"/>
      <c r="Q376" s="121"/>
      <c r="R376" s="121"/>
      <c r="S376" s="35"/>
      <c r="T376" s="35"/>
      <c r="U376" s="35"/>
      <c r="V376" s="37"/>
    </row>
    <row r="377" spans="2:22" ht="15" thickBot="1" x14ac:dyDescent="0.35">
      <c r="B377" s="41">
        <v>163</v>
      </c>
      <c r="C377" s="35"/>
      <c r="D377" s="121">
        <f t="shared" ref="D377" si="793">$N$30</f>
        <v>15.588640673015377</v>
      </c>
      <c r="E377" s="35"/>
      <c r="F377" s="121">
        <f t="shared" ref="F377" si="794">($N$18/12)*J375</f>
        <v>4.9172825140050254</v>
      </c>
      <c r="G377" s="121"/>
      <c r="H377" s="121">
        <f t="shared" ref="H377" si="795">D377-F377</f>
        <v>10.671358159010351</v>
      </c>
      <c r="I377" s="121"/>
      <c r="J377" s="121">
        <f t="shared" ref="J377" si="796">J375-H377</f>
        <v>1777.4313742064533</v>
      </c>
      <c r="K377" s="37"/>
      <c r="M377" s="41">
        <v>163</v>
      </c>
      <c r="N377" s="35"/>
      <c r="O377" s="121">
        <f t="shared" ref="O377" si="797">$S$29</f>
        <v>16.137436987603884</v>
      </c>
      <c r="P377" s="121"/>
      <c r="Q377" s="121">
        <f t="shared" ref="Q377" si="798">($S$18/12)*U375</f>
        <v>5.7059136598970941</v>
      </c>
      <c r="R377" s="121"/>
      <c r="S377" s="121">
        <f t="shared" ref="S377" si="799">O377-Q377</f>
        <v>10.43152332770679</v>
      </c>
      <c r="T377" s="35"/>
      <c r="U377" s="121">
        <f t="shared" ref="U377" si="800">U375-S377</f>
        <v>1791.435948218744</v>
      </c>
      <c r="V377" s="37"/>
    </row>
    <row r="378" spans="2:22" ht="15" thickBot="1" x14ac:dyDescent="0.35">
      <c r="B378" s="41"/>
      <c r="C378" s="35"/>
      <c r="D378" s="35"/>
      <c r="E378" s="35"/>
      <c r="F378" s="121"/>
      <c r="G378" s="121"/>
      <c r="H378" s="121"/>
      <c r="I378" s="121"/>
      <c r="J378" s="35"/>
      <c r="K378" s="37"/>
      <c r="M378" s="41"/>
      <c r="N378" s="35"/>
      <c r="O378" s="121"/>
      <c r="P378" s="121"/>
      <c r="Q378" s="121"/>
      <c r="R378" s="121"/>
      <c r="S378" s="35"/>
      <c r="T378" s="35"/>
      <c r="U378" s="35"/>
      <c r="V378" s="37"/>
    </row>
    <row r="379" spans="2:22" ht="15" thickBot="1" x14ac:dyDescent="0.35">
      <c r="B379" s="41">
        <v>164</v>
      </c>
      <c r="C379" s="35"/>
      <c r="D379" s="121">
        <f t="shared" ref="D379" si="801">$N$30</f>
        <v>15.588640673015377</v>
      </c>
      <c r="E379" s="35"/>
      <c r="F379" s="121">
        <f t="shared" ref="F379" si="802">($N$18/12)*J377</f>
        <v>4.8879362790677465</v>
      </c>
      <c r="G379" s="121"/>
      <c r="H379" s="121">
        <f t="shared" ref="H379" si="803">D379-F379</f>
        <v>10.70070439394763</v>
      </c>
      <c r="I379" s="121"/>
      <c r="J379" s="121">
        <f t="shared" ref="J379" si="804">J377-H379</f>
        <v>1766.7306698125055</v>
      </c>
      <c r="K379" s="37"/>
      <c r="M379" s="41">
        <v>164</v>
      </c>
      <c r="N379" s="35"/>
      <c r="O379" s="121">
        <f t="shared" ref="O379" si="805">$S$29</f>
        <v>16.137436987603884</v>
      </c>
      <c r="P379" s="121"/>
      <c r="Q379" s="121">
        <f t="shared" ref="Q379" si="806">($S$18/12)*U377</f>
        <v>5.6728805026926894</v>
      </c>
      <c r="R379" s="121"/>
      <c r="S379" s="121">
        <f t="shared" ref="S379" si="807">O379-Q379</f>
        <v>10.464556484911196</v>
      </c>
      <c r="T379" s="35"/>
      <c r="U379" s="121">
        <f t="shared" ref="U379" si="808">U377-S379</f>
        <v>1780.9713917338329</v>
      </c>
      <c r="V379" s="37"/>
    </row>
    <row r="380" spans="2:22" ht="15" thickBot="1" x14ac:dyDescent="0.35">
      <c r="B380" s="41"/>
      <c r="C380" s="35"/>
      <c r="D380" s="35"/>
      <c r="E380" s="35"/>
      <c r="F380" s="121"/>
      <c r="G380" s="121"/>
      <c r="H380" s="121"/>
      <c r="I380" s="121"/>
      <c r="J380" s="35"/>
      <c r="K380" s="37"/>
      <c r="M380" s="41"/>
      <c r="N380" s="35"/>
      <c r="O380" s="121"/>
      <c r="P380" s="121"/>
      <c r="Q380" s="121"/>
      <c r="R380" s="121"/>
      <c r="S380" s="35"/>
      <c r="T380" s="35"/>
      <c r="U380" s="35"/>
      <c r="V380" s="37"/>
    </row>
    <row r="381" spans="2:22" ht="15" thickBot="1" x14ac:dyDescent="0.35">
      <c r="B381" s="41">
        <v>165</v>
      </c>
      <c r="C381" s="35"/>
      <c r="D381" s="121">
        <f t="shared" ref="D381" si="809">$N$30</f>
        <v>15.588640673015377</v>
      </c>
      <c r="E381" s="35"/>
      <c r="F381" s="121">
        <f t="shared" ref="F381" si="810">($N$18/12)*J379</f>
        <v>4.8585093419843908</v>
      </c>
      <c r="G381" s="121"/>
      <c r="H381" s="121">
        <f t="shared" ref="H381" si="811">D381-F381</f>
        <v>10.730131331030986</v>
      </c>
      <c r="I381" s="121"/>
      <c r="J381" s="121">
        <f t="shared" ref="J381" si="812">J379-H381</f>
        <v>1756.0005384814745</v>
      </c>
      <c r="K381" s="37"/>
      <c r="M381" s="41">
        <v>165</v>
      </c>
      <c r="N381" s="35"/>
      <c r="O381" s="121">
        <f t="shared" ref="O381" si="813">$S$29</f>
        <v>16.137436987603884</v>
      </c>
      <c r="P381" s="121"/>
      <c r="Q381" s="121">
        <f t="shared" ref="Q381" si="814">($S$18/12)*U379</f>
        <v>5.6397427404904708</v>
      </c>
      <c r="R381" s="121"/>
      <c r="S381" s="121">
        <f t="shared" ref="S381" si="815">O381-Q381</f>
        <v>10.497694247113413</v>
      </c>
      <c r="T381" s="35"/>
      <c r="U381" s="121">
        <f t="shared" ref="U381" si="816">U379-S381</f>
        <v>1770.4736974867194</v>
      </c>
      <c r="V381" s="37"/>
    </row>
    <row r="382" spans="2:22" ht="15" thickBot="1" x14ac:dyDescent="0.35">
      <c r="B382" s="41"/>
      <c r="C382" s="35"/>
      <c r="D382" s="35"/>
      <c r="E382" s="35"/>
      <c r="F382" s="121"/>
      <c r="G382" s="121"/>
      <c r="H382" s="121"/>
      <c r="I382" s="121"/>
      <c r="J382" s="35"/>
      <c r="K382" s="37"/>
      <c r="M382" s="41"/>
      <c r="N382" s="35"/>
      <c r="O382" s="121"/>
      <c r="P382" s="121"/>
      <c r="Q382" s="121"/>
      <c r="R382" s="121"/>
      <c r="S382" s="35"/>
      <c r="T382" s="35"/>
      <c r="U382" s="35"/>
      <c r="V382" s="37"/>
    </row>
    <row r="383" spans="2:22" ht="15" thickBot="1" x14ac:dyDescent="0.35">
      <c r="B383" s="41">
        <v>166</v>
      </c>
      <c r="C383" s="35"/>
      <c r="D383" s="121">
        <f t="shared" ref="D383" si="817">$N$30</f>
        <v>15.588640673015377</v>
      </c>
      <c r="E383" s="35"/>
      <c r="F383" s="121">
        <f t="shared" ref="F383" si="818">($N$18/12)*J381</f>
        <v>4.8290014808240551</v>
      </c>
      <c r="G383" s="121"/>
      <c r="H383" s="121">
        <f t="shared" ref="H383" si="819">D383-F383</f>
        <v>10.759639192191322</v>
      </c>
      <c r="I383" s="121"/>
      <c r="J383" s="121">
        <f t="shared" ref="J383" si="820">J381-H383</f>
        <v>1745.2408992892831</v>
      </c>
      <c r="K383" s="37"/>
      <c r="M383" s="41">
        <v>166</v>
      </c>
      <c r="N383" s="35"/>
      <c r="O383" s="121">
        <f t="shared" ref="O383" si="821">$S$29</f>
        <v>16.137436987603884</v>
      </c>
      <c r="P383" s="121"/>
      <c r="Q383" s="121">
        <f t="shared" ref="Q383" si="822">($S$18/12)*U381</f>
        <v>5.6065000420412776</v>
      </c>
      <c r="R383" s="121"/>
      <c r="S383" s="121">
        <f t="shared" ref="S383" si="823">O383-Q383</f>
        <v>10.530936945562607</v>
      </c>
      <c r="T383" s="35"/>
      <c r="U383" s="121">
        <f t="shared" ref="U383" si="824">U381-S383</f>
        <v>1759.9427605411568</v>
      </c>
      <c r="V383" s="37"/>
    </row>
    <row r="384" spans="2:22" ht="15" thickBot="1" x14ac:dyDescent="0.35">
      <c r="B384" s="41"/>
      <c r="C384" s="35"/>
      <c r="D384" s="35"/>
      <c r="E384" s="35"/>
      <c r="F384" s="121"/>
      <c r="G384" s="121"/>
      <c r="H384" s="121"/>
      <c r="I384" s="121"/>
      <c r="J384" s="35"/>
      <c r="K384" s="37"/>
      <c r="M384" s="41"/>
      <c r="N384" s="35"/>
      <c r="O384" s="121"/>
      <c r="P384" s="121"/>
      <c r="Q384" s="121"/>
      <c r="R384" s="121"/>
      <c r="S384" s="35"/>
      <c r="T384" s="35"/>
      <c r="U384" s="35"/>
      <c r="V384" s="37"/>
    </row>
    <row r="385" spans="2:22" ht="15" thickBot="1" x14ac:dyDescent="0.35">
      <c r="B385" s="41">
        <v>167</v>
      </c>
      <c r="C385" s="35"/>
      <c r="D385" s="121">
        <f t="shared" ref="D385" si="825">$N$30</f>
        <v>15.588640673015377</v>
      </c>
      <c r="E385" s="35"/>
      <c r="F385" s="121">
        <f t="shared" ref="F385" si="826">($N$18/12)*J383</f>
        <v>4.7994124730455292</v>
      </c>
      <c r="G385" s="121"/>
      <c r="H385" s="121">
        <f t="shared" ref="H385" si="827">D385-F385</f>
        <v>10.789228199969848</v>
      </c>
      <c r="I385" s="121"/>
      <c r="J385" s="121">
        <f t="shared" ref="J385" si="828">J383-H385</f>
        <v>1734.4516710893133</v>
      </c>
      <c r="K385" s="37"/>
      <c r="M385" s="41">
        <v>167</v>
      </c>
      <c r="N385" s="35"/>
      <c r="O385" s="121">
        <f t="shared" ref="O385" si="829">$S$29</f>
        <v>16.137436987603884</v>
      </c>
      <c r="P385" s="121"/>
      <c r="Q385" s="121">
        <f t="shared" ref="Q385" si="830">($S$18/12)*U383</f>
        <v>5.5731520750469965</v>
      </c>
      <c r="R385" s="121"/>
      <c r="S385" s="121">
        <f t="shared" ref="S385" si="831">O385-Q385</f>
        <v>10.564284912556888</v>
      </c>
      <c r="T385" s="35"/>
      <c r="U385" s="121">
        <f t="shared" ref="U385" si="832">U383-S385</f>
        <v>1749.3784756286</v>
      </c>
      <c r="V385" s="37"/>
    </row>
    <row r="386" spans="2:22" ht="15" thickBot="1" x14ac:dyDescent="0.35">
      <c r="B386" s="41"/>
      <c r="C386" s="35"/>
      <c r="D386" s="35"/>
      <c r="E386" s="35"/>
      <c r="F386" s="121"/>
      <c r="G386" s="121"/>
      <c r="H386" s="121"/>
      <c r="I386" s="121"/>
      <c r="J386" s="35"/>
      <c r="K386" s="37"/>
      <c r="M386" s="41"/>
      <c r="N386" s="35"/>
      <c r="O386" s="121"/>
      <c r="P386" s="121"/>
      <c r="Q386" s="121"/>
      <c r="R386" s="121"/>
      <c r="S386" s="35"/>
      <c r="T386" s="35"/>
      <c r="U386" s="35"/>
      <c r="V386" s="37"/>
    </row>
    <row r="387" spans="2:22" ht="15" thickBot="1" x14ac:dyDescent="0.35">
      <c r="B387" s="41">
        <v>168</v>
      </c>
      <c r="C387" s="35"/>
      <c r="D387" s="121">
        <f t="shared" ref="D387" si="833">$N$30</f>
        <v>15.588640673015377</v>
      </c>
      <c r="E387" s="35"/>
      <c r="F387" s="121">
        <f t="shared" ref="F387" si="834">($N$18/12)*J385</f>
        <v>4.7697420954956122</v>
      </c>
      <c r="G387" s="121"/>
      <c r="H387" s="121">
        <f t="shared" ref="H387" si="835">D387-F387</f>
        <v>10.818898577519764</v>
      </c>
      <c r="I387" s="121"/>
      <c r="J387" s="121">
        <f t="shared" ref="J387" si="836">J385-H387</f>
        <v>1723.6327725117935</v>
      </c>
      <c r="K387" s="37"/>
      <c r="M387" s="41">
        <v>168</v>
      </c>
      <c r="N387" s="35"/>
      <c r="O387" s="121">
        <f t="shared" ref="O387" si="837">$S$29</f>
        <v>16.137436987603884</v>
      </c>
      <c r="P387" s="121"/>
      <c r="Q387" s="121">
        <f t="shared" ref="Q387" si="838">($S$18/12)*U385</f>
        <v>5.539698506157233</v>
      </c>
      <c r="R387" s="121"/>
      <c r="S387" s="121">
        <f t="shared" ref="S387" si="839">O387-Q387</f>
        <v>10.597738481446651</v>
      </c>
      <c r="T387" s="35"/>
      <c r="U387" s="121">
        <f t="shared" ref="U387" si="840">U385-S387</f>
        <v>1738.7807371471533</v>
      </c>
      <c r="V387" s="37"/>
    </row>
    <row r="388" spans="2:22" ht="15" thickBot="1" x14ac:dyDescent="0.35">
      <c r="B388" s="41"/>
      <c r="C388" s="35"/>
      <c r="D388" s="35"/>
      <c r="E388" s="35"/>
      <c r="F388" s="121"/>
      <c r="G388" s="121"/>
      <c r="H388" s="121"/>
      <c r="I388" s="121"/>
      <c r="J388" s="35"/>
      <c r="K388" s="37"/>
      <c r="M388" s="41"/>
      <c r="N388" s="35"/>
      <c r="O388" s="121"/>
      <c r="P388" s="121"/>
      <c r="Q388" s="121"/>
      <c r="R388" s="121"/>
      <c r="S388" s="35"/>
      <c r="T388" s="35"/>
      <c r="U388" s="35"/>
      <c r="V388" s="37"/>
    </row>
    <row r="389" spans="2:22" ht="15" thickBot="1" x14ac:dyDescent="0.35">
      <c r="B389" s="41">
        <v>169</v>
      </c>
      <c r="C389" s="35"/>
      <c r="D389" s="121">
        <f t="shared" ref="D389" si="841">$N$30</f>
        <v>15.588640673015377</v>
      </c>
      <c r="E389" s="35"/>
      <c r="F389" s="121">
        <f t="shared" ref="F389" si="842">($N$18/12)*J387</f>
        <v>4.7399901244074325</v>
      </c>
      <c r="G389" s="121"/>
      <c r="H389" s="121">
        <f t="shared" ref="H389" si="843">D389-F389</f>
        <v>10.848650548607944</v>
      </c>
      <c r="I389" s="121"/>
      <c r="J389" s="121">
        <f t="shared" ref="J389" si="844">J387-H389</f>
        <v>1712.7841219631855</v>
      </c>
      <c r="K389" s="37"/>
      <c r="M389" s="41">
        <v>169</v>
      </c>
      <c r="N389" s="35"/>
      <c r="O389" s="121">
        <f t="shared" ref="O389" si="845">$S$29</f>
        <v>16.137436987603884</v>
      </c>
      <c r="P389" s="121"/>
      <c r="Q389" s="121">
        <f t="shared" ref="Q389" si="846">($S$18/12)*U387</f>
        <v>5.5061390009659856</v>
      </c>
      <c r="R389" s="121"/>
      <c r="S389" s="121">
        <f t="shared" ref="S389" si="847">O389-Q389</f>
        <v>10.631297986637898</v>
      </c>
      <c r="T389" s="35"/>
      <c r="U389" s="121">
        <f t="shared" ref="U389" si="848">U387-S389</f>
        <v>1728.1494391605154</v>
      </c>
      <c r="V389" s="37"/>
    </row>
    <row r="390" spans="2:22" ht="15" thickBot="1" x14ac:dyDescent="0.35">
      <c r="B390" s="41"/>
      <c r="C390" s="35"/>
      <c r="D390" s="35"/>
      <c r="E390" s="35"/>
      <c r="F390" s="121"/>
      <c r="G390" s="121"/>
      <c r="H390" s="121"/>
      <c r="I390" s="121"/>
      <c r="J390" s="35"/>
      <c r="K390" s="37"/>
      <c r="M390" s="41"/>
      <c r="N390" s="35"/>
      <c r="O390" s="121"/>
      <c r="P390" s="121"/>
      <c r="Q390" s="121"/>
      <c r="R390" s="121"/>
      <c r="S390" s="35"/>
      <c r="T390" s="35"/>
      <c r="U390" s="35"/>
      <c r="V390" s="37"/>
    </row>
    <row r="391" spans="2:22" ht="15" thickBot="1" x14ac:dyDescent="0.35">
      <c r="B391" s="41">
        <v>170</v>
      </c>
      <c r="C391" s="35"/>
      <c r="D391" s="121">
        <f t="shared" ref="D391" si="849">$N$30</f>
        <v>15.588640673015377</v>
      </c>
      <c r="E391" s="35"/>
      <c r="F391" s="121">
        <f t="shared" ref="F391" si="850">($N$18/12)*J389</f>
        <v>4.7101563353987608</v>
      </c>
      <c r="G391" s="121"/>
      <c r="H391" s="121">
        <f t="shared" ref="H391" si="851">D391-F391</f>
        <v>10.878484337616616</v>
      </c>
      <c r="I391" s="121"/>
      <c r="J391" s="121">
        <f t="shared" ref="J391" si="852">J389-H391</f>
        <v>1701.9056376255689</v>
      </c>
      <c r="K391" s="37"/>
      <c r="M391" s="41">
        <v>170</v>
      </c>
      <c r="N391" s="35"/>
      <c r="O391" s="121">
        <f t="shared" ref="O391" si="853">$S$29</f>
        <v>16.137436987603884</v>
      </c>
      <c r="P391" s="121"/>
      <c r="Q391" s="121">
        <f t="shared" ref="Q391" si="854">($S$18/12)*U389</f>
        <v>5.4724732240082989</v>
      </c>
      <c r="R391" s="121"/>
      <c r="S391" s="121">
        <f t="shared" ref="S391" si="855">O391-Q391</f>
        <v>10.664963763595585</v>
      </c>
      <c r="T391" s="35"/>
      <c r="U391" s="121">
        <f t="shared" ref="U391" si="856">U389-S391</f>
        <v>1717.4844753969198</v>
      </c>
      <c r="V391" s="37"/>
    </row>
    <row r="392" spans="2:22" ht="15" thickBot="1" x14ac:dyDescent="0.35">
      <c r="B392" s="41"/>
      <c r="C392" s="35"/>
      <c r="D392" s="35"/>
      <c r="E392" s="35"/>
      <c r="F392" s="121"/>
      <c r="G392" s="121"/>
      <c r="H392" s="121"/>
      <c r="I392" s="121"/>
      <c r="J392" s="35"/>
      <c r="K392" s="37"/>
      <c r="M392" s="41"/>
      <c r="N392" s="35"/>
      <c r="O392" s="121"/>
      <c r="P392" s="121"/>
      <c r="Q392" s="121"/>
      <c r="R392" s="121"/>
      <c r="S392" s="35"/>
      <c r="T392" s="35"/>
      <c r="U392" s="35"/>
      <c r="V392" s="37"/>
    </row>
    <row r="393" spans="2:22" ht="15" thickBot="1" x14ac:dyDescent="0.35">
      <c r="B393" s="41">
        <v>171</v>
      </c>
      <c r="C393" s="35"/>
      <c r="D393" s="121">
        <f t="shared" ref="D393" si="857">$N$30</f>
        <v>15.588640673015377</v>
      </c>
      <c r="E393" s="35"/>
      <c r="F393" s="121">
        <f t="shared" ref="F393" si="858">($N$18/12)*J391</f>
        <v>4.6802405034703147</v>
      </c>
      <c r="G393" s="121"/>
      <c r="H393" s="121">
        <f t="shared" ref="H393" si="859">D393-F393</f>
        <v>10.908400169545061</v>
      </c>
      <c r="I393" s="121"/>
      <c r="J393" s="121">
        <f t="shared" ref="J393" si="860">J391-H393</f>
        <v>1690.9972374560239</v>
      </c>
      <c r="K393" s="37"/>
      <c r="M393" s="41">
        <v>171</v>
      </c>
      <c r="N393" s="35"/>
      <c r="O393" s="121">
        <f t="shared" ref="O393" si="861">$S$29</f>
        <v>16.137436987603884</v>
      </c>
      <c r="P393" s="121"/>
      <c r="Q393" s="121">
        <f t="shared" ref="Q393" si="862">($S$18/12)*U391</f>
        <v>5.4387008387569127</v>
      </c>
      <c r="R393" s="121"/>
      <c r="S393" s="121">
        <f t="shared" ref="S393" si="863">O393-Q393</f>
        <v>10.698736148846972</v>
      </c>
      <c r="T393" s="35"/>
      <c r="U393" s="121">
        <f t="shared" ref="U393" si="864">U391-S393</f>
        <v>1706.7857392480728</v>
      </c>
      <c r="V393" s="37"/>
    </row>
    <row r="394" spans="2:22" ht="15" thickBot="1" x14ac:dyDescent="0.35">
      <c r="B394" s="41"/>
      <c r="C394" s="35"/>
      <c r="D394" s="35"/>
      <c r="E394" s="35"/>
      <c r="F394" s="121"/>
      <c r="G394" s="121"/>
      <c r="H394" s="121"/>
      <c r="I394" s="121"/>
      <c r="J394" s="35"/>
      <c r="K394" s="37"/>
      <c r="M394" s="41"/>
      <c r="N394" s="35"/>
      <c r="O394" s="121"/>
      <c r="P394" s="121"/>
      <c r="Q394" s="121"/>
      <c r="R394" s="121"/>
      <c r="S394" s="35"/>
      <c r="T394" s="35"/>
      <c r="U394" s="35"/>
      <c r="V394" s="37"/>
    </row>
    <row r="395" spans="2:22" ht="15" thickBot="1" x14ac:dyDescent="0.35">
      <c r="B395" s="41">
        <v>172</v>
      </c>
      <c r="C395" s="35"/>
      <c r="D395" s="121">
        <f t="shared" ref="D395" si="865">$N$30</f>
        <v>15.588640673015377</v>
      </c>
      <c r="E395" s="35"/>
      <c r="F395" s="121">
        <f t="shared" ref="F395" si="866">($N$18/12)*J393</f>
        <v>4.6502424030040661</v>
      </c>
      <c r="G395" s="121"/>
      <c r="H395" s="121">
        <f t="shared" ref="H395" si="867">D395-F395</f>
        <v>10.93839827001131</v>
      </c>
      <c r="I395" s="121"/>
      <c r="J395" s="121">
        <f t="shared" ref="J395" si="868">J393-H395</f>
        <v>1680.0588391860126</v>
      </c>
      <c r="K395" s="37"/>
      <c r="M395" s="41">
        <v>172</v>
      </c>
      <c r="N395" s="35"/>
      <c r="O395" s="121">
        <f t="shared" ref="O395" si="869">$S$29</f>
        <v>16.137436987603884</v>
      </c>
      <c r="P395" s="121"/>
      <c r="Q395" s="121">
        <f t="shared" ref="Q395" si="870">($S$18/12)*U393</f>
        <v>5.4048215076188972</v>
      </c>
      <c r="R395" s="121"/>
      <c r="S395" s="121">
        <f t="shared" ref="S395" si="871">O395-Q395</f>
        <v>10.732615479984986</v>
      </c>
      <c r="T395" s="35"/>
      <c r="U395" s="121">
        <f t="shared" ref="U395" si="872">U393-S395</f>
        <v>1696.0531237680877</v>
      </c>
      <c r="V395" s="37"/>
    </row>
    <row r="396" spans="2:22" ht="15" thickBot="1" x14ac:dyDescent="0.35">
      <c r="B396" s="41"/>
      <c r="C396" s="35"/>
      <c r="D396" s="35"/>
      <c r="E396" s="35"/>
      <c r="F396" s="121"/>
      <c r="G396" s="121"/>
      <c r="H396" s="121"/>
      <c r="I396" s="121"/>
      <c r="J396" s="35"/>
      <c r="K396" s="37"/>
      <c r="M396" s="41"/>
      <c r="N396" s="35"/>
      <c r="O396" s="121"/>
      <c r="P396" s="121"/>
      <c r="Q396" s="121"/>
      <c r="R396" s="121"/>
      <c r="S396" s="35"/>
      <c r="T396" s="35"/>
      <c r="U396" s="35"/>
      <c r="V396" s="37"/>
    </row>
    <row r="397" spans="2:22" ht="15" thickBot="1" x14ac:dyDescent="0.35">
      <c r="B397" s="41">
        <v>173</v>
      </c>
      <c r="C397" s="35"/>
      <c r="D397" s="121">
        <f t="shared" ref="D397" si="873">$N$30</f>
        <v>15.588640673015377</v>
      </c>
      <c r="E397" s="35"/>
      <c r="F397" s="121">
        <f t="shared" ref="F397" si="874">($N$18/12)*J395</f>
        <v>4.6201618077615354</v>
      </c>
      <c r="G397" s="121"/>
      <c r="H397" s="121">
        <f t="shared" ref="H397" si="875">D397-F397</f>
        <v>10.968478865253841</v>
      </c>
      <c r="I397" s="121"/>
      <c r="J397" s="121">
        <f t="shared" ref="J397" si="876">J395-H397</f>
        <v>1669.0903603207587</v>
      </c>
      <c r="K397" s="37"/>
      <c r="M397" s="41">
        <v>173</v>
      </c>
      <c r="N397" s="35"/>
      <c r="O397" s="121">
        <f t="shared" ref="O397" si="877">$S$29</f>
        <v>16.137436987603884</v>
      </c>
      <c r="P397" s="121"/>
      <c r="Q397" s="121">
        <f t="shared" ref="Q397" si="878">($S$18/12)*U395</f>
        <v>5.3708348919322777</v>
      </c>
      <c r="R397" s="121"/>
      <c r="S397" s="121">
        <f t="shared" ref="S397" si="879">O397-Q397</f>
        <v>10.766602095671606</v>
      </c>
      <c r="T397" s="35"/>
      <c r="U397" s="121">
        <f t="shared" ref="U397" si="880">U395-S397</f>
        <v>1685.286521672416</v>
      </c>
      <c r="V397" s="37"/>
    </row>
    <row r="398" spans="2:22" ht="15" thickBot="1" x14ac:dyDescent="0.35">
      <c r="B398" s="41"/>
      <c r="C398" s="35"/>
      <c r="D398" s="35"/>
      <c r="E398" s="35"/>
      <c r="F398" s="121"/>
      <c r="G398" s="121"/>
      <c r="H398" s="121"/>
      <c r="I398" s="121"/>
      <c r="J398" s="35"/>
      <c r="K398" s="37"/>
      <c r="M398" s="41"/>
      <c r="N398" s="35"/>
      <c r="O398" s="121"/>
      <c r="P398" s="121"/>
      <c r="Q398" s="121"/>
      <c r="R398" s="121"/>
      <c r="S398" s="35"/>
      <c r="T398" s="35"/>
      <c r="U398" s="35"/>
      <c r="V398" s="37"/>
    </row>
    <row r="399" spans="2:22" ht="15" thickBot="1" x14ac:dyDescent="0.35">
      <c r="B399" s="41">
        <v>174</v>
      </c>
      <c r="C399" s="35"/>
      <c r="D399" s="121">
        <f t="shared" ref="D399" si="881">$N$30</f>
        <v>15.588640673015377</v>
      </c>
      <c r="E399" s="35"/>
      <c r="F399" s="121">
        <f t="shared" ref="F399" si="882">($N$18/12)*J397</f>
        <v>4.5899984908820866</v>
      </c>
      <c r="G399" s="121"/>
      <c r="H399" s="121">
        <f t="shared" ref="H399" si="883">D399-F399</f>
        <v>10.99864218213329</v>
      </c>
      <c r="I399" s="121"/>
      <c r="J399" s="121">
        <f t="shared" ref="J399" si="884">J397-H399</f>
        <v>1658.0917181386253</v>
      </c>
      <c r="K399" s="37"/>
      <c r="M399" s="41">
        <v>174</v>
      </c>
      <c r="N399" s="35"/>
      <c r="O399" s="121">
        <f t="shared" ref="O399" si="885">$S$29</f>
        <v>16.137436987603884</v>
      </c>
      <c r="P399" s="121"/>
      <c r="Q399" s="121">
        <f t="shared" ref="Q399" si="886">($S$18/12)*U397</f>
        <v>5.3367406519626508</v>
      </c>
      <c r="R399" s="121"/>
      <c r="S399" s="121">
        <f t="shared" ref="S399" si="887">O399-Q399</f>
        <v>10.800696335641234</v>
      </c>
      <c r="T399" s="35"/>
      <c r="U399" s="121">
        <f t="shared" ref="U399" si="888">U397-S399</f>
        <v>1674.4858253367747</v>
      </c>
      <c r="V399" s="37"/>
    </row>
    <row r="400" spans="2:22" ht="15" thickBot="1" x14ac:dyDescent="0.35">
      <c r="B400" s="41"/>
      <c r="C400" s="35"/>
      <c r="D400" s="35"/>
      <c r="E400" s="35"/>
      <c r="F400" s="121"/>
      <c r="G400" s="121"/>
      <c r="H400" s="121"/>
      <c r="I400" s="121"/>
      <c r="J400" s="35"/>
      <c r="K400" s="37"/>
      <c r="M400" s="41"/>
      <c r="N400" s="35"/>
      <c r="O400" s="121"/>
      <c r="P400" s="121"/>
      <c r="Q400" s="121"/>
      <c r="R400" s="121"/>
      <c r="S400" s="35"/>
      <c r="T400" s="35"/>
      <c r="U400" s="35"/>
      <c r="V400" s="37"/>
    </row>
    <row r="401" spans="2:22" ht="15" thickBot="1" x14ac:dyDescent="0.35">
      <c r="B401" s="41">
        <v>175</v>
      </c>
      <c r="C401" s="35"/>
      <c r="D401" s="121">
        <f t="shared" ref="D401" si="889">$N$30</f>
        <v>15.588640673015377</v>
      </c>
      <c r="E401" s="35"/>
      <c r="F401" s="121">
        <f t="shared" ref="F401" si="890">($N$18/12)*J399</f>
        <v>4.5597522248812199</v>
      </c>
      <c r="G401" s="121"/>
      <c r="H401" s="121">
        <f t="shared" ref="H401" si="891">D401-F401</f>
        <v>11.028888448134158</v>
      </c>
      <c r="I401" s="121"/>
      <c r="J401" s="121">
        <f t="shared" ref="J401" si="892">J399-H401</f>
        <v>1647.0628296904911</v>
      </c>
      <c r="K401" s="37"/>
      <c r="M401" s="41">
        <v>175</v>
      </c>
      <c r="N401" s="35"/>
      <c r="O401" s="121">
        <f t="shared" ref="O401" si="893">$S$29</f>
        <v>16.137436987603884</v>
      </c>
      <c r="P401" s="121"/>
      <c r="Q401" s="121">
        <f t="shared" ref="Q401" si="894">($S$18/12)*U399</f>
        <v>5.3025384468997867</v>
      </c>
      <c r="R401" s="121"/>
      <c r="S401" s="121">
        <f t="shared" ref="S401" si="895">O401-Q401</f>
        <v>10.834898540704097</v>
      </c>
      <c r="T401" s="35"/>
      <c r="U401" s="121">
        <f t="shared" ref="U401" si="896">U399-S401</f>
        <v>1663.6509267960707</v>
      </c>
      <c r="V401" s="37"/>
    </row>
    <row r="402" spans="2:22" ht="15" thickBot="1" x14ac:dyDescent="0.35">
      <c r="B402" s="41"/>
      <c r="C402" s="35"/>
      <c r="D402" s="35"/>
      <c r="E402" s="35"/>
      <c r="F402" s="121"/>
      <c r="G402" s="121"/>
      <c r="H402" s="121"/>
      <c r="I402" s="121"/>
      <c r="J402" s="35"/>
      <c r="K402" s="37"/>
      <c r="M402" s="41"/>
      <c r="N402" s="35"/>
      <c r="O402" s="121"/>
      <c r="P402" s="121"/>
      <c r="Q402" s="121"/>
      <c r="R402" s="121"/>
      <c r="S402" s="35"/>
      <c r="T402" s="35"/>
      <c r="U402" s="35"/>
      <c r="V402" s="37"/>
    </row>
    <row r="403" spans="2:22" ht="15" thickBot="1" x14ac:dyDescent="0.35">
      <c r="B403" s="41">
        <v>176</v>
      </c>
      <c r="C403" s="35"/>
      <c r="D403" s="121">
        <f t="shared" ref="D403" si="897">$N$30</f>
        <v>15.588640673015377</v>
      </c>
      <c r="E403" s="35"/>
      <c r="F403" s="121">
        <f t="shared" ref="F403" si="898">($N$18/12)*J401</f>
        <v>4.5294227816488508</v>
      </c>
      <c r="G403" s="121"/>
      <c r="H403" s="121">
        <f t="shared" ref="H403" si="899">D403-F403</f>
        <v>11.059217891366526</v>
      </c>
      <c r="I403" s="121"/>
      <c r="J403" s="121">
        <f t="shared" ref="J403" si="900">J401-H403</f>
        <v>1636.0036117991247</v>
      </c>
      <c r="K403" s="37"/>
      <c r="M403" s="41">
        <v>176</v>
      </c>
      <c r="N403" s="35"/>
      <c r="O403" s="121">
        <f t="shared" ref="O403" si="901">$S$29</f>
        <v>16.137436987603884</v>
      </c>
      <c r="P403" s="121"/>
      <c r="Q403" s="121">
        <f t="shared" ref="Q403" si="902">($S$18/12)*U401</f>
        <v>5.2682279348542238</v>
      </c>
      <c r="R403" s="121"/>
      <c r="S403" s="121">
        <f t="shared" ref="S403" si="903">O403-Q403</f>
        <v>10.86920905274966</v>
      </c>
      <c r="T403" s="35"/>
      <c r="U403" s="121">
        <f t="shared" ref="U403" si="904">U401-S403</f>
        <v>1652.781717743321</v>
      </c>
      <c r="V403" s="37"/>
    </row>
    <row r="404" spans="2:22" ht="15" thickBot="1" x14ac:dyDescent="0.35">
      <c r="B404" s="41"/>
      <c r="C404" s="35"/>
      <c r="D404" s="35"/>
      <c r="E404" s="35"/>
      <c r="F404" s="121"/>
      <c r="G404" s="121"/>
      <c r="H404" s="121"/>
      <c r="I404" s="121"/>
      <c r="J404" s="35"/>
      <c r="K404" s="37"/>
      <c r="M404" s="41"/>
      <c r="N404" s="35"/>
      <c r="O404" s="121"/>
      <c r="P404" s="121"/>
      <c r="Q404" s="121"/>
      <c r="R404" s="121"/>
      <c r="S404" s="35"/>
      <c r="T404" s="35"/>
      <c r="U404" s="35"/>
      <c r="V404" s="37"/>
    </row>
    <row r="405" spans="2:22" ht="15" thickBot="1" x14ac:dyDescent="0.35">
      <c r="B405" s="41">
        <v>177</v>
      </c>
      <c r="C405" s="35"/>
      <c r="D405" s="121">
        <f t="shared" ref="D405" si="905">$N$30</f>
        <v>15.588640673015377</v>
      </c>
      <c r="E405" s="35"/>
      <c r="F405" s="121">
        <f t="shared" ref="F405" si="906">($N$18/12)*J403</f>
        <v>4.499009932447593</v>
      </c>
      <c r="G405" s="121"/>
      <c r="H405" s="121">
        <f t="shared" ref="H405" si="907">D405-F405</f>
        <v>11.089630740567785</v>
      </c>
      <c r="I405" s="121"/>
      <c r="J405" s="121">
        <f t="shared" ref="J405" si="908">J403-H405</f>
        <v>1624.9139810585568</v>
      </c>
      <c r="K405" s="37"/>
      <c r="M405" s="41">
        <v>177</v>
      </c>
      <c r="N405" s="35"/>
      <c r="O405" s="121">
        <f t="shared" ref="O405" si="909">$S$29</f>
        <v>16.137436987603884</v>
      </c>
      <c r="P405" s="121"/>
      <c r="Q405" s="121">
        <f t="shared" ref="Q405" si="910">($S$18/12)*U403</f>
        <v>5.23380877285385</v>
      </c>
      <c r="R405" s="121"/>
      <c r="S405" s="121">
        <f t="shared" ref="S405" si="911">O405-Q405</f>
        <v>10.903628214750034</v>
      </c>
      <c r="T405" s="35"/>
      <c r="U405" s="121">
        <f t="shared" ref="U405" si="912">U403-S405</f>
        <v>1641.8780895285709</v>
      </c>
      <c r="V405" s="37"/>
    </row>
    <row r="406" spans="2:22" ht="15" thickBot="1" x14ac:dyDescent="0.35">
      <c r="B406" s="41"/>
      <c r="C406" s="35"/>
      <c r="D406" s="35"/>
      <c r="E406" s="35"/>
      <c r="F406" s="121"/>
      <c r="G406" s="121"/>
      <c r="H406" s="121"/>
      <c r="I406" s="121"/>
      <c r="J406" s="35"/>
      <c r="K406" s="37"/>
      <c r="M406" s="41"/>
      <c r="N406" s="35"/>
      <c r="O406" s="121"/>
      <c r="P406" s="121"/>
      <c r="Q406" s="121"/>
      <c r="R406" s="121"/>
      <c r="S406" s="35"/>
      <c r="T406" s="35"/>
      <c r="U406" s="35"/>
      <c r="V406" s="37"/>
    </row>
    <row r="407" spans="2:22" ht="15" thickBot="1" x14ac:dyDescent="0.35">
      <c r="B407" s="41">
        <v>178</v>
      </c>
      <c r="C407" s="35"/>
      <c r="D407" s="121">
        <f t="shared" ref="D407" si="913">$N$30</f>
        <v>15.588640673015377</v>
      </c>
      <c r="E407" s="35"/>
      <c r="F407" s="121">
        <f t="shared" ref="F407" si="914">($N$18/12)*J405</f>
        <v>4.4685134479110316</v>
      </c>
      <c r="G407" s="121"/>
      <c r="H407" s="121">
        <f t="shared" ref="H407" si="915">D407-F407</f>
        <v>11.120127225104344</v>
      </c>
      <c r="I407" s="121"/>
      <c r="J407" s="121">
        <f t="shared" ref="J407" si="916">J405-H407</f>
        <v>1613.7938538334524</v>
      </c>
      <c r="K407" s="37"/>
      <c r="M407" s="41">
        <v>178</v>
      </c>
      <c r="N407" s="35"/>
      <c r="O407" s="121">
        <f t="shared" ref="O407" si="917">$S$29</f>
        <v>16.137436987603884</v>
      </c>
      <c r="P407" s="121"/>
      <c r="Q407" s="121">
        <f t="shared" ref="Q407" si="918">($S$18/12)*U405</f>
        <v>5.1992806168404746</v>
      </c>
      <c r="R407" s="121"/>
      <c r="S407" s="121">
        <f t="shared" ref="S407" si="919">O407-Q407</f>
        <v>10.938156370763409</v>
      </c>
      <c r="T407" s="35"/>
      <c r="U407" s="121">
        <f t="shared" ref="U407" si="920">U405-S407</f>
        <v>1630.9399331578074</v>
      </c>
      <c r="V407" s="37"/>
    </row>
    <row r="408" spans="2:22" ht="15" thickBot="1" x14ac:dyDescent="0.35">
      <c r="B408" s="41"/>
      <c r="C408" s="35"/>
      <c r="D408" s="35"/>
      <c r="E408" s="35"/>
      <c r="F408" s="121"/>
      <c r="G408" s="121"/>
      <c r="H408" s="121"/>
      <c r="I408" s="121"/>
      <c r="J408" s="35"/>
      <c r="K408" s="37"/>
      <c r="M408" s="41"/>
      <c r="N408" s="35"/>
      <c r="O408" s="121"/>
      <c r="P408" s="121"/>
      <c r="Q408" s="121"/>
      <c r="R408" s="121"/>
      <c r="S408" s="35"/>
      <c r="T408" s="35"/>
      <c r="U408" s="35"/>
      <c r="V408" s="37"/>
    </row>
    <row r="409" spans="2:22" ht="15" thickBot="1" x14ac:dyDescent="0.35">
      <c r="B409" s="41">
        <v>179</v>
      </c>
      <c r="C409" s="35"/>
      <c r="D409" s="121">
        <f t="shared" ref="D409" si="921">$N$30</f>
        <v>15.588640673015377</v>
      </c>
      <c r="E409" s="35"/>
      <c r="F409" s="121">
        <f t="shared" ref="F409" si="922">($N$18/12)*J407</f>
        <v>4.4379330980419942</v>
      </c>
      <c r="G409" s="121"/>
      <c r="H409" s="121">
        <f t="shared" ref="H409" si="923">D409-F409</f>
        <v>11.150707574973381</v>
      </c>
      <c r="I409" s="121"/>
      <c r="J409" s="121">
        <f t="shared" ref="J409" si="924">J407-H409</f>
        <v>1602.643146258479</v>
      </c>
      <c r="K409" s="37"/>
      <c r="M409" s="41">
        <v>179</v>
      </c>
      <c r="N409" s="35"/>
      <c r="O409" s="121">
        <f t="shared" ref="O409" si="925">$S$29</f>
        <v>16.137436987603884</v>
      </c>
      <c r="P409" s="121"/>
      <c r="Q409" s="121">
        <f t="shared" ref="Q409" si="926">($S$18/12)*U407</f>
        <v>5.1646431216663897</v>
      </c>
      <c r="R409" s="121"/>
      <c r="S409" s="121">
        <f t="shared" ref="S409" si="927">O409-Q409</f>
        <v>10.972793865937494</v>
      </c>
      <c r="T409" s="35"/>
      <c r="U409" s="121">
        <f t="shared" ref="U409" si="928">U407-S409</f>
        <v>1619.9671392918699</v>
      </c>
      <c r="V409" s="37"/>
    </row>
    <row r="410" spans="2:22" ht="15" thickBot="1" x14ac:dyDescent="0.35">
      <c r="B410" s="41"/>
      <c r="C410" s="35"/>
      <c r="D410" s="35"/>
      <c r="E410" s="35"/>
      <c r="F410" s="121"/>
      <c r="G410" s="121"/>
      <c r="H410" s="121"/>
      <c r="I410" s="121"/>
      <c r="J410" s="35"/>
      <c r="K410" s="37"/>
      <c r="M410" s="41"/>
      <c r="N410" s="35"/>
      <c r="O410" s="121"/>
      <c r="P410" s="121"/>
      <c r="Q410" s="121"/>
      <c r="R410" s="121"/>
      <c r="S410" s="35"/>
      <c r="T410" s="35"/>
      <c r="U410" s="35"/>
      <c r="V410" s="37"/>
    </row>
    <row r="411" spans="2:22" ht="15" thickBot="1" x14ac:dyDescent="0.35">
      <c r="B411" s="41">
        <v>180</v>
      </c>
      <c r="C411" s="35"/>
      <c r="D411" s="121">
        <f t="shared" ref="D411" si="929">$N$30</f>
        <v>15.588640673015377</v>
      </c>
      <c r="E411" s="35"/>
      <c r="F411" s="121">
        <f t="shared" ref="F411" si="930">($N$18/12)*J409</f>
        <v>4.407268652210818</v>
      </c>
      <c r="G411" s="121"/>
      <c r="H411" s="121">
        <f t="shared" ref="H411" si="931">D411-F411</f>
        <v>11.181372020804559</v>
      </c>
      <c r="I411" s="121"/>
      <c r="J411" s="121">
        <f t="shared" ref="J411" si="932">J409-H411</f>
        <v>1591.4617742376745</v>
      </c>
      <c r="K411" s="37"/>
      <c r="M411" s="41">
        <v>180</v>
      </c>
      <c r="N411" s="35"/>
      <c r="O411" s="121">
        <f t="shared" ref="O411" si="933">$S$29</f>
        <v>16.137436987603884</v>
      </c>
      <c r="P411" s="121"/>
      <c r="Q411" s="121">
        <f t="shared" ref="Q411" si="934">($S$18/12)*U409</f>
        <v>5.1298959410909211</v>
      </c>
      <c r="R411" s="121"/>
      <c r="S411" s="121">
        <f t="shared" ref="S411" si="935">O411-Q411</f>
        <v>11.007541046512962</v>
      </c>
      <c r="T411" s="35"/>
      <c r="U411" s="121">
        <f t="shared" ref="U411" si="936">U409-S411</f>
        <v>1608.959598245357</v>
      </c>
      <c r="V411" s="37"/>
    </row>
    <row r="412" spans="2:22" ht="15" thickBot="1" x14ac:dyDescent="0.35">
      <c r="B412" s="41"/>
      <c r="C412" s="35"/>
      <c r="D412" s="35"/>
      <c r="E412" s="35"/>
      <c r="F412" s="121"/>
      <c r="G412" s="121"/>
      <c r="H412" s="121"/>
      <c r="I412" s="121"/>
      <c r="J412" s="35"/>
      <c r="K412" s="37"/>
      <c r="M412" s="41"/>
      <c r="N412" s="35"/>
      <c r="O412" s="121"/>
      <c r="P412" s="121"/>
      <c r="Q412" s="121"/>
      <c r="R412" s="121"/>
      <c r="S412" s="35"/>
      <c r="T412" s="35"/>
      <c r="U412" s="35"/>
      <c r="V412" s="37"/>
    </row>
    <row r="413" spans="2:22" ht="15" thickBot="1" x14ac:dyDescent="0.35">
      <c r="B413" s="41">
        <v>181</v>
      </c>
      <c r="C413" s="35"/>
      <c r="D413" s="121">
        <f t="shared" ref="D413" si="937">$N$30</f>
        <v>15.588640673015377</v>
      </c>
      <c r="E413" s="35"/>
      <c r="F413" s="121">
        <f t="shared" ref="F413" si="938">($N$18/12)*J411</f>
        <v>4.3765198791536051</v>
      </c>
      <c r="G413" s="121"/>
      <c r="H413" s="121">
        <f t="shared" ref="H413" si="939">D413-F413</f>
        <v>11.212120793861772</v>
      </c>
      <c r="I413" s="121"/>
      <c r="J413" s="121">
        <f t="shared" ref="J413" si="940">J411-H413</f>
        <v>1580.2496534438128</v>
      </c>
      <c r="K413" s="37"/>
      <c r="M413" s="41">
        <v>181</v>
      </c>
      <c r="N413" s="35"/>
      <c r="O413" s="121">
        <f t="shared" ref="O413" si="941">$S$29</f>
        <v>16.137436987603884</v>
      </c>
      <c r="P413" s="121"/>
      <c r="Q413" s="121">
        <f t="shared" ref="Q413" si="942">($S$18/12)*U411</f>
        <v>5.0950387277769638</v>
      </c>
      <c r="R413" s="121"/>
      <c r="S413" s="121">
        <f t="shared" ref="S413" si="943">O413-Q413</f>
        <v>11.042398259826921</v>
      </c>
      <c r="T413" s="35"/>
      <c r="U413" s="121">
        <f t="shared" ref="U413" si="944">U411-S413</f>
        <v>1597.91719998553</v>
      </c>
      <c r="V413" s="37"/>
    </row>
    <row r="414" spans="2:22" ht="15" thickBot="1" x14ac:dyDescent="0.35">
      <c r="B414" s="41"/>
      <c r="C414" s="35"/>
      <c r="D414" s="35"/>
      <c r="E414" s="35"/>
      <c r="F414" s="121"/>
      <c r="G414" s="121"/>
      <c r="H414" s="121"/>
      <c r="I414" s="121"/>
      <c r="J414" s="35"/>
      <c r="K414" s="37"/>
      <c r="M414" s="41"/>
      <c r="N414" s="35"/>
      <c r="O414" s="121"/>
      <c r="P414" s="121"/>
      <c r="Q414" s="121"/>
      <c r="R414" s="121"/>
      <c r="S414" s="35"/>
      <c r="T414" s="35"/>
      <c r="U414" s="35"/>
      <c r="V414" s="37"/>
    </row>
    <row r="415" spans="2:22" ht="15" thickBot="1" x14ac:dyDescent="0.35">
      <c r="B415" s="41">
        <v>182</v>
      </c>
      <c r="C415" s="35"/>
      <c r="D415" s="121">
        <f t="shared" ref="D415" si="945">$N$30</f>
        <v>15.588640673015377</v>
      </c>
      <c r="E415" s="35"/>
      <c r="F415" s="121">
        <f t="shared" ref="F415" si="946">($N$18/12)*J413</f>
        <v>4.3456865469704855</v>
      </c>
      <c r="G415" s="121"/>
      <c r="H415" s="121">
        <f t="shared" ref="H415" si="947">D415-F415</f>
        <v>11.242954126044891</v>
      </c>
      <c r="I415" s="121"/>
      <c r="J415" s="121">
        <f t="shared" ref="J415" si="948">J413-H415</f>
        <v>1569.0066993177679</v>
      </c>
      <c r="K415" s="37"/>
      <c r="M415" s="41">
        <v>182</v>
      </c>
      <c r="N415" s="35"/>
      <c r="O415" s="121">
        <f t="shared" ref="O415" si="949">$S$29</f>
        <v>16.137436987603884</v>
      </c>
      <c r="P415" s="121"/>
      <c r="Q415" s="121">
        <f t="shared" ref="Q415" si="950">($S$18/12)*U413</f>
        <v>5.0600711332875115</v>
      </c>
      <c r="R415" s="121"/>
      <c r="S415" s="121">
        <f t="shared" ref="S415" si="951">O415-Q415</f>
        <v>11.077365854316373</v>
      </c>
      <c r="T415" s="35"/>
      <c r="U415" s="121">
        <f t="shared" ref="U415" si="952">U413-S415</f>
        <v>1586.8398341312136</v>
      </c>
      <c r="V415" s="37"/>
    </row>
    <row r="416" spans="2:22" ht="15" thickBot="1" x14ac:dyDescent="0.35">
      <c r="B416" s="41"/>
      <c r="C416" s="35"/>
      <c r="D416" s="35"/>
      <c r="E416" s="35"/>
      <c r="F416" s="121"/>
      <c r="G416" s="121"/>
      <c r="H416" s="121"/>
      <c r="I416" s="121"/>
      <c r="J416" s="35"/>
      <c r="K416" s="37"/>
      <c r="M416" s="41"/>
      <c r="N416" s="35"/>
      <c r="O416" s="121"/>
      <c r="P416" s="121"/>
      <c r="Q416" s="121"/>
      <c r="R416" s="121"/>
      <c r="S416" s="35"/>
      <c r="T416" s="35"/>
      <c r="U416" s="35"/>
      <c r="V416" s="37"/>
    </row>
    <row r="417" spans="2:22" ht="15" thickBot="1" x14ac:dyDescent="0.35">
      <c r="B417" s="41">
        <v>183</v>
      </c>
      <c r="C417" s="35"/>
      <c r="D417" s="121">
        <f t="shared" ref="D417" si="953">$N$30</f>
        <v>15.588640673015377</v>
      </c>
      <c r="E417" s="35"/>
      <c r="F417" s="121">
        <f t="shared" ref="F417" si="954">($N$18/12)*J415</f>
        <v>4.3147684231238621</v>
      </c>
      <c r="G417" s="121"/>
      <c r="H417" s="121">
        <f t="shared" ref="H417" si="955">D417-F417</f>
        <v>11.273872249891514</v>
      </c>
      <c r="I417" s="121"/>
      <c r="J417" s="121">
        <f t="shared" ref="J417" si="956">J415-H417</f>
        <v>1557.7328270678763</v>
      </c>
      <c r="K417" s="37"/>
      <c r="M417" s="41">
        <v>183</v>
      </c>
      <c r="N417" s="35"/>
      <c r="O417" s="121">
        <f t="shared" ref="O417" si="957">$S$29</f>
        <v>16.137436987603884</v>
      </c>
      <c r="P417" s="121"/>
      <c r="Q417" s="121">
        <f t="shared" ref="Q417" si="958">($S$18/12)*U415</f>
        <v>5.0249928080821764</v>
      </c>
      <c r="R417" s="121"/>
      <c r="S417" s="121">
        <f t="shared" ref="S417" si="959">O417-Q417</f>
        <v>11.112444179521708</v>
      </c>
      <c r="T417" s="35"/>
      <c r="U417" s="121">
        <f t="shared" ref="U417" si="960">U415-S417</f>
        <v>1575.727389951692</v>
      </c>
      <c r="V417" s="37"/>
    </row>
    <row r="418" spans="2:22" ht="15" thickBot="1" x14ac:dyDescent="0.35">
      <c r="B418" s="41"/>
      <c r="C418" s="35"/>
      <c r="D418" s="35"/>
      <c r="E418" s="35"/>
      <c r="F418" s="121"/>
      <c r="G418" s="121"/>
      <c r="H418" s="121"/>
      <c r="I418" s="121"/>
      <c r="J418" s="35"/>
      <c r="K418" s="37"/>
      <c r="M418" s="41"/>
      <c r="N418" s="35"/>
      <c r="O418" s="121"/>
      <c r="P418" s="121"/>
      <c r="Q418" s="121"/>
      <c r="R418" s="121"/>
      <c r="S418" s="35"/>
      <c r="T418" s="35"/>
      <c r="U418" s="35"/>
      <c r="V418" s="37"/>
    </row>
    <row r="419" spans="2:22" ht="15" thickBot="1" x14ac:dyDescent="0.35">
      <c r="B419" s="41">
        <v>184</v>
      </c>
      <c r="C419" s="35"/>
      <c r="D419" s="121">
        <f t="shared" ref="D419" si="961">$N$30</f>
        <v>15.588640673015377</v>
      </c>
      <c r="E419" s="35"/>
      <c r="F419" s="121">
        <f t="shared" ref="F419" si="962">($N$18/12)*J417</f>
        <v>4.2837652744366599</v>
      </c>
      <c r="G419" s="121"/>
      <c r="H419" s="121">
        <f t="shared" ref="H419" si="963">D419-F419</f>
        <v>11.304875398578716</v>
      </c>
      <c r="I419" s="121"/>
      <c r="J419" s="121">
        <f t="shared" ref="J419" si="964">J417-H419</f>
        <v>1546.4279516692975</v>
      </c>
      <c r="K419" s="37"/>
      <c r="M419" s="41">
        <v>184</v>
      </c>
      <c r="N419" s="35"/>
      <c r="O419" s="121">
        <f t="shared" ref="O419" si="965">$S$29</f>
        <v>16.137436987603884</v>
      </c>
      <c r="P419" s="121"/>
      <c r="Q419" s="121">
        <f t="shared" ref="Q419" si="966">($S$18/12)*U417</f>
        <v>4.989803401513691</v>
      </c>
      <c r="R419" s="121"/>
      <c r="S419" s="121">
        <f t="shared" ref="S419" si="967">O419-Q419</f>
        <v>11.147633586090194</v>
      </c>
      <c r="T419" s="35"/>
      <c r="U419" s="121">
        <f t="shared" ref="U419" si="968">U417-S419</f>
        <v>1564.5797563656017</v>
      </c>
      <c r="V419" s="37"/>
    </row>
    <row r="420" spans="2:22" ht="15" thickBot="1" x14ac:dyDescent="0.35">
      <c r="B420" s="41"/>
      <c r="C420" s="35"/>
      <c r="D420" s="35"/>
      <c r="E420" s="35"/>
      <c r="F420" s="121"/>
      <c r="G420" s="121"/>
      <c r="H420" s="121"/>
      <c r="I420" s="121"/>
      <c r="J420" s="35"/>
      <c r="K420" s="37"/>
      <c r="M420" s="41"/>
      <c r="N420" s="35"/>
      <c r="O420" s="121"/>
      <c r="P420" s="121"/>
      <c r="Q420" s="121"/>
      <c r="R420" s="121"/>
      <c r="S420" s="35"/>
      <c r="T420" s="35"/>
      <c r="U420" s="35"/>
      <c r="V420" s="37"/>
    </row>
    <row r="421" spans="2:22" ht="15" thickBot="1" x14ac:dyDescent="0.35">
      <c r="B421" s="41">
        <v>185</v>
      </c>
      <c r="C421" s="35"/>
      <c r="D421" s="121">
        <f t="shared" ref="D421" si="969">$N$30</f>
        <v>15.588640673015377</v>
      </c>
      <c r="E421" s="35"/>
      <c r="F421" s="121">
        <f t="shared" ref="F421" si="970">($N$18/12)*J419</f>
        <v>4.2526768670905684</v>
      </c>
      <c r="G421" s="121"/>
      <c r="H421" s="121">
        <f t="shared" ref="H421" si="971">D421-F421</f>
        <v>11.335963805924809</v>
      </c>
      <c r="I421" s="121"/>
      <c r="J421" s="121">
        <f t="shared" ref="J421" si="972">J419-H421</f>
        <v>1535.0919878633727</v>
      </c>
      <c r="K421" s="37"/>
      <c r="M421" s="41">
        <v>185</v>
      </c>
      <c r="N421" s="35"/>
      <c r="O421" s="121">
        <f t="shared" ref="O421" si="973">$S$29</f>
        <v>16.137436987603884</v>
      </c>
      <c r="P421" s="121"/>
      <c r="Q421" s="121">
        <f t="shared" ref="Q421" si="974">($S$18/12)*U419</f>
        <v>4.9545025618244054</v>
      </c>
      <c r="R421" s="121"/>
      <c r="S421" s="121">
        <f t="shared" ref="S421" si="975">O421-Q421</f>
        <v>11.182934425779479</v>
      </c>
      <c r="T421" s="35"/>
      <c r="U421" s="121">
        <f t="shared" ref="U421" si="976">U419-S421</f>
        <v>1553.3968219398223</v>
      </c>
      <c r="V421" s="37"/>
    </row>
    <row r="422" spans="2:22" ht="15" thickBot="1" x14ac:dyDescent="0.35">
      <c r="B422" s="41"/>
      <c r="C422" s="35"/>
      <c r="D422" s="35"/>
      <c r="E422" s="35"/>
      <c r="F422" s="121"/>
      <c r="G422" s="121"/>
      <c r="H422" s="121"/>
      <c r="I422" s="121"/>
      <c r="J422" s="35"/>
      <c r="K422" s="37"/>
      <c r="M422" s="41"/>
      <c r="N422" s="35"/>
      <c r="O422" s="121"/>
      <c r="P422" s="121"/>
      <c r="Q422" s="121"/>
      <c r="R422" s="121"/>
      <c r="S422" s="35"/>
      <c r="T422" s="35"/>
      <c r="U422" s="35"/>
      <c r="V422" s="37"/>
    </row>
    <row r="423" spans="2:22" ht="15" thickBot="1" x14ac:dyDescent="0.35">
      <c r="B423" s="41">
        <v>186</v>
      </c>
      <c r="C423" s="35"/>
      <c r="D423" s="121">
        <f t="shared" ref="D423" si="977">$N$30</f>
        <v>15.588640673015377</v>
      </c>
      <c r="E423" s="35"/>
      <c r="F423" s="121">
        <f t="shared" ref="F423" si="978">($N$18/12)*J421</f>
        <v>4.2215029666242749</v>
      </c>
      <c r="G423" s="121"/>
      <c r="H423" s="121">
        <f t="shared" ref="H423" si="979">D423-F423</f>
        <v>11.367137706391102</v>
      </c>
      <c r="I423" s="121"/>
      <c r="J423" s="121">
        <f t="shared" ref="J423" si="980">J421-H423</f>
        <v>1523.7248501569816</v>
      </c>
      <c r="K423" s="37"/>
      <c r="M423" s="41">
        <v>186</v>
      </c>
      <c r="N423" s="35"/>
      <c r="O423" s="121">
        <f t="shared" ref="O423" si="981">$S$29</f>
        <v>16.137436987603884</v>
      </c>
      <c r="P423" s="121"/>
      <c r="Q423" s="121">
        <f t="shared" ref="Q423" si="982">($S$18/12)*U421</f>
        <v>4.9190899361427709</v>
      </c>
      <c r="R423" s="121"/>
      <c r="S423" s="121">
        <f t="shared" ref="S423" si="983">O423-Q423</f>
        <v>11.218347051461112</v>
      </c>
      <c r="T423" s="35"/>
      <c r="U423" s="121">
        <f t="shared" ref="U423" si="984">U421-S423</f>
        <v>1542.1784748883613</v>
      </c>
      <c r="V423" s="37"/>
    </row>
    <row r="424" spans="2:22" ht="15" thickBot="1" x14ac:dyDescent="0.35">
      <c r="B424" s="41"/>
      <c r="C424" s="35"/>
      <c r="D424" s="35"/>
      <c r="E424" s="35"/>
      <c r="F424" s="121"/>
      <c r="G424" s="121"/>
      <c r="H424" s="121"/>
      <c r="I424" s="121"/>
      <c r="J424" s="35"/>
      <c r="K424" s="37"/>
      <c r="M424" s="41"/>
      <c r="N424" s="35"/>
      <c r="O424" s="121"/>
      <c r="P424" s="121"/>
      <c r="Q424" s="121"/>
      <c r="R424" s="121"/>
      <c r="S424" s="35"/>
      <c r="T424" s="35"/>
      <c r="U424" s="35"/>
      <c r="V424" s="37"/>
    </row>
    <row r="425" spans="2:22" ht="15" thickBot="1" x14ac:dyDescent="0.35">
      <c r="B425" s="41">
        <v>187</v>
      </c>
      <c r="C425" s="35"/>
      <c r="D425" s="121">
        <f t="shared" ref="D425" si="985">$N$30</f>
        <v>15.588640673015377</v>
      </c>
      <c r="E425" s="35"/>
      <c r="F425" s="121">
        <f t="shared" ref="F425" si="986">($N$18/12)*J423</f>
        <v>4.1902433379317001</v>
      </c>
      <c r="G425" s="121"/>
      <c r="H425" s="121">
        <f t="shared" ref="H425" si="987">D425-F425</f>
        <v>11.398397335083676</v>
      </c>
      <c r="I425" s="121"/>
      <c r="J425" s="121">
        <f t="shared" ref="J425" si="988">J423-H425</f>
        <v>1512.3264528218979</v>
      </c>
      <c r="K425" s="37"/>
      <c r="M425" s="41">
        <v>187</v>
      </c>
      <c r="N425" s="35"/>
      <c r="O425" s="121">
        <f t="shared" ref="O425" si="989">$S$29</f>
        <v>16.137436987603884</v>
      </c>
      <c r="P425" s="121"/>
      <c r="Q425" s="121">
        <f t="shared" ref="Q425" si="990">($S$18/12)*U423</f>
        <v>4.8835651704798106</v>
      </c>
      <c r="R425" s="121"/>
      <c r="S425" s="121">
        <f t="shared" ref="S425" si="991">O425-Q425</f>
        <v>11.253871817124073</v>
      </c>
      <c r="T425" s="35"/>
      <c r="U425" s="121">
        <f t="shared" ref="U425" si="992">U423-S425</f>
        <v>1530.9246030712372</v>
      </c>
      <c r="V425" s="37"/>
    </row>
    <row r="426" spans="2:22" ht="15" thickBot="1" x14ac:dyDescent="0.35">
      <c r="B426" s="41"/>
      <c r="C426" s="35"/>
      <c r="D426" s="35"/>
      <c r="E426" s="35"/>
      <c r="F426" s="121"/>
      <c r="G426" s="121"/>
      <c r="H426" s="121"/>
      <c r="I426" s="121"/>
      <c r="J426" s="35"/>
      <c r="K426" s="37"/>
      <c r="M426" s="41"/>
      <c r="N426" s="35"/>
      <c r="O426" s="121"/>
      <c r="P426" s="121"/>
      <c r="Q426" s="121"/>
      <c r="R426" s="121"/>
      <c r="S426" s="35"/>
      <c r="T426" s="35"/>
      <c r="U426" s="35"/>
      <c r="V426" s="37"/>
    </row>
    <row r="427" spans="2:22" ht="15" thickBot="1" x14ac:dyDescent="0.35">
      <c r="B427" s="41">
        <v>188</v>
      </c>
      <c r="C427" s="35"/>
      <c r="D427" s="121">
        <f t="shared" ref="D427" si="993">$N$30</f>
        <v>15.588640673015377</v>
      </c>
      <c r="E427" s="35"/>
      <c r="F427" s="121">
        <f t="shared" ref="F427" si="994">($N$18/12)*J425</f>
        <v>4.1588977452602194</v>
      </c>
      <c r="G427" s="121"/>
      <c r="H427" s="121">
        <f t="shared" ref="H427" si="995">D427-F427</f>
        <v>11.429742927755157</v>
      </c>
      <c r="I427" s="121"/>
      <c r="J427" s="121">
        <f t="shared" ref="J427" si="996">J425-H427</f>
        <v>1500.8967098941428</v>
      </c>
      <c r="K427" s="37"/>
      <c r="M427" s="41">
        <v>188</v>
      </c>
      <c r="N427" s="35"/>
      <c r="O427" s="121">
        <f t="shared" ref="O427" si="997">$S$29</f>
        <v>16.137436987603884</v>
      </c>
      <c r="P427" s="121"/>
      <c r="Q427" s="121">
        <f t="shared" ref="Q427" si="998">($S$18/12)*U425</f>
        <v>4.8479279097255841</v>
      </c>
      <c r="R427" s="121"/>
      <c r="S427" s="121">
        <f t="shared" ref="S427" si="999">O427-Q427</f>
        <v>11.2895090778783</v>
      </c>
      <c r="T427" s="35"/>
      <c r="U427" s="121">
        <f t="shared" ref="U427" si="1000">U425-S427</f>
        <v>1519.6350939933589</v>
      </c>
      <c r="V427" s="37"/>
    </row>
    <row r="428" spans="2:22" ht="15" thickBot="1" x14ac:dyDescent="0.35">
      <c r="B428" s="41"/>
      <c r="C428" s="35"/>
      <c r="D428" s="35"/>
      <c r="E428" s="35"/>
      <c r="F428" s="121"/>
      <c r="G428" s="121"/>
      <c r="H428" s="121"/>
      <c r="I428" s="121"/>
      <c r="J428" s="35"/>
      <c r="K428" s="37"/>
      <c r="M428" s="41"/>
      <c r="N428" s="35"/>
      <c r="O428" s="121"/>
      <c r="P428" s="121"/>
      <c r="Q428" s="121"/>
      <c r="R428" s="121"/>
      <c r="S428" s="35"/>
      <c r="T428" s="35"/>
      <c r="U428" s="35"/>
      <c r="V428" s="37"/>
    </row>
    <row r="429" spans="2:22" ht="15" thickBot="1" x14ac:dyDescent="0.35">
      <c r="B429" s="41">
        <v>189</v>
      </c>
      <c r="C429" s="35"/>
      <c r="D429" s="121">
        <f t="shared" ref="D429" si="1001">$N$30</f>
        <v>15.588640673015377</v>
      </c>
      <c r="E429" s="35"/>
      <c r="F429" s="121">
        <f t="shared" ref="F429" si="1002">($N$18/12)*J427</f>
        <v>4.127465952208893</v>
      </c>
      <c r="G429" s="121"/>
      <c r="H429" s="121">
        <f t="shared" ref="H429" si="1003">D429-F429</f>
        <v>11.461174720806483</v>
      </c>
      <c r="I429" s="121"/>
      <c r="J429" s="121">
        <f t="shared" ref="J429" si="1004">J427-H429</f>
        <v>1489.4355351733363</v>
      </c>
      <c r="K429" s="37"/>
      <c r="M429" s="41">
        <v>189</v>
      </c>
      <c r="N429" s="35"/>
      <c r="O429" s="121">
        <f t="shared" ref="O429" si="1005">$S$29</f>
        <v>16.137436987603884</v>
      </c>
      <c r="P429" s="121"/>
      <c r="Q429" s="121">
        <f t="shared" ref="Q429" si="1006">($S$18/12)*U427</f>
        <v>4.8121777976456359</v>
      </c>
      <c r="R429" s="121"/>
      <c r="S429" s="121">
        <f t="shared" ref="S429" si="1007">O429-Q429</f>
        <v>11.325259189958249</v>
      </c>
      <c r="T429" s="35"/>
      <c r="U429" s="121">
        <f t="shared" ref="U429" si="1008">U427-S429</f>
        <v>1508.3098348034007</v>
      </c>
      <c r="V429" s="37"/>
    </row>
    <row r="430" spans="2:22" ht="15" thickBot="1" x14ac:dyDescent="0.35">
      <c r="B430" s="41"/>
      <c r="C430" s="35"/>
      <c r="D430" s="35"/>
      <c r="E430" s="35"/>
      <c r="F430" s="121"/>
      <c r="G430" s="121"/>
      <c r="H430" s="121"/>
      <c r="I430" s="121"/>
      <c r="J430" s="35"/>
      <c r="K430" s="37"/>
      <c r="M430" s="41"/>
      <c r="N430" s="35"/>
      <c r="O430" s="121"/>
      <c r="P430" s="121"/>
      <c r="Q430" s="121"/>
      <c r="R430" s="121"/>
      <c r="S430" s="35"/>
      <c r="T430" s="35"/>
      <c r="U430" s="35"/>
      <c r="V430" s="37"/>
    </row>
    <row r="431" spans="2:22" ht="15" thickBot="1" x14ac:dyDescent="0.35">
      <c r="B431" s="41">
        <v>190</v>
      </c>
      <c r="C431" s="35"/>
      <c r="D431" s="121">
        <f t="shared" ref="D431" si="1009">$N$30</f>
        <v>15.588640673015377</v>
      </c>
      <c r="E431" s="35"/>
      <c r="F431" s="121">
        <f t="shared" ref="F431" si="1010">($N$18/12)*J429</f>
        <v>4.0959477217266755</v>
      </c>
      <c r="G431" s="121"/>
      <c r="H431" s="121">
        <f t="shared" ref="H431" si="1011">D431-F431</f>
        <v>11.492692951288701</v>
      </c>
      <c r="I431" s="121"/>
      <c r="J431" s="121">
        <f t="shared" ref="J431" si="1012">J429-H431</f>
        <v>1477.9428422220476</v>
      </c>
      <c r="K431" s="37"/>
      <c r="M431" s="41">
        <v>190</v>
      </c>
      <c r="N431" s="35"/>
      <c r="O431" s="121">
        <f t="shared" ref="O431" si="1013">$S$29</f>
        <v>16.137436987603884</v>
      </c>
      <c r="P431" s="121"/>
      <c r="Q431" s="121">
        <f t="shared" ref="Q431" si="1014">($S$18/12)*U429</f>
        <v>4.7763144768774355</v>
      </c>
      <c r="R431" s="121"/>
      <c r="S431" s="121">
        <f t="shared" ref="S431" si="1015">O431-Q431</f>
        <v>11.36112251072645</v>
      </c>
      <c r="T431" s="35"/>
      <c r="U431" s="121">
        <f t="shared" ref="U431" si="1016">U429-S431</f>
        <v>1496.9487122926741</v>
      </c>
      <c r="V431" s="37"/>
    </row>
    <row r="432" spans="2:22" ht="15" thickBot="1" x14ac:dyDescent="0.35">
      <c r="B432" s="41"/>
      <c r="C432" s="35"/>
      <c r="D432" s="35"/>
      <c r="E432" s="35"/>
      <c r="F432" s="121"/>
      <c r="G432" s="121"/>
      <c r="H432" s="121"/>
      <c r="I432" s="121"/>
      <c r="J432" s="35"/>
      <c r="K432" s="37"/>
      <c r="M432" s="41"/>
      <c r="N432" s="35"/>
      <c r="O432" s="121"/>
      <c r="P432" s="121"/>
      <c r="Q432" s="121"/>
      <c r="R432" s="121"/>
      <c r="S432" s="35"/>
      <c r="T432" s="35"/>
      <c r="U432" s="35"/>
      <c r="V432" s="37"/>
    </row>
    <row r="433" spans="2:22" ht="15" thickBot="1" x14ac:dyDescent="0.35">
      <c r="B433" s="41">
        <v>191</v>
      </c>
      <c r="C433" s="35"/>
      <c r="D433" s="121">
        <f t="shared" ref="D433" si="1017">$N$30</f>
        <v>15.588640673015377</v>
      </c>
      <c r="E433" s="35"/>
      <c r="F433" s="121">
        <f t="shared" ref="F433" si="1018">($N$18/12)*J431</f>
        <v>4.0643428161106314</v>
      </c>
      <c r="G433" s="121"/>
      <c r="H433" s="121">
        <f t="shared" ref="H433" si="1019">D433-F433</f>
        <v>11.524297856904745</v>
      </c>
      <c r="I433" s="121"/>
      <c r="J433" s="121">
        <f t="shared" ref="J433" si="1020">J431-H433</f>
        <v>1466.4185443651429</v>
      </c>
      <c r="K433" s="37"/>
      <c r="M433" s="41">
        <v>191</v>
      </c>
      <c r="N433" s="35"/>
      <c r="O433" s="121">
        <f t="shared" ref="O433" si="1021">$S$29</f>
        <v>16.137436987603884</v>
      </c>
      <c r="P433" s="121"/>
      <c r="Q433" s="121">
        <f t="shared" ref="Q433" si="1022">($S$18/12)*U431</f>
        <v>4.7403375889268009</v>
      </c>
      <c r="R433" s="121"/>
      <c r="S433" s="121">
        <f t="shared" ref="S433" si="1023">O433-Q433</f>
        <v>11.397099398677083</v>
      </c>
      <c r="T433" s="35"/>
      <c r="U433" s="121">
        <f t="shared" ref="U433" si="1024">U431-S433</f>
        <v>1485.5516128939971</v>
      </c>
      <c r="V433" s="37"/>
    </row>
    <row r="434" spans="2:22" ht="15" thickBot="1" x14ac:dyDescent="0.35">
      <c r="B434" s="41"/>
      <c r="C434" s="35"/>
      <c r="D434" s="35"/>
      <c r="E434" s="35"/>
      <c r="F434" s="121"/>
      <c r="G434" s="121"/>
      <c r="H434" s="121"/>
      <c r="I434" s="121"/>
      <c r="J434" s="35"/>
      <c r="K434" s="37"/>
      <c r="M434" s="41"/>
      <c r="N434" s="35"/>
      <c r="O434" s="121"/>
      <c r="P434" s="121"/>
      <c r="Q434" s="121"/>
      <c r="R434" s="121"/>
      <c r="S434" s="35"/>
      <c r="T434" s="35"/>
      <c r="U434" s="35"/>
      <c r="V434" s="37"/>
    </row>
    <row r="435" spans="2:22" ht="15" thickBot="1" x14ac:dyDescent="0.35">
      <c r="B435" s="41">
        <v>192</v>
      </c>
      <c r="C435" s="35"/>
      <c r="D435" s="121">
        <f t="shared" ref="D435" si="1025">$N$30</f>
        <v>15.588640673015377</v>
      </c>
      <c r="E435" s="35"/>
      <c r="F435" s="121">
        <f t="shared" ref="F435" si="1026">($N$18/12)*J433</f>
        <v>4.0326509970041435</v>
      </c>
      <c r="G435" s="121"/>
      <c r="H435" s="121">
        <f t="shared" ref="H435" si="1027">D435-F435</f>
        <v>11.555989676011233</v>
      </c>
      <c r="I435" s="121"/>
      <c r="J435" s="121">
        <f t="shared" ref="J435" si="1028">J433-H435</f>
        <v>1454.8625546891317</v>
      </c>
      <c r="K435" s="37"/>
      <c r="M435" s="41">
        <v>192</v>
      </c>
      <c r="N435" s="35"/>
      <c r="O435" s="121">
        <f t="shared" ref="O435" si="1029">$S$29</f>
        <v>16.137436987603884</v>
      </c>
      <c r="P435" s="121"/>
      <c r="Q435" s="121">
        <f t="shared" ref="Q435" si="1030">($S$18/12)*U433</f>
        <v>4.7042467741643241</v>
      </c>
      <c r="R435" s="121"/>
      <c r="S435" s="121">
        <f t="shared" ref="S435" si="1031">O435-Q435</f>
        <v>11.433190213439559</v>
      </c>
      <c r="T435" s="35"/>
      <c r="U435" s="121">
        <f t="shared" ref="U435" si="1032">U433-S435</f>
        <v>1474.1184226805576</v>
      </c>
      <c r="V435" s="37"/>
    </row>
    <row r="436" spans="2:22" ht="15" thickBot="1" x14ac:dyDescent="0.35">
      <c r="B436" s="41"/>
      <c r="C436" s="35"/>
      <c r="D436" s="35"/>
      <c r="E436" s="35"/>
      <c r="F436" s="121"/>
      <c r="G436" s="121"/>
      <c r="H436" s="121"/>
      <c r="I436" s="121"/>
      <c r="J436" s="35"/>
      <c r="K436" s="37"/>
      <c r="M436" s="41"/>
      <c r="N436" s="35"/>
      <c r="O436" s="121"/>
      <c r="P436" s="121"/>
      <c r="Q436" s="121"/>
      <c r="R436" s="121"/>
      <c r="S436" s="35"/>
      <c r="T436" s="35"/>
      <c r="U436" s="35"/>
      <c r="V436" s="37"/>
    </row>
    <row r="437" spans="2:22" ht="15" thickBot="1" x14ac:dyDescent="0.35">
      <c r="B437" s="41">
        <v>193</v>
      </c>
      <c r="C437" s="35"/>
      <c r="D437" s="121">
        <f t="shared" ref="D437" si="1033">$N$30</f>
        <v>15.588640673015377</v>
      </c>
      <c r="E437" s="35"/>
      <c r="F437" s="121">
        <f t="shared" ref="F437" si="1034">($N$18/12)*J435</f>
        <v>4.0008720253951129</v>
      </c>
      <c r="G437" s="121"/>
      <c r="H437" s="121">
        <f t="shared" ref="H437" si="1035">D437-F437</f>
        <v>11.587768647620264</v>
      </c>
      <c r="I437" s="121"/>
      <c r="J437" s="121">
        <f t="shared" ref="J437" si="1036">J435-H437</f>
        <v>1443.2747860415113</v>
      </c>
      <c r="K437" s="37"/>
      <c r="M437" s="41">
        <v>193</v>
      </c>
      <c r="N437" s="35"/>
      <c r="O437" s="121">
        <f t="shared" ref="O437" si="1037">$S$29</f>
        <v>16.137436987603884</v>
      </c>
      <c r="P437" s="121"/>
      <c r="Q437" s="121">
        <f t="shared" ref="Q437" si="1038">($S$18/12)*U435</f>
        <v>4.6680416718217659</v>
      </c>
      <c r="R437" s="121"/>
      <c r="S437" s="121">
        <f t="shared" ref="S437" si="1039">O437-Q437</f>
        <v>11.469395315782119</v>
      </c>
      <c r="T437" s="35"/>
      <c r="U437" s="121">
        <f t="shared" ref="U437" si="1040">U435-S437</f>
        <v>1462.6490273647755</v>
      </c>
      <c r="V437" s="37"/>
    </row>
    <row r="438" spans="2:22" ht="15" thickBot="1" x14ac:dyDescent="0.35">
      <c r="B438" s="41"/>
      <c r="C438" s="35"/>
      <c r="D438" s="35"/>
      <c r="E438" s="35"/>
      <c r="F438" s="121"/>
      <c r="G438" s="121"/>
      <c r="H438" s="121"/>
      <c r="I438" s="121"/>
      <c r="J438" s="35"/>
      <c r="K438" s="37"/>
      <c r="M438" s="41"/>
      <c r="N438" s="35"/>
      <c r="O438" s="121"/>
      <c r="P438" s="121"/>
      <c r="Q438" s="121"/>
      <c r="R438" s="121"/>
      <c r="S438" s="35"/>
      <c r="T438" s="35"/>
      <c r="U438" s="35"/>
      <c r="V438" s="37"/>
    </row>
    <row r="439" spans="2:22" ht="15" thickBot="1" x14ac:dyDescent="0.35">
      <c r="B439" s="41">
        <v>194</v>
      </c>
      <c r="C439" s="35"/>
      <c r="D439" s="121">
        <f t="shared" ref="D439" si="1041">$N$30</f>
        <v>15.588640673015377</v>
      </c>
      <c r="E439" s="35"/>
      <c r="F439" s="121">
        <f t="shared" ref="F439" si="1042">($N$18/12)*J437</f>
        <v>3.9690056616141565</v>
      </c>
      <c r="G439" s="121"/>
      <c r="H439" s="121">
        <f t="shared" ref="H439" si="1043">D439-F439</f>
        <v>11.61963501140122</v>
      </c>
      <c r="I439" s="121"/>
      <c r="J439" s="121">
        <f t="shared" ref="J439" si="1044">J437-H439</f>
        <v>1431.6551510301101</v>
      </c>
      <c r="K439" s="37"/>
      <c r="M439" s="41">
        <v>194</v>
      </c>
      <c r="N439" s="35"/>
      <c r="O439" s="121">
        <f t="shared" ref="O439" si="1045">$S$29</f>
        <v>16.137436987603884</v>
      </c>
      <c r="P439" s="121"/>
      <c r="Q439" s="121">
        <f t="shared" ref="Q439" si="1046">($S$18/12)*U437</f>
        <v>4.6317219199884558</v>
      </c>
      <c r="R439" s="121"/>
      <c r="S439" s="121">
        <f t="shared" ref="S439" si="1047">O439-Q439</f>
        <v>11.505715067615428</v>
      </c>
      <c r="T439" s="35"/>
      <c r="U439" s="121">
        <f t="shared" ref="U439" si="1048">U437-S439</f>
        <v>1451.14331229716</v>
      </c>
      <c r="V439" s="37"/>
    </row>
    <row r="440" spans="2:22" ht="15" thickBot="1" x14ac:dyDescent="0.35">
      <c r="B440" s="41"/>
      <c r="C440" s="35"/>
      <c r="D440" s="35"/>
      <c r="E440" s="35"/>
      <c r="F440" s="121"/>
      <c r="G440" s="121"/>
      <c r="H440" s="121"/>
      <c r="I440" s="121"/>
      <c r="J440" s="35"/>
      <c r="K440" s="37"/>
      <c r="M440" s="41"/>
      <c r="N440" s="35"/>
      <c r="O440" s="121"/>
      <c r="P440" s="121"/>
      <c r="Q440" s="121"/>
      <c r="R440" s="121"/>
      <c r="S440" s="35"/>
      <c r="T440" s="35"/>
      <c r="U440" s="35"/>
      <c r="V440" s="37"/>
    </row>
    <row r="441" spans="2:22" ht="15" thickBot="1" x14ac:dyDescent="0.35">
      <c r="B441" s="41">
        <v>195</v>
      </c>
      <c r="C441" s="35"/>
      <c r="D441" s="121">
        <f t="shared" ref="D441" si="1049">$N$30</f>
        <v>15.588640673015377</v>
      </c>
      <c r="E441" s="35"/>
      <c r="F441" s="121">
        <f t="shared" ref="F441" si="1050">($N$18/12)*J439</f>
        <v>3.9370516653328034</v>
      </c>
      <c r="G441" s="121"/>
      <c r="H441" s="121">
        <f t="shared" ref="H441" si="1051">D441-F441</f>
        <v>11.651589007682574</v>
      </c>
      <c r="I441" s="121"/>
      <c r="J441" s="121">
        <f t="shared" ref="J441" si="1052">J439-H441</f>
        <v>1420.0035620224276</v>
      </c>
      <c r="K441" s="37"/>
      <c r="M441" s="41">
        <v>195</v>
      </c>
      <c r="N441" s="35"/>
      <c r="O441" s="121">
        <f t="shared" ref="O441" si="1053">$S$29</f>
        <v>16.137436987603884</v>
      </c>
      <c r="P441" s="121"/>
      <c r="Q441" s="121">
        <f t="shared" ref="Q441" si="1054">($S$18/12)*U439</f>
        <v>4.5952871556076733</v>
      </c>
      <c r="R441" s="121"/>
      <c r="S441" s="121">
        <f t="shared" ref="S441" si="1055">O441-Q441</f>
        <v>11.542149831996211</v>
      </c>
      <c r="T441" s="35"/>
      <c r="U441" s="121">
        <f t="shared" ref="U441" si="1056">U439-S441</f>
        <v>1439.6011624651637</v>
      </c>
      <c r="V441" s="37"/>
    </row>
    <row r="442" spans="2:22" ht="15" thickBot="1" x14ac:dyDescent="0.35">
      <c r="B442" s="41"/>
      <c r="C442" s="35"/>
      <c r="D442" s="35"/>
      <c r="E442" s="35"/>
      <c r="F442" s="121"/>
      <c r="G442" s="121"/>
      <c r="H442" s="121"/>
      <c r="I442" s="121"/>
      <c r="J442" s="35"/>
      <c r="K442" s="37"/>
      <c r="M442" s="41"/>
      <c r="N442" s="35"/>
      <c r="O442" s="121"/>
      <c r="P442" s="121"/>
      <c r="Q442" s="121"/>
      <c r="R442" s="121"/>
      <c r="S442" s="35"/>
      <c r="T442" s="35"/>
      <c r="U442" s="35"/>
      <c r="V442" s="37"/>
    </row>
    <row r="443" spans="2:22" ht="15" thickBot="1" x14ac:dyDescent="0.35">
      <c r="B443" s="41">
        <v>196</v>
      </c>
      <c r="C443" s="35"/>
      <c r="D443" s="121">
        <f t="shared" ref="D443" si="1057">$N$30</f>
        <v>15.588640673015377</v>
      </c>
      <c r="E443" s="35"/>
      <c r="F443" s="121">
        <f t="shared" ref="F443" si="1058">($N$18/12)*J441</f>
        <v>3.9050097955616763</v>
      </c>
      <c r="G443" s="121"/>
      <c r="H443" s="121">
        <f t="shared" ref="H443" si="1059">D443-F443</f>
        <v>11.6836308774537</v>
      </c>
      <c r="I443" s="121"/>
      <c r="J443" s="121">
        <f t="shared" ref="J443" si="1060">J441-H443</f>
        <v>1408.3199311449739</v>
      </c>
      <c r="K443" s="37"/>
      <c r="M443" s="41">
        <v>196</v>
      </c>
      <c r="N443" s="35"/>
      <c r="O443" s="121">
        <f t="shared" ref="O443" si="1061">$S$29</f>
        <v>16.137436987603884</v>
      </c>
      <c r="P443" s="121"/>
      <c r="Q443" s="121">
        <f t="shared" ref="Q443" si="1062">($S$18/12)*U441</f>
        <v>4.5587370144730182</v>
      </c>
      <c r="R443" s="121"/>
      <c r="S443" s="121">
        <f t="shared" ref="S443" si="1063">O443-Q443</f>
        <v>11.578699973130867</v>
      </c>
      <c r="T443" s="35"/>
      <c r="U443" s="121">
        <f t="shared" ref="U443" si="1064">U441-S443</f>
        <v>1428.0224624920329</v>
      </c>
      <c r="V443" s="37"/>
    </row>
    <row r="444" spans="2:22" ht="15" thickBot="1" x14ac:dyDescent="0.35">
      <c r="B444" s="41"/>
      <c r="C444" s="35"/>
      <c r="D444" s="35"/>
      <c r="E444" s="35"/>
      <c r="F444" s="121"/>
      <c r="G444" s="121"/>
      <c r="H444" s="121"/>
      <c r="I444" s="121"/>
      <c r="J444" s="35"/>
      <c r="K444" s="37"/>
      <c r="M444" s="41"/>
      <c r="N444" s="35"/>
      <c r="O444" s="121"/>
      <c r="P444" s="121"/>
      <c r="Q444" s="121"/>
      <c r="R444" s="121"/>
      <c r="S444" s="35"/>
      <c r="T444" s="35"/>
      <c r="U444" s="35"/>
      <c r="V444" s="37"/>
    </row>
    <row r="445" spans="2:22" ht="15" thickBot="1" x14ac:dyDescent="0.35">
      <c r="B445" s="41">
        <v>197</v>
      </c>
      <c r="C445" s="35"/>
      <c r="D445" s="121">
        <f t="shared" ref="D445" si="1065">$N$30</f>
        <v>15.588640673015377</v>
      </c>
      <c r="E445" s="35"/>
      <c r="F445" s="121">
        <f t="shared" ref="F445" si="1066">($N$18/12)*J443</f>
        <v>3.8728798106486786</v>
      </c>
      <c r="G445" s="121"/>
      <c r="H445" s="121">
        <f t="shared" ref="H445" si="1067">D445-F445</f>
        <v>11.715760862366698</v>
      </c>
      <c r="I445" s="121"/>
      <c r="J445" s="121">
        <f t="shared" ref="J445" si="1068">J443-H445</f>
        <v>1396.6041702826071</v>
      </c>
      <c r="K445" s="37"/>
      <c r="M445" s="41">
        <v>197</v>
      </c>
      <c r="N445" s="35"/>
      <c r="O445" s="121">
        <f t="shared" ref="O445" si="1069">$S$29</f>
        <v>16.137436987603884</v>
      </c>
      <c r="P445" s="121"/>
      <c r="Q445" s="121">
        <f t="shared" ref="Q445" si="1070">($S$18/12)*U443</f>
        <v>4.522071131224771</v>
      </c>
      <c r="R445" s="121"/>
      <c r="S445" s="121">
        <f t="shared" ref="S445" si="1071">O445-Q445</f>
        <v>11.615365856379114</v>
      </c>
      <c r="T445" s="35"/>
      <c r="U445" s="121">
        <f t="shared" ref="U445" si="1072">U443-S445</f>
        <v>1416.4070966356537</v>
      </c>
      <c r="V445" s="37"/>
    </row>
    <row r="446" spans="2:22" ht="15" thickBot="1" x14ac:dyDescent="0.35">
      <c r="B446" s="41"/>
      <c r="C446" s="35"/>
      <c r="D446" s="35"/>
      <c r="E446" s="35"/>
      <c r="F446" s="121"/>
      <c r="G446" s="121"/>
      <c r="H446" s="121"/>
      <c r="I446" s="121"/>
      <c r="J446" s="35"/>
      <c r="K446" s="37"/>
      <c r="M446" s="41"/>
      <c r="N446" s="35"/>
      <c r="O446" s="121"/>
      <c r="P446" s="121"/>
      <c r="Q446" s="121"/>
      <c r="R446" s="121"/>
      <c r="S446" s="35"/>
      <c r="T446" s="35"/>
      <c r="U446" s="35"/>
      <c r="V446" s="37"/>
    </row>
    <row r="447" spans="2:22" ht="15" thickBot="1" x14ac:dyDescent="0.35">
      <c r="B447" s="41">
        <v>198</v>
      </c>
      <c r="C447" s="35"/>
      <c r="D447" s="121">
        <f t="shared" ref="D447" si="1073">$N$30</f>
        <v>15.588640673015377</v>
      </c>
      <c r="E447" s="35"/>
      <c r="F447" s="121">
        <f t="shared" ref="F447" si="1074">($N$18/12)*J445</f>
        <v>3.8406614682771698</v>
      </c>
      <c r="G447" s="121"/>
      <c r="H447" s="121">
        <f t="shared" ref="H447" si="1075">D447-F447</f>
        <v>11.747979204738208</v>
      </c>
      <c r="I447" s="121"/>
      <c r="J447" s="121">
        <f t="shared" ref="J447" si="1076">J445-H447</f>
        <v>1384.856191077869</v>
      </c>
      <c r="K447" s="37"/>
      <c r="M447" s="41">
        <v>198</v>
      </c>
      <c r="N447" s="35"/>
      <c r="O447" s="121">
        <f t="shared" ref="O447" si="1077">$S$29</f>
        <v>16.137436987603884</v>
      </c>
      <c r="P447" s="121"/>
      <c r="Q447" s="121">
        <f t="shared" ref="Q447" si="1078">($S$18/12)*U445</f>
        <v>4.4852891393462366</v>
      </c>
      <c r="R447" s="121"/>
      <c r="S447" s="121">
        <f t="shared" ref="S447" si="1079">O447-Q447</f>
        <v>11.652147848257648</v>
      </c>
      <c r="T447" s="35"/>
      <c r="U447" s="121">
        <f t="shared" ref="U447" si="1080">U445-S447</f>
        <v>1404.754948787396</v>
      </c>
      <c r="V447" s="37"/>
    </row>
    <row r="448" spans="2:22" ht="15" thickBot="1" x14ac:dyDescent="0.35">
      <c r="B448" s="41"/>
      <c r="C448" s="35"/>
      <c r="D448" s="35"/>
      <c r="E448" s="35"/>
      <c r="F448" s="121"/>
      <c r="G448" s="121"/>
      <c r="H448" s="121"/>
      <c r="I448" s="121"/>
      <c r="J448" s="35"/>
      <c r="K448" s="37"/>
      <c r="M448" s="41"/>
      <c r="N448" s="35"/>
      <c r="O448" s="121"/>
      <c r="P448" s="121"/>
      <c r="Q448" s="121"/>
      <c r="R448" s="121"/>
      <c r="S448" s="35"/>
      <c r="T448" s="35"/>
      <c r="U448" s="35"/>
      <c r="V448" s="37"/>
    </row>
    <row r="449" spans="2:22" ht="15" thickBot="1" x14ac:dyDescent="0.35">
      <c r="B449" s="41">
        <v>199</v>
      </c>
      <c r="C449" s="35"/>
      <c r="D449" s="121">
        <f t="shared" ref="D449" si="1081">$N$30</f>
        <v>15.588640673015377</v>
      </c>
      <c r="E449" s="35"/>
      <c r="F449" s="121">
        <f t="shared" ref="F449" si="1082">($N$18/12)*J447</f>
        <v>3.8083545254641402</v>
      </c>
      <c r="G449" s="121"/>
      <c r="H449" s="121">
        <f t="shared" ref="H449" si="1083">D449-F449</f>
        <v>11.780286147551237</v>
      </c>
      <c r="I449" s="121"/>
      <c r="J449" s="121">
        <f t="shared" ref="J449" si="1084">J447-H449</f>
        <v>1373.0759049303178</v>
      </c>
      <c r="K449" s="37"/>
      <c r="M449" s="41">
        <v>199</v>
      </c>
      <c r="N449" s="35"/>
      <c r="O449" s="121">
        <f t="shared" ref="O449" si="1085">$S$29</f>
        <v>16.137436987603884</v>
      </c>
      <c r="P449" s="121"/>
      <c r="Q449" s="121">
        <f t="shared" ref="Q449" si="1086">($S$18/12)*U447</f>
        <v>4.4483906711600874</v>
      </c>
      <c r="R449" s="121"/>
      <c r="S449" s="121">
        <f t="shared" ref="S449" si="1087">O449-Q449</f>
        <v>11.689046316443797</v>
      </c>
      <c r="T449" s="35"/>
      <c r="U449" s="121">
        <f t="shared" ref="U449" si="1088">U447-S449</f>
        <v>1393.0659024709521</v>
      </c>
      <c r="V449" s="37"/>
    </row>
    <row r="450" spans="2:22" ht="15" thickBot="1" x14ac:dyDescent="0.35">
      <c r="B450" s="41"/>
      <c r="C450" s="35"/>
      <c r="D450" s="35"/>
      <c r="E450" s="35"/>
      <c r="F450" s="121"/>
      <c r="G450" s="121"/>
      <c r="H450" s="121"/>
      <c r="I450" s="121"/>
      <c r="J450" s="35"/>
      <c r="K450" s="37"/>
      <c r="M450" s="41"/>
      <c r="N450" s="35"/>
      <c r="O450" s="121"/>
      <c r="P450" s="121"/>
      <c r="Q450" s="121"/>
      <c r="R450" s="121"/>
      <c r="S450" s="35"/>
      <c r="T450" s="35"/>
      <c r="U450" s="35"/>
      <c r="V450" s="37"/>
    </row>
    <row r="451" spans="2:22" ht="15" thickBot="1" x14ac:dyDescent="0.35">
      <c r="B451" s="41">
        <v>200</v>
      </c>
      <c r="C451" s="35"/>
      <c r="D451" s="121">
        <f t="shared" ref="D451" si="1089">$N$30</f>
        <v>15.588640673015377</v>
      </c>
      <c r="E451" s="35"/>
      <c r="F451" s="121">
        <f t="shared" ref="F451" si="1090">($N$18/12)*J449</f>
        <v>3.7759587385583746</v>
      </c>
      <c r="G451" s="121"/>
      <c r="H451" s="121">
        <f t="shared" ref="H451" si="1091">D451-F451</f>
        <v>11.812681934457002</v>
      </c>
      <c r="I451" s="121"/>
      <c r="J451" s="121">
        <f t="shared" ref="J451" si="1092">J449-H451</f>
        <v>1361.2632229958608</v>
      </c>
      <c r="K451" s="37"/>
      <c r="M451" s="41">
        <v>200</v>
      </c>
      <c r="N451" s="35"/>
      <c r="O451" s="121">
        <f t="shared" ref="O451" si="1093">$S$29</f>
        <v>16.137436987603884</v>
      </c>
      <c r="P451" s="121"/>
      <c r="Q451" s="121">
        <f t="shared" ref="Q451" si="1094">($S$18/12)*U449</f>
        <v>4.4113753578246815</v>
      </c>
      <c r="R451" s="121"/>
      <c r="S451" s="121">
        <f t="shared" ref="S451" si="1095">O451-Q451</f>
        <v>11.726061629779203</v>
      </c>
      <c r="T451" s="35"/>
      <c r="U451" s="121">
        <f t="shared" ref="U451" si="1096">U449-S451</f>
        <v>1381.3398408411729</v>
      </c>
      <c r="V451" s="37"/>
    </row>
    <row r="452" spans="2:22" ht="15" thickBot="1" x14ac:dyDescent="0.35">
      <c r="B452" s="41"/>
      <c r="C452" s="35"/>
      <c r="D452" s="35"/>
      <c r="E452" s="35"/>
      <c r="F452" s="121"/>
      <c r="G452" s="121"/>
      <c r="H452" s="121"/>
      <c r="I452" s="121"/>
      <c r="J452" s="35"/>
      <c r="K452" s="37"/>
      <c r="M452" s="41"/>
      <c r="N452" s="35"/>
      <c r="O452" s="121"/>
      <c r="P452" s="121"/>
      <c r="Q452" s="121"/>
      <c r="R452" s="121"/>
      <c r="S452" s="35"/>
      <c r="T452" s="35"/>
      <c r="U452" s="35"/>
      <c r="V452" s="37"/>
    </row>
    <row r="453" spans="2:22" ht="15" thickBot="1" x14ac:dyDescent="0.35">
      <c r="B453" s="41">
        <v>201</v>
      </c>
      <c r="C453" s="35"/>
      <c r="D453" s="121">
        <f t="shared" ref="D453" si="1097">$N$30</f>
        <v>15.588640673015377</v>
      </c>
      <c r="E453" s="35"/>
      <c r="F453" s="121">
        <f t="shared" ref="F453" si="1098">($N$18/12)*J451</f>
        <v>3.7434738632386177</v>
      </c>
      <c r="G453" s="121"/>
      <c r="H453" s="121">
        <f t="shared" ref="H453" si="1099">D453-F453</f>
        <v>11.845166809776758</v>
      </c>
      <c r="I453" s="121"/>
      <c r="J453" s="121">
        <f t="shared" ref="J453" si="1100">J451-H453</f>
        <v>1349.418056186084</v>
      </c>
      <c r="K453" s="37"/>
      <c r="M453" s="41">
        <v>201</v>
      </c>
      <c r="N453" s="35"/>
      <c r="O453" s="121">
        <f t="shared" ref="O453" si="1101">$S$29</f>
        <v>16.137436987603884</v>
      </c>
      <c r="P453" s="121"/>
      <c r="Q453" s="121">
        <f t="shared" ref="Q453" si="1102">($S$18/12)*U451</f>
        <v>4.374242829330381</v>
      </c>
      <c r="R453" s="121"/>
      <c r="S453" s="121">
        <f t="shared" ref="S453" si="1103">O453-Q453</f>
        <v>11.763194158273503</v>
      </c>
      <c r="T453" s="35"/>
      <c r="U453" s="121">
        <f t="shared" ref="U453" si="1104">U451-S453</f>
        <v>1369.5766466828993</v>
      </c>
      <c r="V453" s="37"/>
    </row>
    <row r="454" spans="2:22" ht="15" thickBot="1" x14ac:dyDescent="0.35">
      <c r="B454" s="41"/>
      <c r="C454" s="35"/>
      <c r="D454" s="35"/>
      <c r="E454" s="35"/>
      <c r="F454" s="121"/>
      <c r="G454" s="121"/>
      <c r="H454" s="121"/>
      <c r="I454" s="121"/>
      <c r="J454" s="35"/>
      <c r="K454" s="37"/>
      <c r="M454" s="41"/>
      <c r="N454" s="35"/>
      <c r="O454" s="121"/>
      <c r="P454" s="121"/>
      <c r="Q454" s="121"/>
      <c r="R454" s="121"/>
      <c r="S454" s="35"/>
      <c r="T454" s="35"/>
      <c r="U454" s="35"/>
      <c r="V454" s="37"/>
    </row>
    <row r="455" spans="2:22" ht="15" thickBot="1" x14ac:dyDescent="0.35">
      <c r="B455" s="41">
        <v>202</v>
      </c>
      <c r="C455" s="35"/>
      <c r="D455" s="121">
        <f t="shared" ref="D455" si="1105">$N$30</f>
        <v>15.588640673015377</v>
      </c>
      <c r="E455" s="35"/>
      <c r="F455" s="121">
        <f t="shared" ref="F455" si="1106">($N$18/12)*J453</f>
        <v>3.7108996545117314</v>
      </c>
      <c r="G455" s="121"/>
      <c r="H455" s="121">
        <f t="shared" ref="H455" si="1107">D455-F455</f>
        <v>11.877741018503645</v>
      </c>
      <c r="I455" s="121"/>
      <c r="J455" s="121">
        <f t="shared" ref="J455" si="1108">J453-H455</f>
        <v>1337.5403151675803</v>
      </c>
      <c r="K455" s="37"/>
      <c r="M455" s="41">
        <v>202</v>
      </c>
      <c r="N455" s="35"/>
      <c r="O455" s="121">
        <f t="shared" ref="O455" si="1109">$S$29</f>
        <v>16.137436987603884</v>
      </c>
      <c r="P455" s="121"/>
      <c r="Q455" s="121">
        <f t="shared" ref="Q455" si="1110">($S$18/12)*U453</f>
        <v>4.3369927144958478</v>
      </c>
      <c r="R455" s="121"/>
      <c r="S455" s="121">
        <f t="shared" ref="S455" si="1111">O455-Q455</f>
        <v>11.800444273108036</v>
      </c>
      <c r="T455" s="35"/>
      <c r="U455" s="121">
        <f t="shared" ref="U455" si="1112">U453-S455</f>
        <v>1357.7762024097913</v>
      </c>
      <c r="V455" s="37"/>
    </row>
    <row r="456" spans="2:22" ht="15" thickBot="1" x14ac:dyDescent="0.35">
      <c r="B456" s="41"/>
      <c r="C456" s="35"/>
      <c r="D456" s="35"/>
      <c r="E456" s="35"/>
      <c r="F456" s="121"/>
      <c r="G456" s="121"/>
      <c r="H456" s="121"/>
      <c r="I456" s="121"/>
      <c r="J456" s="35"/>
      <c r="K456" s="37"/>
      <c r="M456" s="41"/>
      <c r="N456" s="35"/>
      <c r="O456" s="121"/>
      <c r="P456" s="121"/>
      <c r="Q456" s="121"/>
      <c r="R456" s="121"/>
      <c r="S456" s="35"/>
      <c r="T456" s="35"/>
      <c r="U456" s="35"/>
      <c r="V456" s="37"/>
    </row>
    <row r="457" spans="2:22" ht="15" thickBot="1" x14ac:dyDescent="0.35">
      <c r="B457" s="41">
        <v>203</v>
      </c>
      <c r="C457" s="35"/>
      <c r="D457" s="121">
        <f t="shared" ref="D457" si="1113">$N$30</f>
        <v>15.588640673015377</v>
      </c>
      <c r="E457" s="35"/>
      <c r="F457" s="121">
        <f t="shared" ref="F457" si="1114">($N$18/12)*J455</f>
        <v>3.6782358667108461</v>
      </c>
      <c r="G457" s="121"/>
      <c r="H457" s="121">
        <f t="shared" ref="H457" si="1115">D457-F457</f>
        <v>11.91040480630453</v>
      </c>
      <c r="I457" s="121"/>
      <c r="J457" s="121">
        <f t="shared" ref="J457" si="1116">J455-H457</f>
        <v>1325.6299103612757</v>
      </c>
      <c r="K457" s="37"/>
      <c r="M457" s="41">
        <v>203</v>
      </c>
      <c r="N457" s="35"/>
      <c r="O457" s="121">
        <f t="shared" ref="O457" si="1117">$S$29</f>
        <v>16.137436987603884</v>
      </c>
      <c r="P457" s="121"/>
      <c r="Q457" s="121">
        <f t="shared" ref="Q457" si="1118">($S$18/12)*U455</f>
        <v>4.2996246409643391</v>
      </c>
      <c r="R457" s="121"/>
      <c r="S457" s="121">
        <f t="shared" ref="S457" si="1119">O457-Q457</f>
        <v>11.837812346639545</v>
      </c>
      <c r="T457" s="35"/>
      <c r="U457" s="121">
        <f t="shared" ref="U457" si="1120">U455-S457</f>
        <v>1345.9383900631517</v>
      </c>
      <c r="V457" s="37"/>
    </row>
    <row r="458" spans="2:22" ht="15" thickBot="1" x14ac:dyDescent="0.35">
      <c r="B458" s="41"/>
      <c r="C458" s="35"/>
      <c r="D458" s="35"/>
      <c r="E458" s="35"/>
      <c r="F458" s="121"/>
      <c r="G458" s="121"/>
      <c r="H458" s="121"/>
      <c r="I458" s="121"/>
      <c r="J458" s="35"/>
      <c r="K458" s="37"/>
      <c r="M458" s="41"/>
      <c r="N458" s="35"/>
      <c r="O458" s="121"/>
      <c r="P458" s="121"/>
      <c r="Q458" s="121"/>
      <c r="R458" s="121"/>
      <c r="S458" s="35"/>
      <c r="T458" s="35"/>
      <c r="U458" s="35"/>
      <c r="V458" s="37"/>
    </row>
    <row r="459" spans="2:22" ht="15" thickBot="1" x14ac:dyDescent="0.35">
      <c r="B459" s="41">
        <v>204</v>
      </c>
      <c r="C459" s="35"/>
      <c r="D459" s="121">
        <f t="shared" ref="D459" si="1121">$N$30</f>
        <v>15.588640673015377</v>
      </c>
      <c r="E459" s="35"/>
      <c r="F459" s="121">
        <f t="shared" ref="F459" si="1122">($N$18/12)*J457</f>
        <v>3.6454822534935087</v>
      </c>
      <c r="G459" s="121"/>
      <c r="H459" s="121">
        <f t="shared" ref="H459" si="1123">D459-F459</f>
        <v>11.943158419521868</v>
      </c>
      <c r="I459" s="121"/>
      <c r="J459" s="121">
        <f t="shared" ref="J459" si="1124">J457-H459</f>
        <v>1313.6867519417538</v>
      </c>
      <c r="K459" s="37"/>
      <c r="M459" s="41">
        <v>204</v>
      </c>
      <c r="N459" s="35"/>
      <c r="O459" s="121">
        <f t="shared" ref="O459" si="1125">$S$29</f>
        <v>16.137436987603884</v>
      </c>
      <c r="P459" s="121"/>
      <c r="Q459" s="121">
        <f t="shared" ref="Q459" si="1126">($S$18/12)*U457</f>
        <v>4.2621382351999806</v>
      </c>
      <c r="R459" s="121"/>
      <c r="S459" s="121">
        <f t="shared" ref="S459" si="1127">O459-Q459</f>
        <v>11.875298752403904</v>
      </c>
      <c r="T459" s="35"/>
      <c r="U459" s="121">
        <f t="shared" ref="U459" si="1128">U457-S459</f>
        <v>1334.0630913107477</v>
      </c>
      <c r="V459" s="37"/>
    </row>
    <row r="460" spans="2:22" ht="15" thickBot="1" x14ac:dyDescent="0.35">
      <c r="B460" s="41"/>
      <c r="C460" s="35"/>
      <c r="D460" s="35"/>
      <c r="E460" s="35"/>
      <c r="F460" s="121"/>
      <c r="G460" s="121"/>
      <c r="H460" s="121"/>
      <c r="I460" s="121"/>
      <c r="J460" s="35"/>
      <c r="K460" s="37"/>
      <c r="M460" s="41"/>
      <c r="N460" s="35"/>
      <c r="O460" s="121"/>
      <c r="P460" s="121"/>
      <c r="Q460" s="121"/>
      <c r="R460" s="121"/>
      <c r="S460" s="35"/>
      <c r="T460" s="35"/>
      <c r="U460" s="35"/>
      <c r="V460" s="37"/>
    </row>
    <row r="461" spans="2:22" ht="15" thickBot="1" x14ac:dyDescent="0.35">
      <c r="B461" s="41">
        <v>205</v>
      </c>
      <c r="C461" s="35"/>
      <c r="D461" s="121">
        <f t="shared" ref="D461" si="1129">$N$30</f>
        <v>15.588640673015377</v>
      </c>
      <c r="E461" s="35"/>
      <c r="F461" s="121">
        <f t="shared" ref="F461" si="1130">($N$18/12)*J459</f>
        <v>3.6126385678398232</v>
      </c>
      <c r="G461" s="121"/>
      <c r="H461" s="121">
        <f t="shared" ref="H461" si="1131">D461-F461</f>
        <v>11.976002105175553</v>
      </c>
      <c r="I461" s="121"/>
      <c r="J461" s="121">
        <f t="shared" ref="J461" si="1132">J459-H461</f>
        <v>1301.7107498365781</v>
      </c>
      <c r="K461" s="37"/>
      <c r="M461" s="41">
        <v>205</v>
      </c>
      <c r="N461" s="35"/>
      <c r="O461" s="121">
        <f t="shared" ref="O461" si="1133">$S$29</f>
        <v>16.137436987603884</v>
      </c>
      <c r="P461" s="121"/>
      <c r="Q461" s="121">
        <f t="shared" ref="Q461" si="1134">($S$18/12)*U459</f>
        <v>4.2245331224840346</v>
      </c>
      <c r="R461" s="121"/>
      <c r="S461" s="121">
        <f t="shared" ref="S461" si="1135">O461-Q461</f>
        <v>11.91290386511985</v>
      </c>
      <c r="T461" s="35"/>
      <c r="U461" s="121">
        <f t="shared" ref="U461" si="1136">U459-S461</f>
        <v>1322.1501874456278</v>
      </c>
      <c r="V461" s="37"/>
    </row>
    <row r="462" spans="2:22" ht="15" thickBot="1" x14ac:dyDescent="0.35">
      <c r="B462" s="41"/>
      <c r="C462" s="35"/>
      <c r="D462" s="35"/>
      <c r="E462" s="35"/>
      <c r="F462" s="121"/>
      <c r="G462" s="121"/>
      <c r="H462" s="121"/>
      <c r="I462" s="121"/>
      <c r="J462" s="35"/>
      <c r="K462" s="37"/>
      <c r="M462" s="41"/>
      <c r="N462" s="35"/>
      <c r="O462" s="121"/>
      <c r="P462" s="121"/>
      <c r="Q462" s="121"/>
      <c r="R462" s="121"/>
      <c r="S462" s="35"/>
      <c r="T462" s="35"/>
      <c r="U462" s="35"/>
      <c r="V462" s="37"/>
    </row>
    <row r="463" spans="2:22" ht="15" thickBot="1" x14ac:dyDescent="0.35">
      <c r="B463" s="41">
        <v>206</v>
      </c>
      <c r="C463" s="35"/>
      <c r="D463" s="121">
        <f t="shared" ref="D463" si="1137">$N$30</f>
        <v>15.588640673015377</v>
      </c>
      <c r="E463" s="35"/>
      <c r="F463" s="121">
        <f t="shared" ref="F463" si="1138">($N$18/12)*J461</f>
        <v>3.5797045620505901</v>
      </c>
      <c r="G463" s="121"/>
      <c r="H463" s="121">
        <f t="shared" ref="H463" si="1139">D463-F463</f>
        <v>12.008936110964786</v>
      </c>
      <c r="I463" s="121"/>
      <c r="J463" s="121">
        <f t="shared" ref="J463" si="1140">J461-H463</f>
        <v>1289.7018137256132</v>
      </c>
      <c r="K463" s="37"/>
      <c r="M463" s="41">
        <v>206</v>
      </c>
      <c r="N463" s="35"/>
      <c r="O463" s="121">
        <f t="shared" ref="O463" si="1141">$S$29</f>
        <v>16.137436987603884</v>
      </c>
      <c r="P463" s="121"/>
      <c r="Q463" s="121">
        <f t="shared" ref="Q463" si="1142">($S$18/12)*U461</f>
        <v>4.186808926911155</v>
      </c>
      <c r="R463" s="121"/>
      <c r="S463" s="121">
        <f t="shared" ref="S463" si="1143">O463-Q463</f>
        <v>11.950628060692729</v>
      </c>
      <c r="T463" s="35"/>
      <c r="U463" s="121">
        <f t="shared" ref="U463" si="1144">U461-S463</f>
        <v>1310.1995593849351</v>
      </c>
      <c r="V463" s="37"/>
    </row>
    <row r="464" spans="2:22" ht="15" thickBot="1" x14ac:dyDescent="0.35">
      <c r="B464" s="41"/>
      <c r="C464" s="35"/>
      <c r="D464" s="35"/>
      <c r="E464" s="35"/>
      <c r="F464" s="121"/>
      <c r="G464" s="121"/>
      <c r="H464" s="121"/>
      <c r="I464" s="121"/>
      <c r="J464" s="35"/>
      <c r="K464" s="37"/>
      <c r="M464" s="41"/>
      <c r="N464" s="35"/>
      <c r="O464" s="121"/>
      <c r="P464" s="121"/>
      <c r="Q464" s="121"/>
      <c r="R464" s="121"/>
      <c r="S464" s="35"/>
      <c r="T464" s="35"/>
      <c r="U464" s="35"/>
      <c r="V464" s="37"/>
    </row>
    <row r="465" spans="2:22" ht="15" thickBot="1" x14ac:dyDescent="0.35">
      <c r="B465" s="41">
        <v>207</v>
      </c>
      <c r="C465" s="35"/>
      <c r="D465" s="121">
        <f t="shared" ref="D465" si="1145">$N$30</f>
        <v>15.588640673015377</v>
      </c>
      <c r="E465" s="35"/>
      <c r="F465" s="121">
        <f t="shared" ref="F465" si="1146">($N$18/12)*J463</f>
        <v>3.5466799877454367</v>
      </c>
      <c r="G465" s="121"/>
      <c r="H465" s="121">
        <f t="shared" ref="H465" si="1147">D465-F465</f>
        <v>12.04196068526994</v>
      </c>
      <c r="I465" s="121"/>
      <c r="J465" s="121">
        <f t="shared" ref="J465" si="1148">J463-H465</f>
        <v>1277.6598530403433</v>
      </c>
      <c r="K465" s="37"/>
      <c r="M465" s="41">
        <v>207</v>
      </c>
      <c r="N465" s="35"/>
      <c r="O465" s="121">
        <f t="shared" ref="O465" si="1149">$S$29</f>
        <v>16.137436987603884</v>
      </c>
      <c r="P465" s="121"/>
      <c r="Q465" s="121">
        <f t="shared" ref="Q465" si="1150">($S$18/12)*U463</f>
        <v>4.1489652713856282</v>
      </c>
      <c r="R465" s="121"/>
      <c r="S465" s="121">
        <f t="shared" ref="S465" si="1151">O465-Q465</f>
        <v>11.988471716218257</v>
      </c>
      <c r="T465" s="35"/>
      <c r="U465" s="121">
        <f t="shared" ref="U465" si="1152">U463-S465</f>
        <v>1298.2110876687168</v>
      </c>
      <c r="V465" s="37"/>
    </row>
    <row r="466" spans="2:22" ht="15" thickBot="1" x14ac:dyDescent="0.35">
      <c r="B466" s="41"/>
      <c r="C466" s="35"/>
      <c r="D466" s="35"/>
      <c r="E466" s="35"/>
      <c r="F466" s="121"/>
      <c r="G466" s="121"/>
      <c r="H466" s="121"/>
      <c r="I466" s="121"/>
      <c r="J466" s="35"/>
      <c r="K466" s="37"/>
      <c r="M466" s="41"/>
      <c r="N466" s="35"/>
      <c r="O466" s="121"/>
      <c r="P466" s="121"/>
      <c r="Q466" s="121"/>
      <c r="R466" s="121"/>
      <c r="S466" s="35"/>
      <c r="T466" s="35"/>
      <c r="U466" s="35"/>
      <c r="V466" s="37"/>
    </row>
    <row r="467" spans="2:22" ht="15" thickBot="1" x14ac:dyDescent="0.35">
      <c r="B467" s="41">
        <v>208</v>
      </c>
      <c r="C467" s="35"/>
      <c r="D467" s="121">
        <f t="shared" ref="D467" si="1153">$N$30</f>
        <v>15.588640673015377</v>
      </c>
      <c r="E467" s="35"/>
      <c r="F467" s="121">
        <f t="shared" ref="F467" si="1154">($N$18/12)*J465</f>
        <v>3.5135645958609443</v>
      </c>
      <c r="G467" s="121"/>
      <c r="H467" s="121">
        <f t="shared" ref="H467" si="1155">D467-F467</f>
        <v>12.075076077154431</v>
      </c>
      <c r="I467" s="121"/>
      <c r="J467" s="121">
        <f t="shared" ref="J467" si="1156">J465-H467</f>
        <v>1265.5847769631889</v>
      </c>
      <c r="K467" s="37"/>
      <c r="M467" s="41">
        <v>208</v>
      </c>
      <c r="N467" s="35"/>
      <c r="O467" s="121">
        <f t="shared" ref="O467" si="1157">$S$29</f>
        <v>16.137436987603884</v>
      </c>
      <c r="P467" s="121"/>
      <c r="Q467" s="121">
        <f t="shared" ref="Q467" si="1158">($S$18/12)*U465</f>
        <v>4.1110017776176031</v>
      </c>
      <c r="R467" s="121"/>
      <c r="S467" s="121">
        <f t="shared" ref="S467" si="1159">O467-Q467</f>
        <v>12.026435209986282</v>
      </c>
      <c r="T467" s="35"/>
      <c r="U467" s="121">
        <f t="shared" ref="U467" si="1160">U465-S467</f>
        <v>1286.1846524587306</v>
      </c>
      <c r="V467" s="37"/>
    </row>
    <row r="468" spans="2:22" ht="15" thickBot="1" x14ac:dyDescent="0.35">
      <c r="B468" s="41"/>
      <c r="C468" s="35"/>
      <c r="D468" s="35"/>
      <c r="E468" s="35"/>
      <c r="F468" s="121"/>
      <c r="G468" s="121"/>
      <c r="H468" s="121"/>
      <c r="I468" s="121"/>
      <c r="J468" s="35"/>
      <c r="K468" s="37"/>
      <c r="M468" s="41"/>
      <c r="N468" s="35"/>
      <c r="O468" s="121"/>
      <c r="P468" s="121"/>
      <c r="Q468" s="121"/>
      <c r="R468" s="121"/>
      <c r="S468" s="35"/>
      <c r="T468" s="35"/>
      <c r="U468" s="35"/>
      <c r="V468" s="37"/>
    </row>
    <row r="469" spans="2:22" ht="15" thickBot="1" x14ac:dyDescent="0.35">
      <c r="B469" s="41">
        <v>209</v>
      </c>
      <c r="C469" s="35"/>
      <c r="D469" s="121">
        <f t="shared" ref="D469" si="1161">$N$30</f>
        <v>15.588640673015377</v>
      </c>
      <c r="E469" s="35"/>
      <c r="F469" s="121">
        <f t="shared" ref="F469" si="1162">($N$18/12)*J467</f>
        <v>3.4803581366487699</v>
      </c>
      <c r="G469" s="121"/>
      <c r="H469" s="121">
        <f t="shared" ref="H469" si="1163">D469-F469</f>
        <v>12.108282536366607</v>
      </c>
      <c r="I469" s="121"/>
      <c r="J469" s="121">
        <f t="shared" ref="J469" si="1164">J467-H469</f>
        <v>1253.4764944268222</v>
      </c>
      <c r="K469" s="37"/>
      <c r="M469" s="41">
        <v>209</v>
      </c>
      <c r="N469" s="35"/>
      <c r="O469" s="121">
        <f t="shared" ref="O469" si="1165">$S$29</f>
        <v>16.137436987603884</v>
      </c>
      <c r="P469" s="121"/>
      <c r="Q469" s="121">
        <f t="shared" ref="Q469" si="1166">($S$18/12)*U467</f>
        <v>4.0729180661193132</v>
      </c>
      <c r="R469" s="121"/>
      <c r="S469" s="121">
        <f t="shared" ref="S469" si="1167">O469-Q469</f>
        <v>12.06451892148457</v>
      </c>
      <c r="T469" s="35"/>
      <c r="U469" s="121">
        <f t="shared" ref="U469" si="1168">U467-S469</f>
        <v>1274.1201335372461</v>
      </c>
      <c r="V469" s="37"/>
    </row>
    <row r="470" spans="2:22" ht="15" thickBot="1" x14ac:dyDescent="0.35">
      <c r="B470" s="41"/>
      <c r="C470" s="35"/>
      <c r="D470" s="35"/>
      <c r="E470" s="35"/>
      <c r="F470" s="121"/>
      <c r="G470" s="121"/>
      <c r="H470" s="121"/>
      <c r="I470" s="121"/>
      <c r="J470" s="35"/>
      <c r="K470" s="37"/>
      <c r="M470" s="41"/>
      <c r="N470" s="35"/>
      <c r="O470" s="121"/>
      <c r="P470" s="121"/>
      <c r="Q470" s="121"/>
      <c r="R470" s="121"/>
      <c r="S470" s="35"/>
      <c r="T470" s="35"/>
      <c r="U470" s="35"/>
      <c r="V470" s="37"/>
    </row>
    <row r="471" spans="2:22" ht="15" thickBot="1" x14ac:dyDescent="0.35">
      <c r="B471" s="41">
        <v>210</v>
      </c>
      <c r="C471" s="35"/>
      <c r="D471" s="121">
        <f t="shared" ref="D471" si="1169">$N$30</f>
        <v>15.588640673015377</v>
      </c>
      <c r="E471" s="35"/>
      <c r="F471" s="121">
        <f t="shared" ref="F471" si="1170">($N$18/12)*J469</f>
        <v>3.4470603596737615</v>
      </c>
      <c r="G471" s="121"/>
      <c r="H471" s="121">
        <f t="shared" ref="H471" si="1171">D471-F471</f>
        <v>12.141580313341615</v>
      </c>
      <c r="I471" s="121"/>
      <c r="J471" s="121">
        <f t="shared" ref="J471" si="1172">J469-H471</f>
        <v>1241.3349141134806</v>
      </c>
      <c r="K471" s="37"/>
      <c r="M471" s="41">
        <v>210</v>
      </c>
      <c r="N471" s="35"/>
      <c r="O471" s="121">
        <f t="shared" ref="O471" si="1173">$S$29</f>
        <v>16.137436987603884</v>
      </c>
      <c r="P471" s="121"/>
      <c r="Q471" s="121">
        <f t="shared" ref="Q471" si="1174">($S$18/12)*U469</f>
        <v>4.0347137562012794</v>
      </c>
      <c r="R471" s="121"/>
      <c r="S471" s="121">
        <f t="shared" ref="S471" si="1175">O471-Q471</f>
        <v>12.102723231402605</v>
      </c>
      <c r="T471" s="35"/>
      <c r="U471" s="121">
        <f t="shared" ref="U471" si="1176">U469-S471</f>
        <v>1262.0174103058434</v>
      </c>
      <c r="V471" s="37"/>
    </row>
    <row r="472" spans="2:22" ht="15" thickBot="1" x14ac:dyDescent="0.35">
      <c r="B472" s="41"/>
      <c r="C472" s="35"/>
      <c r="D472" s="35"/>
      <c r="E472" s="35"/>
      <c r="F472" s="121"/>
      <c r="G472" s="121"/>
      <c r="H472" s="121"/>
      <c r="I472" s="121"/>
      <c r="J472" s="35"/>
      <c r="K472" s="37"/>
      <c r="M472" s="41"/>
      <c r="N472" s="35"/>
      <c r="O472" s="121"/>
      <c r="P472" s="121"/>
      <c r="Q472" s="121"/>
      <c r="R472" s="121"/>
      <c r="S472" s="35"/>
      <c r="T472" s="35"/>
      <c r="U472" s="35"/>
      <c r="V472" s="37"/>
    </row>
    <row r="473" spans="2:22" ht="15" thickBot="1" x14ac:dyDescent="0.35">
      <c r="B473" s="41">
        <v>211</v>
      </c>
      <c r="C473" s="35"/>
      <c r="D473" s="121">
        <f t="shared" ref="D473" si="1177">$N$30</f>
        <v>15.588640673015377</v>
      </c>
      <c r="E473" s="35"/>
      <c r="F473" s="121">
        <f t="shared" ref="F473" si="1178">($N$18/12)*J471</f>
        <v>3.4136710138120723</v>
      </c>
      <c r="G473" s="121"/>
      <c r="H473" s="121">
        <f t="shared" ref="H473" si="1179">D473-F473</f>
        <v>12.174969659203304</v>
      </c>
      <c r="I473" s="121"/>
      <c r="J473" s="121">
        <f t="shared" ref="J473" si="1180">J471-H473</f>
        <v>1229.1599444542774</v>
      </c>
      <c r="K473" s="37"/>
      <c r="M473" s="41">
        <v>211</v>
      </c>
      <c r="N473" s="35"/>
      <c r="O473" s="121">
        <f t="shared" ref="O473" si="1181">$S$29</f>
        <v>16.137436987603884</v>
      </c>
      <c r="P473" s="121"/>
      <c r="Q473" s="121">
        <f t="shared" ref="Q473" si="1182">($S$18/12)*U471</f>
        <v>3.9963884659685043</v>
      </c>
      <c r="R473" s="121"/>
      <c r="S473" s="121">
        <f t="shared" ref="S473" si="1183">O473-Q473</f>
        <v>12.14104852163538</v>
      </c>
      <c r="T473" s="35"/>
      <c r="U473" s="121">
        <f t="shared" ref="U473" si="1184">U471-S473</f>
        <v>1249.876361784208</v>
      </c>
      <c r="V473" s="37"/>
    </row>
    <row r="474" spans="2:22" ht="15" thickBot="1" x14ac:dyDescent="0.35">
      <c r="B474" s="41"/>
      <c r="C474" s="35"/>
      <c r="D474" s="35"/>
      <c r="E474" s="35"/>
      <c r="F474" s="121"/>
      <c r="G474" s="121"/>
      <c r="H474" s="121"/>
      <c r="I474" s="121"/>
      <c r="J474" s="35"/>
      <c r="K474" s="37"/>
      <c r="M474" s="41"/>
      <c r="N474" s="35"/>
      <c r="O474" s="121"/>
      <c r="P474" s="121"/>
      <c r="Q474" s="121"/>
      <c r="R474" s="121"/>
      <c r="S474" s="35"/>
      <c r="T474" s="35"/>
      <c r="U474" s="35"/>
      <c r="V474" s="37"/>
    </row>
    <row r="475" spans="2:22" ht="15" thickBot="1" x14ac:dyDescent="0.35">
      <c r="B475" s="41">
        <v>212</v>
      </c>
      <c r="C475" s="35"/>
      <c r="D475" s="121">
        <f t="shared" ref="D475" si="1185">$N$30</f>
        <v>15.588640673015377</v>
      </c>
      <c r="E475" s="35"/>
      <c r="F475" s="121">
        <f t="shared" ref="F475" si="1186">($N$18/12)*J473</f>
        <v>3.3801898472492633</v>
      </c>
      <c r="G475" s="121"/>
      <c r="H475" s="121">
        <f t="shared" ref="H475" si="1187">D475-F475</f>
        <v>12.208450825766114</v>
      </c>
      <c r="I475" s="121"/>
      <c r="J475" s="121">
        <f t="shared" ref="J475" si="1188">J473-H475</f>
        <v>1216.9514936285113</v>
      </c>
      <c r="K475" s="37"/>
      <c r="M475" s="41">
        <v>212</v>
      </c>
      <c r="N475" s="35"/>
      <c r="O475" s="121">
        <f t="shared" ref="O475" si="1189">$S$29</f>
        <v>16.137436987603884</v>
      </c>
      <c r="P475" s="121"/>
      <c r="Q475" s="121">
        <f t="shared" ref="Q475" si="1190">($S$18/12)*U473</f>
        <v>3.9579418123166588</v>
      </c>
      <c r="R475" s="121"/>
      <c r="S475" s="121">
        <f t="shared" ref="S475" si="1191">O475-Q475</f>
        <v>12.179495175287226</v>
      </c>
      <c r="T475" s="35"/>
      <c r="U475" s="121">
        <f t="shared" ref="U475" si="1192">U473-S475</f>
        <v>1237.6968666089208</v>
      </c>
      <c r="V475" s="37"/>
    </row>
    <row r="476" spans="2:22" ht="15" thickBot="1" x14ac:dyDescent="0.35">
      <c r="B476" s="41"/>
      <c r="C476" s="35"/>
      <c r="D476" s="35"/>
      <c r="E476" s="35"/>
      <c r="F476" s="121"/>
      <c r="G476" s="121"/>
      <c r="H476" s="121"/>
      <c r="I476" s="121"/>
      <c r="J476" s="35"/>
      <c r="K476" s="37"/>
      <c r="M476" s="41"/>
      <c r="N476" s="35"/>
      <c r="O476" s="121"/>
      <c r="P476" s="121"/>
      <c r="Q476" s="121"/>
      <c r="R476" s="121"/>
      <c r="S476" s="35"/>
      <c r="T476" s="35"/>
      <c r="U476" s="35"/>
      <c r="V476" s="37"/>
    </row>
    <row r="477" spans="2:22" ht="15" thickBot="1" x14ac:dyDescent="0.35">
      <c r="B477" s="41">
        <v>213</v>
      </c>
      <c r="C477" s="35"/>
      <c r="D477" s="121">
        <f t="shared" ref="D477" si="1193">$N$30</f>
        <v>15.588640673015377</v>
      </c>
      <c r="E477" s="35"/>
      <c r="F477" s="121">
        <f t="shared" ref="F477" si="1194">($N$18/12)*J475</f>
        <v>3.3466166074784067</v>
      </c>
      <c r="G477" s="121"/>
      <c r="H477" s="121">
        <f t="shared" ref="H477" si="1195">D477-F477</f>
        <v>12.24202406553697</v>
      </c>
      <c r="I477" s="121"/>
      <c r="J477" s="121">
        <f t="shared" ref="J477" si="1196">J475-H477</f>
        <v>1204.7094695629744</v>
      </c>
      <c r="K477" s="37"/>
      <c r="M477" s="41">
        <v>213</v>
      </c>
      <c r="N477" s="35"/>
      <c r="O477" s="121">
        <f t="shared" ref="O477" si="1197">$S$29</f>
        <v>16.137436987603884</v>
      </c>
      <c r="P477" s="121"/>
      <c r="Q477" s="121">
        <f t="shared" ref="Q477" si="1198">($S$18/12)*U475</f>
        <v>3.919373410928249</v>
      </c>
      <c r="R477" s="121"/>
      <c r="S477" s="121">
        <f t="shared" ref="S477" si="1199">O477-Q477</f>
        <v>12.218063576675636</v>
      </c>
      <c r="T477" s="35"/>
      <c r="U477" s="121">
        <f t="shared" ref="U477" si="1200">U475-S477</f>
        <v>1225.4788030322452</v>
      </c>
      <c r="V477" s="37"/>
    </row>
    <row r="478" spans="2:22" ht="15" thickBot="1" x14ac:dyDescent="0.35">
      <c r="B478" s="41"/>
      <c r="C478" s="35"/>
      <c r="D478" s="35"/>
      <c r="E478" s="35"/>
      <c r="F478" s="121"/>
      <c r="G478" s="121"/>
      <c r="H478" s="121"/>
      <c r="I478" s="121"/>
      <c r="J478" s="35"/>
      <c r="K478" s="37"/>
      <c r="M478" s="41"/>
      <c r="N478" s="35"/>
      <c r="O478" s="121"/>
      <c r="P478" s="121"/>
      <c r="Q478" s="121"/>
      <c r="R478" s="121"/>
      <c r="S478" s="35"/>
      <c r="T478" s="35"/>
      <c r="U478" s="35"/>
      <c r="V478" s="37"/>
    </row>
    <row r="479" spans="2:22" ht="15" thickBot="1" x14ac:dyDescent="0.35">
      <c r="B479" s="41">
        <v>214</v>
      </c>
      <c r="C479" s="35"/>
      <c r="D479" s="121">
        <f t="shared" ref="D479" si="1201">$N$30</f>
        <v>15.588640673015377</v>
      </c>
      <c r="E479" s="35"/>
      <c r="F479" s="121">
        <f t="shared" ref="F479" si="1202">($N$18/12)*J477</f>
        <v>3.31295104129818</v>
      </c>
      <c r="G479" s="121"/>
      <c r="H479" s="121">
        <f t="shared" ref="H479" si="1203">D479-F479</f>
        <v>12.275689631717196</v>
      </c>
      <c r="I479" s="121"/>
      <c r="J479" s="121">
        <f t="shared" ref="J479" si="1204">J477-H479</f>
        <v>1192.4337799312573</v>
      </c>
      <c r="K479" s="37"/>
      <c r="M479" s="41">
        <v>214</v>
      </c>
      <c r="N479" s="35"/>
      <c r="O479" s="121">
        <f t="shared" ref="O479" si="1205">$S$29</f>
        <v>16.137436987603884</v>
      </c>
      <c r="P479" s="121"/>
      <c r="Q479" s="121">
        <f t="shared" ref="Q479" si="1206">($S$18/12)*U477</f>
        <v>3.8806828762687764</v>
      </c>
      <c r="R479" s="121"/>
      <c r="S479" s="121">
        <f t="shared" ref="S479" si="1207">O479-Q479</f>
        <v>12.256754111335107</v>
      </c>
      <c r="T479" s="35"/>
      <c r="U479" s="121">
        <f t="shared" ref="U479" si="1208">U477-S479</f>
        <v>1213.2220489209101</v>
      </c>
      <c r="V479" s="37"/>
    </row>
    <row r="480" spans="2:22" ht="15" thickBot="1" x14ac:dyDescent="0.35">
      <c r="B480" s="41"/>
      <c r="C480" s="35"/>
      <c r="D480" s="35"/>
      <c r="E480" s="35"/>
      <c r="F480" s="121"/>
      <c r="G480" s="121"/>
      <c r="H480" s="121"/>
      <c r="I480" s="121"/>
      <c r="J480" s="35"/>
      <c r="K480" s="37"/>
      <c r="M480" s="41"/>
      <c r="N480" s="35"/>
      <c r="O480" s="121"/>
      <c r="P480" s="121"/>
      <c r="Q480" s="121"/>
      <c r="R480" s="121"/>
      <c r="S480" s="35"/>
      <c r="T480" s="35"/>
      <c r="U480" s="35"/>
      <c r="V480" s="37"/>
    </row>
    <row r="481" spans="2:22" ht="15" thickBot="1" x14ac:dyDescent="0.35">
      <c r="B481" s="41">
        <v>215</v>
      </c>
      <c r="C481" s="35"/>
      <c r="D481" s="121">
        <f t="shared" ref="D481" si="1209">$N$30</f>
        <v>15.588640673015377</v>
      </c>
      <c r="E481" s="35"/>
      <c r="F481" s="121">
        <f t="shared" ref="F481" si="1210">($N$18/12)*J479</f>
        <v>3.2791928948109579</v>
      </c>
      <c r="G481" s="121"/>
      <c r="H481" s="121">
        <f t="shared" ref="H481" si="1211">D481-F481</f>
        <v>12.309447778204419</v>
      </c>
      <c r="I481" s="121"/>
      <c r="J481" s="121">
        <f t="shared" ref="J481" si="1212">J479-H481</f>
        <v>1180.1243321530528</v>
      </c>
      <c r="K481" s="37"/>
      <c r="M481" s="41">
        <v>215</v>
      </c>
      <c r="N481" s="35"/>
      <c r="O481" s="121">
        <f t="shared" ref="O481" si="1213">$S$29</f>
        <v>16.137436987603884</v>
      </c>
      <c r="P481" s="121"/>
      <c r="Q481" s="121">
        <f t="shared" ref="Q481" si="1214">($S$18/12)*U479</f>
        <v>3.8418698215828817</v>
      </c>
      <c r="R481" s="121"/>
      <c r="S481" s="121">
        <f t="shared" ref="S481" si="1215">O481-Q481</f>
        <v>12.295567166021002</v>
      </c>
      <c r="T481" s="35"/>
      <c r="U481" s="121">
        <f t="shared" ref="U481" si="1216">U479-S481</f>
        <v>1200.926481754889</v>
      </c>
      <c r="V481" s="37"/>
    </row>
    <row r="482" spans="2:22" ht="15" thickBot="1" x14ac:dyDescent="0.35">
      <c r="B482" s="41"/>
      <c r="C482" s="35"/>
      <c r="D482" s="35"/>
      <c r="E482" s="35"/>
      <c r="F482" s="121"/>
      <c r="G482" s="121"/>
      <c r="H482" s="121"/>
      <c r="I482" s="121"/>
      <c r="J482" s="35"/>
      <c r="K482" s="37"/>
      <c r="M482" s="41"/>
      <c r="N482" s="35"/>
      <c r="O482" s="121"/>
      <c r="P482" s="121"/>
      <c r="Q482" s="121"/>
      <c r="R482" s="121"/>
      <c r="S482" s="35"/>
      <c r="T482" s="35"/>
      <c r="U482" s="35"/>
      <c r="V482" s="37"/>
    </row>
    <row r="483" spans="2:22" ht="15" thickBot="1" x14ac:dyDescent="0.35">
      <c r="B483" s="41">
        <v>216</v>
      </c>
      <c r="C483" s="35"/>
      <c r="D483" s="121">
        <f t="shared" ref="D483" si="1217">$N$30</f>
        <v>15.588640673015377</v>
      </c>
      <c r="E483" s="35"/>
      <c r="F483" s="121">
        <f t="shared" ref="F483" si="1218">($N$18/12)*J481</f>
        <v>3.2453419134208956</v>
      </c>
      <c r="G483" s="121"/>
      <c r="H483" s="121">
        <f t="shared" ref="H483" si="1219">D483-F483</f>
        <v>12.343298759594481</v>
      </c>
      <c r="I483" s="121"/>
      <c r="J483" s="121">
        <f t="shared" ref="J483" si="1220">J481-H483</f>
        <v>1167.7810333934583</v>
      </c>
      <c r="K483" s="37"/>
      <c r="M483" s="41">
        <v>216</v>
      </c>
      <c r="N483" s="35"/>
      <c r="O483" s="121">
        <f t="shared" ref="O483" si="1221">$S$29</f>
        <v>16.137436987603884</v>
      </c>
      <c r="P483" s="121"/>
      <c r="Q483" s="121">
        <f t="shared" ref="Q483" si="1222">($S$18/12)*U481</f>
        <v>3.8029338588904817</v>
      </c>
      <c r="R483" s="121"/>
      <c r="S483" s="121">
        <f t="shared" ref="S483" si="1223">O483-Q483</f>
        <v>12.334503128713402</v>
      </c>
      <c r="T483" s="35"/>
      <c r="U483" s="121">
        <f t="shared" ref="U483" si="1224">U481-S483</f>
        <v>1188.5919786261757</v>
      </c>
      <c r="V483" s="37"/>
    </row>
    <row r="484" spans="2:22" ht="15" thickBot="1" x14ac:dyDescent="0.35">
      <c r="B484" s="41"/>
      <c r="C484" s="35"/>
      <c r="D484" s="35"/>
      <c r="E484" s="35"/>
      <c r="F484" s="121"/>
      <c r="G484" s="121"/>
      <c r="H484" s="121"/>
      <c r="I484" s="121"/>
      <c r="J484" s="35"/>
      <c r="K484" s="37"/>
      <c r="M484" s="41"/>
      <c r="N484" s="35"/>
      <c r="O484" s="121"/>
      <c r="P484" s="121"/>
      <c r="Q484" s="121"/>
      <c r="R484" s="121"/>
      <c r="S484" s="35"/>
      <c r="T484" s="35"/>
      <c r="U484" s="35"/>
      <c r="V484" s="37"/>
    </row>
    <row r="485" spans="2:22" ht="15" thickBot="1" x14ac:dyDescent="0.35">
      <c r="B485" s="41">
        <v>217</v>
      </c>
      <c r="C485" s="35"/>
      <c r="D485" s="121">
        <f t="shared" ref="D485" si="1225">$N$30</f>
        <v>15.588640673015377</v>
      </c>
      <c r="E485" s="35"/>
      <c r="F485" s="121">
        <f t="shared" ref="F485" si="1226">($N$18/12)*J483</f>
        <v>3.2113978418320106</v>
      </c>
      <c r="G485" s="121"/>
      <c r="H485" s="121">
        <f t="shared" ref="H485" si="1227">D485-F485</f>
        <v>12.377242831183366</v>
      </c>
      <c r="I485" s="121"/>
      <c r="J485" s="121">
        <f t="shared" ref="J485" si="1228">J483-H485</f>
        <v>1155.4037905622749</v>
      </c>
      <c r="K485" s="37"/>
      <c r="M485" s="41">
        <v>217</v>
      </c>
      <c r="N485" s="35"/>
      <c r="O485" s="121">
        <f t="shared" ref="O485" si="1229">$S$29</f>
        <v>16.137436987603884</v>
      </c>
      <c r="P485" s="121"/>
      <c r="Q485" s="121">
        <f t="shared" ref="Q485" si="1230">($S$18/12)*U483</f>
        <v>3.7638745989828895</v>
      </c>
      <c r="R485" s="121"/>
      <c r="S485" s="121">
        <f t="shared" ref="S485" si="1231">O485-Q485</f>
        <v>12.373562388620995</v>
      </c>
      <c r="T485" s="35"/>
      <c r="U485" s="121">
        <f t="shared" ref="U485" si="1232">U483-S485</f>
        <v>1176.2184162375547</v>
      </c>
      <c r="V485" s="37"/>
    </row>
    <row r="486" spans="2:22" ht="15" thickBot="1" x14ac:dyDescent="0.35">
      <c r="B486" s="41"/>
      <c r="C486" s="35"/>
      <c r="D486" s="35"/>
      <c r="E486" s="35"/>
      <c r="F486" s="121"/>
      <c r="G486" s="121"/>
      <c r="H486" s="121"/>
      <c r="I486" s="121"/>
      <c r="J486" s="35"/>
      <c r="K486" s="37"/>
      <c r="M486" s="41"/>
      <c r="N486" s="35"/>
      <c r="O486" s="121"/>
      <c r="P486" s="121"/>
      <c r="Q486" s="121"/>
      <c r="R486" s="121"/>
      <c r="S486" s="35"/>
      <c r="T486" s="35"/>
      <c r="U486" s="35"/>
      <c r="V486" s="37"/>
    </row>
    <row r="487" spans="2:22" ht="15" thickBot="1" x14ac:dyDescent="0.35">
      <c r="B487" s="41">
        <v>218</v>
      </c>
      <c r="C487" s="35"/>
      <c r="D487" s="121">
        <f t="shared" ref="D487" si="1233">$N$30</f>
        <v>15.588640673015377</v>
      </c>
      <c r="E487" s="35"/>
      <c r="F487" s="121">
        <f t="shared" ref="F487" si="1234">($N$18/12)*J485</f>
        <v>3.1773604240462565</v>
      </c>
      <c r="G487" s="121"/>
      <c r="H487" s="121">
        <f t="shared" ref="H487" si="1235">D487-F487</f>
        <v>12.411280248969121</v>
      </c>
      <c r="I487" s="121"/>
      <c r="J487" s="121">
        <f t="shared" ref="J487" si="1236">J485-H487</f>
        <v>1142.9925103133057</v>
      </c>
      <c r="K487" s="37"/>
      <c r="M487" s="41">
        <v>218</v>
      </c>
      <c r="N487" s="35"/>
      <c r="O487" s="121">
        <f t="shared" ref="O487" si="1237">$S$29</f>
        <v>16.137436987603884</v>
      </c>
      <c r="P487" s="121"/>
      <c r="Q487" s="121">
        <f t="shared" ref="Q487" si="1238">($S$18/12)*U485</f>
        <v>3.7246916514189232</v>
      </c>
      <c r="R487" s="121"/>
      <c r="S487" s="121">
        <f t="shared" ref="S487" si="1239">O487-Q487</f>
        <v>12.412745336184962</v>
      </c>
      <c r="T487" s="35"/>
      <c r="U487" s="121">
        <f t="shared" ref="U487" si="1240">U485-S487</f>
        <v>1163.8056709013697</v>
      </c>
      <c r="V487" s="37"/>
    </row>
    <row r="488" spans="2:22" ht="15" thickBot="1" x14ac:dyDescent="0.35">
      <c r="B488" s="41"/>
      <c r="C488" s="35"/>
      <c r="D488" s="35"/>
      <c r="E488" s="35"/>
      <c r="F488" s="121"/>
      <c r="G488" s="121"/>
      <c r="H488" s="121"/>
      <c r="I488" s="121"/>
      <c r="J488" s="35"/>
      <c r="K488" s="37"/>
      <c r="M488" s="41"/>
      <c r="N488" s="35"/>
      <c r="O488" s="121"/>
      <c r="P488" s="121"/>
      <c r="Q488" s="121"/>
      <c r="R488" s="121"/>
      <c r="S488" s="35"/>
      <c r="T488" s="35"/>
      <c r="U488" s="35"/>
      <c r="V488" s="37"/>
    </row>
    <row r="489" spans="2:22" ht="15" thickBot="1" x14ac:dyDescent="0.35">
      <c r="B489" s="41">
        <v>219</v>
      </c>
      <c r="C489" s="35"/>
      <c r="D489" s="121">
        <f t="shared" ref="D489" si="1241">$N$30</f>
        <v>15.588640673015377</v>
      </c>
      <c r="E489" s="35"/>
      <c r="F489" s="121">
        <f t="shared" ref="F489" si="1242">($N$18/12)*J487</f>
        <v>3.1432294033615911</v>
      </c>
      <c r="G489" s="121"/>
      <c r="H489" s="121">
        <f t="shared" ref="H489" si="1243">D489-F489</f>
        <v>12.445411269653786</v>
      </c>
      <c r="I489" s="121"/>
      <c r="J489" s="121">
        <f t="shared" ref="J489" si="1244">J487-H489</f>
        <v>1130.547099043652</v>
      </c>
      <c r="K489" s="37"/>
      <c r="M489" s="41">
        <v>219</v>
      </c>
      <c r="N489" s="35"/>
      <c r="O489" s="121">
        <f t="shared" ref="O489" si="1245">$S$29</f>
        <v>16.137436987603884</v>
      </c>
      <c r="P489" s="121"/>
      <c r="Q489" s="121">
        <f t="shared" ref="Q489" si="1246">($S$18/12)*U487</f>
        <v>3.6853846245210038</v>
      </c>
      <c r="R489" s="121"/>
      <c r="S489" s="121">
        <f t="shared" ref="S489" si="1247">O489-Q489</f>
        <v>12.452052363082881</v>
      </c>
      <c r="T489" s="35"/>
      <c r="U489" s="121">
        <f t="shared" ref="U489" si="1248">U487-S489</f>
        <v>1151.3536185382868</v>
      </c>
      <c r="V489" s="37"/>
    </row>
    <row r="490" spans="2:22" ht="15" thickBot="1" x14ac:dyDescent="0.35">
      <c r="B490" s="41"/>
      <c r="C490" s="35"/>
      <c r="D490" s="35"/>
      <c r="E490" s="35"/>
      <c r="F490" s="121"/>
      <c r="G490" s="121"/>
      <c r="H490" s="121"/>
      <c r="I490" s="121"/>
      <c r="J490" s="35"/>
      <c r="K490" s="37"/>
      <c r="M490" s="41"/>
      <c r="N490" s="35"/>
      <c r="O490" s="121"/>
      <c r="P490" s="121"/>
      <c r="Q490" s="121"/>
      <c r="R490" s="121"/>
      <c r="S490" s="35"/>
      <c r="T490" s="35"/>
      <c r="U490" s="35"/>
      <c r="V490" s="37"/>
    </row>
    <row r="491" spans="2:22" ht="15" thickBot="1" x14ac:dyDescent="0.35">
      <c r="B491" s="41">
        <v>220</v>
      </c>
      <c r="C491" s="35"/>
      <c r="D491" s="121">
        <f t="shared" ref="D491" si="1249">$N$30</f>
        <v>15.588640673015377</v>
      </c>
      <c r="E491" s="35"/>
      <c r="F491" s="121">
        <f t="shared" ref="F491" si="1250">($N$18/12)*J489</f>
        <v>3.1090045223700433</v>
      </c>
      <c r="G491" s="121"/>
      <c r="H491" s="121">
        <f t="shared" ref="H491" si="1251">D491-F491</f>
        <v>12.479636150645334</v>
      </c>
      <c r="I491" s="121"/>
      <c r="J491" s="121">
        <f t="shared" ref="J491" si="1252">J489-H491</f>
        <v>1118.0674628930067</v>
      </c>
      <c r="K491" s="37"/>
      <c r="M491" s="41">
        <v>220</v>
      </c>
      <c r="N491" s="35"/>
      <c r="O491" s="121">
        <f t="shared" ref="O491" si="1253">$S$29</f>
        <v>16.137436987603884</v>
      </c>
      <c r="P491" s="121"/>
      <c r="Q491" s="121">
        <f t="shared" ref="Q491" si="1254">($S$18/12)*U489</f>
        <v>3.6459531253712414</v>
      </c>
      <c r="R491" s="121"/>
      <c r="S491" s="121">
        <f t="shared" ref="S491" si="1255">O491-Q491</f>
        <v>12.491483862232643</v>
      </c>
      <c r="T491" s="35"/>
      <c r="U491" s="121">
        <f t="shared" ref="U491" si="1256">U489-S491</f>
        <v>1138.8621346760542</v>
      </c>
      <c r="V491" s="37"/>
    </row>
    <row r="492" spans="2:22" ht="15" thickBot="1" x14ac:dyDescent="0.35">
      <c r="B492" s="41"/>
      <c r="C492" s="35"/>
      <c r="D492" s="35"/>
      <c r="E492" s="35"/>
      <c r="F492" s="121"/>
      <c r="G492" s="121"/>
      <c r="H492" s="121"/>
      <c r="I492" s="121"/>
      <c r="J492" s="35"/>
      <c r="K492" s="37"/>
      <c r="M492" s="41"/>
      <c r="N492" s="35"/>
      <c r="O492" s="121"/>
      <c r="P492" s="121"/>
      <c r="Q492" s="121"/>
      <c r="R492" s="121"/>
      <c r="S492" s="35"/>
      <c r="T492" s="35"/>
      <c r="U492" s="35"/>
      <c r="V492" s="37"/>
    </row>
    <row r="493" spans="2:22" ht="15" thickBot="1" x14ac:dyDescent="0.35">
      <c r="B493" s="41">
        <v>221</v>
      </c>
      <c r="C493" s="35"/>
      <c r="D493" s="121">
        <f t="shared" ref="D493" si="1257">$N$30</f>
        <v>15.588640673015377</v>
      </c>
      <c r="E493" s="35"/>
      <c r="F493" s="121">
        <f t="shared" ref="F493" si="1258">($N$18/12)*J491</f>
        <v>3.0746855229557686</v>
      </c>
      <c r="G493" s="121"/>
      <c r="H493" s="121">
        <f t="shared" ref="H493" si="1259">D493-F493</f>
        <v>12.513955150059608</v>
      </c>
      <c r="I493" s="121"/>
      <c r="J493" s="121">
        <f t="shared" ref="J493" si="1260">J491-H493</f>
        <v>1105.553507742947</v>
      </c>
      <c r="K493" s="37"/>
      <c r="M493" s="41">
        <v>221</v>
      </c>
      <c r="N493" s="35"/>
      <c r="O493" s="121">
        <f t="shared" ref="O493" si="1261">$S$29</f>
        <v>16.137436987603884</v>
      </c>
      <c r="P493" s="121"/>
      <c r="Q493" s="121">
        <f t="shared" ref="Q493" si="1262">($S$18/12)*U491</f>
        <v>3.6063967598075051</v>
      </c>
      <c r="R493" s="121"/>
      <c r="S493" s="121">
        <f t="shared" ref="S493" si="1263">O493-Q493</f>
        <v>12.531040227796378</v>
      </c>
      <c r="T493" s="35"/>
      <c r="U493" s="121">
        <f t="shared" ref="U493" si="1264">U491-S493</f>
        <v>1126.3310944482578</v>
      </c>
      <c r="V493" s="37"/>
    </row>
    <row r="494" spans="2:22" ht="15" thickBot="1" x14ac:dyDescent="0.35">
      <c r="B494" s="41"/>
      <c r="C494" s="35"/>
      <c r="D494" s="35"/>
      <c r="E494" s="35"/>
      <c r="F494" s="121"/>
      <c r="G494" s="121"/>
      <c r="H494" s="121"/>
      <c r="I494" s="121"/>
      <c r="J494" s="35"/>
      <c r="K494" s="37"/>
      <c r="M494" s="41"/>
      <c r="N494" s="35"/>
      <c r="O494" s="121"/>
      <c r="P494" s="121"/>
      <c r="Q494" s="121"/>
      <c r="R494" s="121"/>
      <c r="S494" s="35"/>
      <c r="T494" s="35"/>
      <c r="U494" s="35"/>
      <c r="V494" s="37"/>
    </row>
    <row r="495" spans="2:22" ht="15" thickBot="1" x14ac:dyDescent="0.35">
      <c r="B495" s="41">
        <v>222</v>
      </c>
      <c r="C495" s="35"/>
      <c r="D495" s="121">
        <f t="shared" ref="D495" si="1265">$N$30</f>
        <v>15.588640673015377</v>
      </c>
      <c r="E495" s="35"/>
      <c r="F495" s="121">
        <f t="shared" ref="F495" si="1266">($N$18/12)*J493</f>
        <v>3.0402721462931046</v>
      </c>
      <c r="G495" s="121"/>
      <c r="H495" s="121">
        <f t="shared" ref="H495" si="1267">D495-F495</f>
        <v>12.548368526722271</v>
      </c>
      <c r="I495" s="121"/>
      <c r="J495" s="121">
        <f t="shared" ref="J495" si="1268">J493-H495</f>
        <v>1093.0051392162247</v>
      </c>
      <c r="K495" s="37"/>
      <c r="M495" s="41">
        <v>222</v>
      </c>
      <c r="N495" s="35"/>
      <c r="O495" s="121">
        <f t="shared" ref="O495" si="1269">$S$29</f>
        <v>16.137436987603884</v>
      </c>
      <c r="P495" s="121"/>
      <c r="Q495" s="121">
        <f t="shared" ref="Q495" si="1270">($S$18/12)*U493</f>
        <v>3.5667151324194828</v>
      </c>
      <c r="R495" s="121"/>
      <c r="S495" s="121">
        <f t="shared" ref="S495" si="1271">O495-Q495</f>
        <v>12.570721855184402</v>
      </c>
      <c r="T495" s="35"/>
      <c r="U495" s="121">
        <f t="shared" ref="U495" si="1272">U493-S495</f>
        <v>1113.7603725930733</v>
      </c>
      <c r="V495" s="37"/>
    </row>
    <row r="496" spans="2:22" ht="15" thickBot="1" x14ac:dyDescent="0.35">
      <c r="B496" s="41"/>
      <c r="C496" s="35"/>
      <c r="D496" s="35"/>
      <c r="E496" s="35"/>
      <c r="F496" s="121"/>
      <c r="G496" s="121"/>
      <c r="H496" s="121"/>
      <c r="I496" s="121"/>
      <c r="J496" s="35"/>
      <c r="K496" s="37"/>
      <c r="M496" s="41"/>
      <c r="N496" s="35"/>
      <c r="O496" s="121"/>
      <c r="P496" s="121"/>
      <c r="Q496" s="121"/>
      <c r="R496" s="121"/>
      <c r="S496" s="35"/>
      <c r="T496" s="35"/>
      <c r="U496" s="35"/>
      <c r="V496" s="37"/>
    </row>
    <row r="497" spans="2:22" ht="15" thickBot="1" x14ac:dyDescent="0.35">
      <c r="B497" s="41">
        <v>223</v>
      </c>
      <c r="C497" s="35"/>
      <c r="D497" s="121">
        <f t="shared" ref="D497" si="1273">$N$30</f>
        <v>15.588640673015377</v>
      </c>
      <c r="E497" s="35"/>
      <c r="F497" s="121">
        <f t="shared" ref="F497" si="1274">($N$18/12)*J495</f>
        <v>3.0057641328446185</v>
      </c>
      <c r="G497" s="121"/>
      <c r="H497" s="121">
        <f t="shared" ref="H497" si="1275">D497-F497</f>
        <v>12.582876540170759</v>
      </c>
      <c r="I497" s="121"/>
      <c r="J497" s="121">
        <f t="shared" ref="J497" si="1276">J495-H497</f>
        <v>1080.4222626760541</v>
      </c>
      <c r="K497" s="37"/>
      <c r="M497" s="41">
        <v>223</v>
      </c>
      <c r="N497" s="35"/>
      <c r="O497" s="121">
        <f t="shared" ref="O497" si="1277">$S$29</f>
        <v>16.137436987603884</v>
      </c>
      <c r="P497" s="121"/>
      <c r="Q497" s="121">
        <f t="shared" ref="Q497" si="1278">($S$18/12)*U495</f>
        <v>3.5269078465447321</v>
      </c>
      <c r="R497" s="121"/>
      <c r="S497" s="121">
        <f t="shared" ref="S497" si="1279">O497-Q497</f>
        <v>12.610529141059152</v>
      </c>
      <c r="T497" s="35"/>
      <c r="U497" s="121">
        <f t="shared" ref="U497" si="1280">U495-S497</f>
        <v>1101.149843452014</v>
      </c>
      <c r="V497" s="37"/>
    </row>
    <row r="498" spans="2:22" ht="15" thickBot="1" x14ac:dyDescent="0.35">
      <c r="B498" s="41"/>
      <c r="C498" s="35"/>
      <c r="D498" s="35"/>
      <c r="E498" s="35"/>
      <c r="F498" s="121"/>
      <c r="G498" s="121"/>
      <c r="H498" s="121"/>
      <c r="I498" s="121"/>
      <c r="J498" s="35"/>
      <c r="K498" s="37"/>
      <c r="M498" s="41"/>
      <c r="N498" s="35"/>
      <c r="O498" s="121"/>
      <c r="P498" s="121"/>
      <c r="Q498" s="121"/>
      <c r="R498" s="121"/>
      <c r="S498" s="35"/>
      <c r="T498" s="35"/>
      <c r="U498" s="35"/>
      <c r="V498" s="37"/>
    </row>
    <row r="499" spans="2:22" ht="15" thickBot="1" x14ac:dyDescent="0.35">
      <c r="B499" s="41">
        <v>224</v>
      </c>
      <c r="C499" s="35"/>
      <c r="D499" s="121">
        <f t="shared" ref="D499" si="1281">$N$30</f>
        <v>15.588640673015377</v>
      </c>
      <c r="E499" s="35"/>
      <c r="F499" s="121">
        <f t="shared" ref="F499" si="1282">($N$18/12)*J497</f>
        <v>2.9711612223591488</v>
      </c>
      <c r="G499" s="121"/>
      <c r="H499" s="121">
        <f t="shared" ref="H499" si="1283">D499-F499</f>
        <v>12.617479450656228</v>
      </c>
      <c r="I499" s="121"/>
      <c r="J499" s="121">
        <f t="shared" ref="J499" si="1284">J497-H499</f>
        <v>1067.8047832253978</v>
      </c>
      <c r="K499" s="37"/>
      <c r="M499" s="41">
        <v>224</v>
      </c>
      <c r="N499" s="35"/>
      <c r="O499" s="121">
        <f t="shared" ref="O499" si="1285">$S$29</f>
        <v>16.137436987603884</v>
      </c>
      <c r="P499" s="121"/>
      <c r="Q499" s="121">
        <f t="shared" ref="Q499" si="1286">($S$18/12)*U497</f>
        <v>3.4869745042647109</v>
      </c>
      <c r="R499" s="121"/>
      <c r="S499" s="121">
        <f t="shared" ref="S499" si="1287">O499-Q499</f>
        <v>12.650462483339172</v>
      </c>
      <c r="T499" s="35"/>
      <c r="U499" s="121">
        <f t="shared" ref="U499" si="1288">U497-S499</f>
        <v>1088.4993809686748</v>
      </c>
      <c r="V499" s="37"/>
    </row>
    <row r="500" spans="2:22" ht="15" thickBot="1" x14ac:dyDescent="0.35">
      <c r="B500" s="41"/>
      <c r="C500" s="35"/>
      <c r="D500" s="35"/>
      <c r="E500" s="35"/>
      <c r="F500" s="121"/>
      <c r="G500" s="121"/>
      <c r="H500" s="121"/>
      <c r="I500" s="121"/>
      <c r="J500" s="35"/>
      <c r="K500" s="37"/>
      <c r="M500" s="41"/>
      <c r="N500" s="35"/>
      <c r="O500" s="121"/>
      <c r="P500" s="121"/>
      <c r="Q500" s="121"/>
      <c r="R500" s="121"/>
      <c r="S500" s="35"/>
      <c r="T500" s="35"/>
      <c r="U500" s="35"/>
      <c r="V500" s="37"/>
    </row>
    <row r="501" spans="2:22" ht="15" thickBot="1" x14ac:dyDescent="0.35">
      <c r="B501" s="41">
        <v>225</v>
      </c>
      <c r="C501" s="35"/>
      <c r="D501" s="121">
        <f t="shared" ref="D501" si="1289">$N$30</f>
        <v>15.588640673015377</v>
      </c>
      <c r="E501" s="35"/>
      <c r="F501" s="121">
        <f t="shared" ref="F501" si="1290">($N$18/12)*J499</f>
        <v>2.9364631538698442</v>
      </c>
      <c r="G501" s="121"/>
      <c r="H501" s="121">
        <f t="shared" ref="H501" si="1291">D501-F501</f>
        <v>12.652177519145532</v>
      </c>
      <c r="I501" s="121"/>
      <c r="J501" s="121">
        <f t="shared" ref="J501" si="1292">J499-H501</f>
        <v>1055.1526057062524</v>
      </c>
      <c r="K501" s="37"/>
      <c r="M501" s="41">
        <v>225</v>
      </c>
      <c r="N501" s="35"/>
      <c r="O501" s="121">
        <f t="shared" ref="O501" si="1293">$S$29</f>
        <v>16.137436987603884</v>
      </c>
      <c r="P501" s="121"/>
      <c r="Q501" s="121">
        <f t="shared" ref="Q501" si="1294">($S$18/12)*U499</f>
        <v>3.4469147064008037</v>
      </c>
      <c r="R501" s="121"/>
      <c r="S501" s="121">
        <f t="shared" ref="S501" si="1295">O501-Q501</f>
        <v>12.69052228120308</v>
      </c>
      <c r="T501" s="35"/>
      <c r="U501" s="121">
        <f t="shared" ref="U501" si="1296">U499-S501</f>
        <v>1075.8088586874717</v>
      </c>
      <c r="V501" s="37"/>
    </row>
    <row r="502" spans="2:22" ht="15" thickBot="1" x14ac:dyDescent="0.35">
      <c r="B502" s="41"/>
      <c r="C502" s="35"/>
      <c r="D502" s="35"/>
      <c r="E502" s="35"/>
      <c r="F502" s="121"/>
      <c r="G502" s="121"/>
      <c r="H502" s="121"/>
      <c r="I502" s="121"/>
      <c r="J502" s="35"/>
      <c r="K502" s="37"/>
      <c r="M502" s="41"/>
      <c r="N502" s="35"/>
      <c r="O502" s="121"/>
      <c r="P502" s="121"/>
      <c r="Q502" s="121"/>
      <c r="R502" s="121"/>
      <c r="S502" s="35"/>
      <c r="T502" s="35"/>
      <c r="U502" s="35"/>
      <c r="V502" s="37"/>
    </row>
    <row r="503" spans="2:22" ht="15" thickBot="1" x14ac:dyDescent="0.35">
      <c r="B503" s="41">
        <v>226</v>
      </c>
      <c r="C503" s="35"/>
      <c r="D503" s="121">
        <f t="shared" ref="D503" si="1297">$N$30</f>
        <v>15.588640673015377</v>
      </c>
      <c r="E503" s="35"/>
      <c r="F503" s="121">
        <f t="shared" ref="F503" si="1298">($N$18/12)*J501</f>
        <v>2.9016696656921943</v>
      </c>
      <c r="G503" s="121"/>
      <c r="H503" s="121">
        <f t="shared" ref="H503" si="1299">D503-F503</f>
        <v>12.686971007323182</v>
      </c>
      <c r="I503" s="121"/>
      <c r="J503" s="121">
        <f t="shared" ref="J503" si="1300">J501-H503</f>
        <v>1042.4656346989293</v>
      </c>
      <c r="K503" s="37"/>
      <c r="M503" s="41">
        <v>226</v>
      </c>
      <c r="N503" s="35"/>
      <c r="O503" s="121">
        <f t="shared" ref="O503" si="1301">$S$29</f>
        <v>16.137436987603884</v>
      </c>
      <c r="P503" s="121"/>
      <c r="Q503" s="121">
        <f t="shared" ref="Q503" si="1302">($S$18/12)*U501</f>
        <v>3.406728052510327</v>
      </c>
      <c r="R503" s="121"/>
      <c r="S503" s="121">
        <f t="shared" ref="S503" si="1303">O503-Q503</f>
        <v>12.730708935093556</v>
      </c>
      <c r="T503" s="35"/>
      <c r="U503" s="121">
        <f t="shared" ref="U503" si="1304">U501-S503</f>
        <v>1063.0781497523781</v>
      </c>
      <c r="V503" s="37"/>
    </row>
    <row r="504" spans="2:22" ht="15" thickBot="1" x14ac:dyDescent="0.35">
      <c r="B504" s="41"/>
      <c r="C504" s="35"/>
      <c r="D504" s="35"/>
      <c r="E504" s="35"/>
      <c r="F504" s="121"/>
      <c r="G504" s="121"/>
      <c r="H504" s="121"/>
      <c r="I504" s="121"/>
      <c r="J504" s="35"/>
      <c r="K504" s="37"/>
      <c r="M504" s="41"/>
      <c r="N504" s="35"/>
      <c r="O504" s="121"/>
      <c r="P504" s="121"/>
      <c r="Q504" s="121"/>
      <c r="R504" s="121"/>
      <c r="S504" s="35"/>
      <c r="T504" s="35"/>
      <c r="U504" s="35"/>
      <c r="V504" s="37"/>
    </row>
    <row r="505" spans="2:22" ht="15" thickBot="1" x14ac:dyDescent="0.35">
      <c r="B505" s="41">
        <v>227</v>
      </c>
      <c r="C505" s="35"/>
      <c r="D505" s="121">
        <f t="shared" ref="D505" si="1305">$N$30</f>
        <v>15.588640673015377</v>
      </c>
      <c r="E505" s="35"/>
      <c r="F505" s="121">
        <f t="shared" ref="F505" si="1306">($N$18/12)*J503</f>
        <v>2.8667804954220557</v>
      </c>
      <c r="G505" s="121"/>
      <c r="H505" s="121">
        <f t="shared" ref="H505" si="1307">D505-F505</f>
        <v>12.721860177593321</v>
      </c>
      <c r="I505" s="121"/>
      <c r="J505" s="121">
        <f t="shared" ref="J505" si="1308">J503-H505</f>
        <v>1029.743774521336</v>
      </c>
      <c r="K505" s="37"/>
      <c r="M505" s="41">
        <v>227</v>
      </c>
      <c r="N505" s="35"/>
      <c r="O505" s="121">
        <f t="shared" ref="O505" si="1309">$S$29</f>
        <v>16.137436987603884</v>
      </c>
      <c r="P505" s="121"/>
      <c r="Q505" s="121">
        <f t="shared" ref="Q505" si="1310">($S$18/12)*U503</f>
        <v>3.3664141408825303</v>
      </c>
      <c r="R505" s="121"/>
      <c r="S505" s="121">
        <f t="shared" ref="S505" si="1311">O505-Q505</f>
        <v>12.771022846721355</v>
      </c>
      <c r="T505" s="35"/>
      <c r="U505" s="121">
        <f t="shared" ref="U505" si="1312">U503-S505</f>
        <v>1050.3071269056568</v>
      </c>
      <c r="V505" s="37"/>
    </row>
    <row r="506" spans="2:22" ht="15" thickBot="1" x14ac:dyDescent="0.35">
      <c r="B506" s="41"/>
      <c r="C506" s="35"/>
      <c r="D506" s="35"/>
      <c r="E506" s="35"/>
      <c r="F506" s="121"/>
      <c r="G506" s="121"/>
      <c r="H506" s="121"/>
      <c r="I506" s="121"/>
      <c r="J506" s="35"/>
      <c r="K506" s="37"/>
      <c r="M506" s="41"/>
      <c r="N506" s="35"/>
      <c r="O506" s="121"/>
      <c r="P506" s="121"/>
      <c r="Q506" s="121"/>
      <c r="R506" s="121"/>
      <c r="S506" s="35"/>
      <c r="T506" s="35"/>
      <c r="U506" s="35"/>
      <c r="V506" s="37"/>
    </row>
    <row r="507" spans="2:22" ht="15" thickBot="1" x14ac:dyDescent="0.35">
      <c r="B507" s="41">
        <v>228</v>
      </c>
      <c r="C507" s="35"/>
      <c r="D507" s="121">
        <f t="shared" ref="D507" si="1313">$N$30</f>
        <v>15.588640673015377</v>
      </c>
      <c r="E507" s="35"/>
      <c r="F507" s="121">
        <f t="shared" ref="F507" si="1314">($N$18/12)*J505</f>
        <v>2.8317953799336744</v>
      </c>
      <c r="G507" s="121"/>
      <c r="H507" s="121">
        <f t="shared" ref="H507" si="1315">D507-F507</f>
        <v>12.756845293081703</v>
      </c>
      <c r="I507" s="121"/>
      <c r="J507" s="121">
        <f t="shared" ref="J507" si="1316">J505-H507</f>
        <v>1016.9869292282543</v>
      </c>
      <c r="K507" s="37"/>
      <c r="M507" s="41">
        <v>228</v>
      </c>
      <c r="N507" s="35"/>
      <c r="O507" s="121">
        <f t="shared" ref="O507" si="1317">$S$29</f>
        <v>16.137436987603884</v>
      </c>
      <c r="P507" s="121"/>
      <c r="Q507" s="121">
        <f t="shared" ref="Q507" si="1318">($S$18/12)*U505</f>
        <v>3.3259725685345796</v>
      </c>
      <c r="R507" s="121"/>
      <c r="S507" s="121">
        <f t="shared" ref="S507" si="1319">O507-Q507</f>
        <v>12.811464419069305</v>
      </c>
      <c r="T507" s="35"/>
      <c r="U507" s="121">
        <f t="shared" ref="U507" si="1320">U505-S507</f>
        <v>1037.4956624865874</v>
      </c>
      <c r="V507" s="37"/>
    </row>
    <row r="508" spans="2:22" ht="15" thickBot="1" x14ac:dyDescent="0.35">
      <c r="B508" s="41"/>
      <c r="C508" s="35"/>
      <c r="D508" s="35"/>
      <c r="E508" s="35"/>
      <c r="F508" s="121"/>
      <c r="G508" s="121"/>
      <c r="H508" s="121"/>
      <c r="I508" s="121"/>
      <c r="J508" s="35"/>
      <c r="K508" s="37"/>
      <c r="M508" s="41"/>
      <c r="N508" s="35"/>
      <c r="O508" s="121"/>
      <c r="P508" s="121"/>
      <c r="Q508" s="121"/>
      <c r="R508" s="121"/>
      <c r="S508" s="35"/>
      <c r="T508" s="35"/>
      <c r="U508" s="35"/>
      <c r="V508" s="37"/>
    </row>
    <row r="509" spans="2:22" ht="15" thickBot="1" x14ac:dyDescent="0.35">
      <c r="B509" s="41">
        <v>229</v>
      </c>
      <c r="C509" s="35"/>
      <c r="D509" s="121">
        <f t="shared" ref="D509" si="1321">$N$30</f>
        <v>15.588640673015377</v>
      </c>
      <c r="E509" s="35"/>
      <c r="F509" s="121">
        <f t="shared" ref="F509" si="1322">($N$18/12)*J507</f>
        <v>2.7967140553776995</v>
      </c>
      <c r="G509" s="121"/>
      <c r="H509" s="121">
        <f t="shared" ref="H509" si="1323">D509-F509</f>
        <v>12.791926617637678</v>
      </c>
      <c r="I509" s="121"/>
      <c r="J509" s="121">
        <f t="shared" ref="J509" si="1324">J507-H509</f>
        <v>1004.1950026106166</v>
      </c>
      <c r="K509" s="37"/>
      <c r="M509" s="41">
        <v>229</v>
      </c>
      <c r="N509" s="35"/>
      <c r="O509" s="121">
        <f t="shared" ref="O509" si="1325">$S$29</f>
        <v>16.137436987603884</v>
      </c>
      <c r="P509" s="121"/>
      <c r="Q509" s="121">
        <f t="shared" ref="Q509" si="1326">($S$18/12)*U507</f>
        <v>3.2854029312075266</v>
      </c>
      <c r="R509" s="121"/>
      <c r="S509" s="121">
        <f t="shared" ref="S509" si="1327">O509-Q509</f>
        <v>12.852034056396358</v>
      </c>
      <c r="T509" s="35"/>
      <c r="U509" s="121">
        <f t="shared" ref="U509" si="1328">U507-S509</f>
        <v>1024.643628430191</v>
      </c>
      <c r="V509" s="37"/>
    </row>
    <row r="510" spans="2:22" ht="15" thickBot="1" x14ac:dyDescent="0.35">
      <c r="B510" s="41"/>
      <c r="C510" s="35"/>
      <c r="D510" s="35"/>
      <c r="E510" s="35"/>
      <c r="F510" s="121"/>
      <c r="G510" s="121"/>
      <c r="H510" s="121"/>
      <c r="I510" s="121"/>
      <c r="J510" s="35"/>
      <c r="K510" s="37"/>
      <c r="M510" s="41"/>
      <c r="N510" s="35"/>
      <c r="O510" s="121"/>
      <c r="P510" s="121"/>
      <c r="Q510" s="121"/>
      <c r="R510" s="121"/>
      <c r="S510" s="35"/>
      <c r="T510" s="35"/>
      <c r="U510" s="35"/>
      <c r="V510" s="37"/>
    </row>
    <row r="511" spans="2:22" ht="15" thickBot="1" x14ac:dyDescent="0.35">
      <c r="B511" s="41">
        <v>230</v>
      </c>
      <c r="C511" s="35"/>
      <c r="D511" s="121">
        <f t="shared" ref="D511" si="1329">$N$30</f>
        <v>15.588640673015377</v>
      </c>
      <c r="E511" s="35"/>
      <c r="F511" s="121">
        <f t="shared" ref="F511" si="1330">($N$18/12)*J509</f>
        <v>2.7615362571791957</v>
      </c>
      <c r="G511" s="121"/>
      <c r="H511" s="121">
        <f t="shared" ref="H511" si="1331">D511-F511</f>
        <v>12.827104415836182</v>
      </c>
      <c r="I511" s="121"/>
      <c r="J511" s="121">
        <f t="shared" ref="J511" si="1332">J509-H511</f>
        <v>991.36789819478042</v>
      </c>
      <c r="K511" s="37"/>
      <c r="M511" s="41">
        <v>230</v>
      </c>
      <c r="N511" s="35"/>
      <c r="O511" s="121">
        <f t="shared" ref="O511" si="1333">$S$29</f>
        <v>16.137436987603884</v>
      </c>
      <c r="P511" s="121"/>
      <c r="Q511" s="121">
        <f t="shared" ref="Q511" si="1334">($S$18/12)*U509</f>
        <v>3.2447048233622717</v>
      </c>
      <c r="R511" s="121"/>
      <c r="S511" s="121">
        <f t="shared" ref="S511" si="1335">O511-Q511</f>
        <v>12.892732164241613</v>
      </c>
      <c r="T511" s="35"/>
      <c r="U511" s="121">
        <f t="shared" ref="U511" si="1336">U509-S511</f>
        <v>1011.7508962659495</v>
      </c>
      <c r="V511" s="37"/>
    </row>
    <row r="512" spans="2:22" ht="15" thickBot="1" x14ac:dyDescent="0.35">
      <c r="B512" s="41"/>
      <c r="C512" s="35"/>
      <c r="D512" s="35"/>
      <c r="E512" s="35"/>
      <c r="F512" s="121"/>
      <c r="G512" s="121"/>
      <c r="H512" s="121"/>
      <c r="I512" s="121"/>
      <c r="J512" s="35"/>
      <c r="K512" s="37"/>
      <c r="M512" s="41"/>
      <c r="N512" s="35"/>
      <c r="O512" s="121"/>
      <c r="P512" s="121"/>
      <c r="Q512" s="121"/>
      <c r="R512" s="121"/>
      <c r="S512" s="35"/>
      <c r="T512" s="35"/>
      <c r="U512" s="35"/>
      <c r="V512" s="37"/>
    </row>
    <row r="513" spans="2:22" ht="15" thickBot="1" x14ac:dyDescent="0.35">
      <c r="B513" s="41">
        <v>231</v>
      </c>
      <c r="C513" s="35"/>
      <c r="D513" s="121">
        <f t="shared" ref="D513" si="1337">$N$30</f>
        <v>15.588640673015377</v>
      </c>
      <c r="E513" s="35"/>
      <c r="F513" s="121">
        <f t="shared" ref="F513" si="1338">($N$18/12)*J511</f>
        <v>2.7262617200356463</v>
      </c>
      <c r="G513" s="121"/>
      <c r="H513" s="121">
        <f t="shared" ref="H513" si="1339">D513-F513</f>
        <v>12.86237895297973</v>
      </c>
      <c r="I513" s="121"/>
      <c r="J513" s="121">
        <f t="shared" ref="J513" si="1340">J511-H513</f>
        <v>978.5055192418007</v>
      </c>
      <c r="K513" s="37"/>
      <c r="M513" s="41">
        <v>231</v>
      </c>
      <c r="N513" s="35"/>
      <c r="O513" s="121">
        <f t="shared" ref="O513" si="1341">$S$29</f>
        <v>16.137436987603884</v>
      </c>
      <c r="P513" s="121"/>
      <c r="Q513" s="121">
        <f t="shared" ref="Q513" si="1342">($S$18/12)*U511</f>
        <v>3.2038778381755066</v>
      </c>
      <c r="R513" s="121"/>
      <c r="S513" s="121">
        <f t="shared" ref="S513" si="1343">O513-Q513</f>
        <v>12.933559149428378</v>
      </c>
      <c r="T513" s="35"/>
      <c r="U513" s="121">
        <f t="shared" ref="U513" si="1344">U511-S513</f>
        <v>998.81733711652112</v>
      </c>
      <c r="V513" s="37"/>
    </row>
    <row r="514" spans="2:22" ht="15" thickBot="1" x14ac:dyDescent="0.35">
      <c r="B514" s="41"/>
      <c r="C514" s="35"/>
      <c r="D514" s="35"/>
      <c r="E514" s="35"/>
      <c r="F514" s="121"/>
      <c r="G514" s="121"/>
      <c r="H514" s="121"/>
      <c r="I514" s="121"/>
      <c r="J514" s="35"/>
      <c r="K514" s="37"/>
      <c r="M514" s="41"/>
      <c r="N514" s="35"/>
      <c r="O514" s="121"/>
      <c r="P514" s="121"/>
      <c r="Q514" s="121"/>
      <c r="R514" s="121"/>
      <c r="S514" s="35"/>
      <c r="T514" s="35"/>
      <c r="U514" s="35"/>
      <c r="V514" s="37"/>
    </row>
    <row r="515" spans="2:22" ht="15" thickBot="1" x14ac:dyDescent="0.35">
      <c r="B515" s="41">
        <v>232</v>
      </c>
      <c r="C515" s="35"/>
      <c r="D515" s="121">
        <f t="shared" ref="D515" si="1345">$N$30</f>
        <v>15.588640673015377</v>
      </c>
      <c r="E515" s="35"/>
      <c r="F515" s="121">
        <f t="shared" ref="F515" si="1346">($N$18/12)*J513</f>
        <v>2.6908901779149521</v>
      </c>
      <c r="G515" s="121"/>
      <c r="H515" s="121">
        <f t="shared" ref="H515" si="1347">D515-F515</f>
        <v>12.897750495100425</v>
      </c>
      <c r="I515" s="121"/>
      <c r="J515" s="121">
        <f t="shared" ref="J515" si="1348">J513-H515</f>
        <v>965.60776874670023</v>
      </c>
      <c r="K515" s="37"/>
      <c r="M515" s="41">
        <v>232</v>
      </c>
      <c r="N515" s="35"/>
      <c r="O515" s="121">
        <f t="shared" ref="O515" si="1349">$S$29</f>
        <v>16.137436987603884</v>
      </c>
      <c r="P515" s="121"/>
      <c r="Q515" s="121">
        <f t="shared" ref="Q515" si="1350">($S$18/12)*U513</f>
        <v>3.1629215675356499</v>
      </c>
      <c r="R515" s="121"/>
      <c r="S515" s="121">
        <f t="shared" ref="S515" si="1351">O515-Q515</f>
        <v>12.974515420068235</v>
      </c>
      <c r="T515" s="35"/>
      <c r="U515" s="121">
        <f t="shared" ref="U515" si="1352">U513-S515</f>
        <v>985.84282169645292</v>
      </c>
      <c r="V515" s="37"/>
    </row>
    <row r="516" spans="2:22" ht="15" thickBot="1" x14ac:dyDescent="0.35">
      <c r="B516" s="41"/>
      <c r="C516" s="35"/>
      <c r="D516" s="35"/>
      <c r="E516" s="35"/>
      <c r="F516" s="121"/>
      <c r="G516" s="121"/>
      <c r="H516" s="121"/>
      <c r="I516" s="121"/>
      <c r="J516" s="35"/>
      <c r="K516" s="37"/>
      <c r="M516" s="41"/>
      <c r="N516" s="35"/>
      <c r="O516" s="121"/>
      <c r="P516" s="121"/>
      <c r="Q516" s="121"/>
      <c r="R516" s="121"/>
      <c r="S516" s="35"/>
      <c r="T516" s="35"/>
      <c r="U516" s="35"/>
      <c r="V516" s="37"/>
    </row>
    <row r="517" spans="2:22" ht="15" thickBot="1" x14ac:dyDescent="0.35">
      <c r="B517" s="41">
        <v>233</v>
      </c>
      <c r="C517" s="35"/>
      <c r="D517" s="121">
        <f t="shared" ref="D517" si="1353">$N$30</f>
        <v>15.588640673015377</v>
      </c>
      <c r="E517" s="35"/>
      <c r="F517" s="121">
        <f t="shared" ref="F517" si="1354">($N$18/12)*J515</f>
        <v>2.6554213640534261</v>
      </c>
      <c r="G517" s="121"/>
      <c r="H517" s="121">
        <f t="shared" ref="H517" si="1355">D517-F517</f>
        <v>12.93321930896195</v>
      </c>
      <c r="I517" s="121"/>
      <c r="J517" s="121">
        <f t="shared" ref="J517" si="1356">J515-H517</f>
        <v>952.67454943773828</v>
      </c>
      <c r="K517" s="37"/>
      <c r="M517" s="41">
        <v>233</v>
      </c>
      <c r="N517" s="35"/>
      <c r="O517" s="121">
        <f t="shared" ref="O517" si="1357">$S$29</f>
        <v>16.137436987603884</v>
      </c>
      <c r="P517" s="121"/>
      <c r="Q517" s="121">
        <f t="shared" ref="Q517" si="1358">($S$18/12)*U515</f>
        <v>3.1218356020387676</v>
      </c>
      <c r="R517" s="121"/>
      <c r="S517" s="121">
        <f t="shared" ref="S517" si="1359">O517-Q517</f>
        <v>13.015601385565116</v>
      </c>
      <c r="T517" s="35"/>
      <c r="U517" s="121">
        <f t="shared" ref="U517" si="1360">U515-S517</f>
        <v>972.82722031088781</v>
      </c>
      <c r="V517" s="37"/>
    </row>
    <row r="518" spans="2:22" ht="15" thickBot="1" x14ac:dyDescent="0.35">
      <c r="B518" s="41"/>
      <c r="C518" s="35"/>
      <c r="D518" s="35"/>
      <c r="E518" s="35"/>
      <c r="F518" s="121"/>
      <c r="G518" s="121"/>
      <c r="H518" s="121"/>
      <c r="I518" s="121"/>
      <c r="J518" s="35"/>
      <c r="K518" s="37"/>
      <c r="M518" s="41"/>
      <c r="N518" s="35"/>
      <c r="O518" s="121"/>
      <c r="P518" s="121"/>
      <c r="Q518" s="121"/>
      <c r="R518" s="121"/>
      <c r="S518" s="35"/>
      <c r="T518" s="35"/>
      <c r="U518" s="35"/>
      <c r="V518" s="37"/>
    </row>
    <row r="519" spans="2:22" ht="15" thickBot="1" x14ac:dyDescent="0.35">
      <c r="B519" s="41">
        <v>234</v>
      </c>
      <c r="C519" s="35"/>
      <c r="D519" s="121">
        <f t="shared" ref="D519" si="1361">$N$30</f>
        <v>15.588640673015377</v>
      </c>
      <c r="E519" s="35"/>
      <c r="F519" s="121">
        <f t="shared" ref="F519" si="1362">($N$18/12)*J517</f>
        <v>2.6198550109537804</v>
      </c>
      <c r="G519" s="121"/>
      <c r="H519" s="121">
        <f t="shared" ref="H519" si="1363">D519-F519</f>
        <v>12.968785662061595</v>
      </c>
      <c r="I519" s="121"/>
      <c r="J519" s="121">
        <f t="shared" ref="J519" si="1364">J517-H519</f>
        <v>939.7057637756767</v>
      </c>
      <c r="K519" s="37"/>
      <c r="M519" s="41">
        <v>234</v>
      </c>
      <c r="N519" s="35"/>
      <c r="O519" s="121">
        <f t="shared" ref="O519" si="1365">$S$29</f>
        <v>16.137436987603884</v>
      </c>
      <c r="P519" s="121"/>
      <c r="Q519" s="121">
        <f t="shared" ref="Q519" si="1366">($S$18/12)*U517</f>
        <v>3.0806195309844782</v>
      </c>
      <c r="R519" s="121"/>
      <c r="S519" s="121">
        <f t="shared" ref="S519" si="1367">O519-Q519</f>
        <v>13.056817456619406</v>
      </c>
      <c r="T519" s="35"/>
      <c r="U519" s="121">
        <f t="shared" ref="U519" si="1368">U517-S519</f>
        <v>959.77040285426835</v>
      </c>
      <c r="V519" s="37"/>
    </row>
    <row r="520" spans="2:22" ht="15" thickBot="1" x14ac:dyDescent="0.35">
      <c r="B520" s="41"/>
      <c r="C520" s="35"/>
      <c r="D520" s="35"/>
      <c r="E520" s="35"/>
      <c r="F520" s="121"/>
      <c r="G520" s="121"/>
      <c r="H520" s="121"/>
      <c r="I520" s="121"/>
      <c r="J520" s="35"/>
      <c r="K520" s="37"/>
      <c r="M520" s="41"/>
      <c r="N520" s="35"/>
      <c r="O520" s="121"/>
      <c r="P520" s="121"/>
      <c r="Q520" s="121"/>
      <c r="R520" s="121"/>
      <c r="S520" s="35"/>
      <c r="T520" s="35"/>
      <c r="U520" s="35"/>
      <c r="V520" s="37"/>
    </row>
    <row r="521" spans="2:22" ht="15" thickBot="1" x14ac:dyDescent="0.35">
      <c r="B521" s="41">
        <v>235</v>
      </c>
      <c r="C521" s="35"/>
      <c r="D521" s="121">
        <f t="shared" ref="D521" si="1369">$N$30</f>
        <v>15.588640673015377</v>
      </c>
      <c r="E521" s="35"/>
      <c r="F521" s="121">
        <f t="shared" ref="F521" si="1370">($N$18/12)*J519</f>
        <v>2.584190850383111</v>
      </c>
      <c r="G521" s="121"/>
      <c r="H521" s="121">
        <f t="shared" ref="H521" si="1371">D521-F521</f>
        <v>13.004449822632266</v>
      </c>
      <c r="I521" s="121"/>
      <c r="J521" s="121">
        <f t="shared" ref="J521" si="1372">J519-H521</f>
        <v>926.70131395304441</v>
      </c>
      <c r="K521" s="37"/>
      <c r="M521" s="41">
        <v>235</v>
      </c>
      <c r="N521" s="35"/>
      <c r="O521" s="121">
        <f t="shared" ref="O521" si="1373">$S$29</f>
        <v>16.137436987603884</v>
      </c>
      <c r="P521" s="121"/>
      <c r="Q521" s="121">
        <f t="shared" ref="Q521" si="1374">($S$18/12)*U519</f>
        <v>3.0392729423718499</v>
      </c>
      <c r="R521" s="121"/>
      <c r="S521" s="121">
        <f t="shared" ref="S521" si="1375">O521-Q521</f>
        <v>13.098164045232034</v>
      </c>
      <c r="T521" s="35"/>
      <c r="U521" s="121">
        <f t="shared" ref="U521" si="1376">U519-S521</f>
        <v>946.67223880903634</v>
      </c>
      <c r="V521" s="37"/>
    </row>
    <row r="522" spans="2:22" ht="15" thickBot="1" x14ac:dyDescent="0.35">
      <c r="B522" s="41"/>
      <c r="C522" s="35"/>
      <c r="D522" s="35"/>
      <c r="E522" s="35"/>
      <c r="F522" s="121"/>
      <c r="G522" s="121"/>
      <c r="H522" s="121"/>
      <c r="I522" s="121"/>
      <c r="J522" s="35"/>
      <c r="K522" s="37"/>
      <c r="M522" s="41"/>
      <c r="N522" s="35"/>
      <c r="O522" s="121"/>
      <c r="P522" s="121"/>
      <c r="Q522" s="121"/>
      <c r="R522" s="121"/>
      <c r="S522" s="35"/>
      <c r="T522" s="35"/>
      <c r="U522" s="35"/>
      <c r="V522" s="37"/>
    </row>
    <row r="523" spans="2:22" ht="15" thickBot="1" x14ac:dyDescent="0.35">
      <c r="B523" s="41">
        <v>236</v>
      </c>
      <c r="C523" s="35"/>
      <c r="D523" s="121">
        <f t="shared" ref="D523" si="1377">$N$30</f>
        <v>15.588640673015377</v>
      </c>
      <c r="E523" s="35"/>
      <c r="F523" s="121">
        <f t="shared" ref="F523" si="1378">($N$18/12)*J521</f>
        <v>2.5484286133708722</v>
      </c>
      <c r="G523" s="121"/>
      <c r="H523" s="121">
        <f t="shared" ref="H523" si="1379">D523-F523</f>
        <v>13.040212059644505</v>
      </c>
      <c r="I523" s="121"/>
      <c r="J523" s="121">
        <f t="shared" ref="J523" si="1380">J521-H523</f>
        <v>913.66110189339986</v>
      </c>
      <c r="K523" s="37"/>
      <c r="M523" s="41">
        <v>236</v>
      </c>
      <c r="N523" s="35"/>
      <c r="O523" s="121">
        <f t="shared" ref="O523" si="1381">$S$29</f>
        <v>16.137436987603884</v>
      </c>
      <c r="P523" s="121"/>
      <c r="Q523" s="121">
        <f t="shared" ref="Q523" si="1382">($S$18/12)*U521</f>
        <v>2.9977954228952819</v>
      </c>
      <c r="R523" s="121"/>
      <c r="S523" s="121">
        <f t="shared" ref="S523" si="1383">O523-Q523</f>
        <v>13.139641564708603</v>
      </c>
      <c r="T523" s="35"/>
      <c r="U523" s="121">
        <f t="shared" ref="U523" si="1384">U521-S523</f>
        <v>933.53259724432769</v>
      </c>
      <c r="V523" s="37"/>
    </row>
    <row r="524" spans="2:22" ht="15" thickBot="1" x14ac:dyDescent="0.35">
      <c r="B524" s="41"/>
      <c r="C524" s="35"/>
      <c r="D524" s="35"/>
      <c r="E524" s="35"/>
      <c r="F524" s="121"/>
      <c r="G524" s="121"/>
      <c r="H524" s="121"/>
      <c r="I524" s="121"/>
      <c r="J524" s="35"/>
      <c r="K524" s="37"/>
      <c r="M524" s="41"/>
      <c r="N524" s="35"/>
      <c r="O524" s="121"/>
      <c r="P524" s="121"/>
      <c r="Q524" s="121"/>
      <c r="R524" s="121"/>
      <c r="S524" s="35"/>
      <c r="T524" s="35"/>
      <c r="U524" s="35"/>
      <c r="V524" s="37"/>
    </row>
    <row r="525" spans="2:22" ht="15" thickBot="1" x14ac:dyDescent="0.35">
      <c r="B525" s="41">
        <v>237</v>
      </c>
      <c r="C525" s="35"/>
      <c r="D525" s="121">
        <f t="shared" ref="D525" si="1385">$N$30</f>
        <v>15.588640673015377</v>
      </c>
      <c r="E525" s="35"/>
      <c r="F525" s="121">
        <f t="shared" ref="F525" si="1386">($N$18/12)*J523</f>
        <v>2.5125680302068498</v>
      </c>
      <c r="G525" s="121"/>
      <c r="H525" s="121">
        <f t="shared" ref="H525" si="1387">D525-F525</f>
        <v>13.076072642808526</v>
      </c>
      <c r="I525" s="121"/>
      <c r="J525" s="121">
        <f t="shared" ref="J525" si="1388">J523-H525</f>
        <v>900.58502925059133</v>
      </c>
      <c r="K525" s="37"/>
      <c r="M525" s="41">
        <v>237</v>
      </c>
      <c r="N525" s="35"/>
      <c r="O525" s="121">
        <f t="shared" ref="O525" si="1389">$S$29</f>
        <v>16.137436987603884</v>
      </c>
      <c r="P525" s="121"/>
      <c r="Q525" s="121">
        <f t="shared" ref="Q525" si="1390">($S$18/12)*U523</f>
        <v>2.956186557940371</v>
      </c>
      <c r="R525" s="121"/>
      <c r="S525" s="121">
        <f t="shared" ref="S525" si="1391">O525-Q525</f>
        <v>13.181250429663514</v>
      </c>
      <c r="T525" s="35"/>
      <c r="U525" s="121">
        <f t="shared" ref="U525" si="1392">U523-S525</f>
        <v>920.35134681466423</v>
      </c>
      <c r="V525" s="37"/>
    </row>
    <row r="526" spans="2:22" ht="15" thickBot="1" x14ac:dyDescent="0.35">
      <c r="B526" s="41"/>
      <c r="C526" s="35"/>
      <c r="D526" s="35"/>
      <c r="E526" s="35"/>
      <c r="F526" s="121"/>
      <c r="G526" s="121"/>
      <c r="H526" s="121"/>
      <c r="I526" s="121"/>
      <c r="J526" s="35"/>
      <c r="K526" s="37"/>
      <c r="M526" s="41"/>
      <c r="N526" s="35"/>
      <c r="O526" s="121"/>
      <c r="P526" s="121"/>
      <c r="Q526" s="121"/>
      <c r="R526" s="121"/>
      <c r="S526" s="35"/>
      <c r="T526" s="35"/>
      <c r="U526" s="35"/>
      <c r="V526" s="37"/>
    </row>
    <row r="527" spans="2:22" ht="15" thickBot="1" x14ac:dyDescent="0.35">
      <c r="B527" s="41">
        <v>238</v>
      </c>
      <c r="C527" s="35"/>
      <c r="D527" s="121">
        <f t="shared" ref="D527" si="1393">$N$30</f>
        <v>15.588640673015377</v>
      </c>
      <c r="E527" s="35"/>
      <c r="F527" s="121">
        <f t="shared" ref="F527" si="1394">($N$18/12)*J525</f>
        <v>2.4766088304391265</v>
      </c>
      <c r="G527" s="121"/>
      <c r="H527" s="121">
        <f t="shared" ref="H527" si="1395">D527-F527</f>
        <v>13.112031842576251</v>
      </c>
      <c r="I527" s="121"/>
      <c r="J527" s="121">
        <f t="shared" ref="J527" si="1396">J525-H527</f>
        <v>887.47299740801509</v>
      </c>
      <c r="K527" s="37"/>
      <c r="M527" s="41">
        <v>238</v>
      </c>
      <c r="N527" s="35"/>
      <c r="O527" s="121">
        <f t="shared" ref="O527" si="1397">$S$29</f>
        <v>16.137436987603884</v>
      </c>
      <c r="P527" s="121"/>
      <c r="Q527" s="121">
        <f t="shared" ref="Q527" si="1398">($S$18/12)*U525</f>
        <v>2.9144459315797699</v>
      </c>
      <c r="R527" s="121"/>
      <c r="S527" s="121">
        <f t="shared" ref="S527" si="1399">O527-Q527</f>
        <v>13.222991056024114</v>
      </c>
      <c r="T527" s="35"/>
      <c r="U527" s="121">
        <f t="shared" ref="U527" si="1400">U525-S527</f>
        <v>907.12835575864005</v>
      </c>
      <c r="V527" s="37"/>
    </row>
    <row r="528" spans="2:22" ht="15" thickBot="1" x14ac:dyDescent="0.35">
      <c r="B528" s="41"/>
      <c r="C528" s="35"/>
      <c r="D528" s="35"/>
      <c r="E528" s="35"/>
      <c r="F528" s="121"/>
      <c r="G528" s="121"/>
      <c r="H528" s="121"/>
      <c r="I528" s="121"/>
      <c r="J528" s="35"/>
      <c r="K528" s="37"/>
      <c r="M528" s="41"/>
      <c r="N528" s="35"/>
      <c r="O528" s="121"/>
      <c r="P528" s="121"/>
      <c r="Q528" s="121"/>
      <c r="R528" s="121"/>
      <c r="S528" s="35"/>
      <c r="T528" s="35"/>
      <c r="U528" s="35"/>
      <c r="V528" s="37"/>
    </row>
    <row r="529" spans="2:22" ht="15" thickBot="1" x14ac:dyDescent="0.35">
      <c r="B529" s="41">
        <v>239</v>
      </c>
      <c r="C529" s="35"/>
      <c r="D529" s="121">
        <f t="shared" ref="D529" si="1401">$N$30</f>
        <v>15.588640673015377</v>
      </c>
      <c r="E529" s="35"/>
      <c r="F529" s="121">
        <f t="shared" ref="F529" si="1402">($N$18/12)*J527</f>
        <v>2.4405507428720417</v>
      </c>
      <c r="G529" s="121"/>
      <c r="H529" s="121">
        <f t="shared" ref="H529" si="1403">D529-F529</f>
        <v>13.148089930143335</v>
      </c>
      <c r="I529" s="121"/>
      <c r="J529" s="121">
        <f t="shared" ref="J529" si="1404">J527-H529</f>
        <v>874.32490747787176</v>
      </c>
      <c r="K529" s="37"/>
      <c r="M529" s="41">
        <v>239</v>
      </c>
      <c r="N529" s="35"/>
      <c r="O529" s="121">
        <f t="shared" ref="O529" si="1405">$S$29</f>
        <v>16.137436987603884</v>
      </c>
      <c r="P529" s="121"/>
      <c r="Q529" s="121">
        <f t="shared" ref="Q529" si="1406">($S$18/12)*U527</f>
        <v>2.8725731265690269</v>
      </c>
      <c r="R529" s="121"/>
      <c r="S529" s="121">
        <f t="shared" ref="S529" si="1407">O529-Q529</f>
        <v>13.264863861034858</v>
      </c>
      <c r="T529" s="35"/>
      <c r="U529" s="121">
        <f t="shared" ref="U529" si="1408">U527-S529</f>
        <v>893.86349189760517</v>
      </c>
      <c r="V529" s="37"/>
    </row>
    <row r="530" spans="2:22" ht="15" thickBot="1" x14ac:dyDescent="0.35">
      <c r="B530" s="41"/>
      <c r="C530" s="35"/>
      <c r="D530" s="35"/>
      <c r="E530" s="35"/>
      <c r="F530" s="121"/>
      <c r="G530" s="121"/>
      <c r="H530" s="121"/>
      <c r="I530" s="121"/>
      <c r="J530" s="35"/>
      <c r="K530" s="37"/>
      <c r="M530" s="41"/>
      <c r="N530" s="35"/>
      <c r="O530" s="121"/>
      <c r="P530" s="121"/>
      <c r="Q530" s="121"/>
      <c r="R530" s="121"/>
      <c r="S530" s="35"/>
      <c r="T530" s="35"/>
      <c r="U530" s="35"/>
      <c r="V530" s="37"/>
    </row>
    <row r="531" spans="2:22" ht="15" thickBot="1" x14ac:dyDescent="0.35">
      <c r="B531" s="41">
        <v>240</v>
      </c>
      <c r="C531" s="35"/>
      <c r="D531" s="121">
        <f t="shared" ref="D531" si="1409">$N$30</f>
        <v>15.588640673015377</v>
      </c>
      <c r="E531" s="35"/>
      <c r="F531" s="121">
        <f t="shared" ref="F531" si="1410">($N$18/12)*J529</f>
        <v>2.4043934955641477</v>
      </c>
      <c r="G531" s="121"/>
      <c r="H531" s="121">
        <f t="shared" ref="H531" si="1411">D531-F531</f>
        <v>13.18424717745123</v>
      </c>
      <c r="I531" s="121"/>
      <c r="J531" s="121">
        <f t="shared" ref="J531" si="1412">J529-H531</f>
        <v>861.14066030042056</v>
      </c>
      <c r="K531" s="37"/>
      <c r="M531" s="41">
        <v>240</v>
      </c>
      <c r="N531" s="35"/>
      <c r="O531" s="121">
        <f t="shared" ref="O531" si="1413">$S$29</f>
        <v>16.137436987603884</v>
      </c>
      <c r="P531" s="121"/>
      <c r="Q531" s="121">
        <f t="shared" ref="Q531" si="1414">($S$18/12)*U529</f>
        <v>2.8305677243424161</v>
      </c>
      <c r="R531" s="121"/>
      <c r="S531" s="121">
        <f t="shared" ref="S531" si="1415">O531-Q531</f>
        <v>13.306869263261468</v>
      </c>
      <c r="T531" s="35"/>
      <c r="U531" s="121">
        <f t="shared" ref="U531" si="1416">U529-S531</f>
        <v>880.55662263434374</v>
      </c>
      <c r="V531" s="37"/>
    </row>
    <row r="532" spans="2:22" ht="15" thickBot="1" x14ac:dyDescent="0.35">
      <c r="B532" s="41"/>
      <c r="C532" s="35"/>
      <c r="D532" s="35"/>
      <c r="E532" s="35"/>
      <c r="F532" s="121"/>
      <c r="G532" s="121"/>
      <c r="H532" s="121"/>
      <c r="I532" s="121"/>
      <c r="J532" s="35"/>
      <c r="K532" s="37"/>
      <c r="M532" s="41"/>
      <c r="N532" s="35"/>
      <c r="O532" s="121"/>
      <c r="P532" s="121"/>
      <c r="Q532" s="121"/>
      <c r="R532" s="121"/>
      <c r="S532" s="35"/>
      <c r="T532" s="35"/>
      <c r="U532" s="35"/>
      <c r="V532" s="37"/>
    </row>
    <row r="533" spans="2:22" ht="15" thickBot="1" x14ac:dyDescent="0.35">
      <c r="B533" s="41">
        <v>241</v>
      </c>
      <c r="C533" s="35"/>
      <c r="D533" s="121">
        <f t="shared" ref="D533" si="1417">$N$30</f>
        <v>15.588640673015377</v>
      </c>
      <c r="E533" s="35"/>
      <c r="F533" s="121">
        <f t="shared" ref="F533" si="1418">($N$18/12)*J531</f>
        <v>2.3681368158261566</v>
      </c>
      <c r="G533" s="121"/>
      <c r="H533" s="121">
        <f t="shared" ref="H533" si="1419">D533-F533</f>
        <v>13.22050385718922</v>
      </c>
      <c r="I533" s="121"/>
      <c r="J533" s="121">
        <f t="shared" ref="J533" si="1420">J531-H533</f>
        <v>847.92015644323135</v>
      </c>
      <c r="K533" s="37"/>
      <c r="M533" s="41">
        <v>241</v>
      </c>
      <c r="N533" s="35"/>
      <c r="O533" s="121">
        <f t="shared" ref="O533" si="1421">$S$29</f>
        <v>16.137436987603884</v>
      </c>
      <c r="P533" s="121"/>
      <c r="Q533" s="121">
        <f t="shared" ref="Q533" si="1422">($S$18/12)*U531</f>
        <v>2.788429305008755</v>
      </c>
      <c r="R533" s="121"/>
      <c r="S533" s="121">
        <f t="shared" ref="S533" si="1423">O533-Q533</f>
        <v>13.349007682595129</v>
      </c>
      <c r="T533" s="35"/>
      <c r="U533" s="121">
        <f t="shared" ref="U533" si="1424">U531-S533</f>
        <v>867.20761495174861</v>
      </c>
      <c r="V533" s="37"/>
    </row>
    <row r="534" spans="2:22" ht="15" thickBot="1" x14ac:dyDescent="0.35">
      <c r="B534" s="41"/>
      <c r="C534" s="35"/>
      <c r="D534" s="35"/>
      <c r="E534" s="35"/>
      <c r="F534" s="121"/>
      <c r="G534" s="121"/>
      <c r="H534" s="121"/>
      <c r="I534" s="121"/>
      <c r="J534" s="35"/>
      <c r="K534" s="37"/>
      <c r="M534" s="41"/>
      <c r="N534" s="35"/>
      <c r="O534" s="121"/>
      <c r="P534" s="121"/>
      <c r="Q534" s="121"/>
      <c r="R534" s="121"/>
      <c r="S534" s="35"/>
      <c r="T534" s="35"/>
      <c r="U534" s="35"/>
      <c r="V534" s="37"/>
    </row>
    <row r="535" spans="2:22" ht="15" thickBot="1" x14ac:dyDescent="0.35">
      <c r="B535" s="41">
        <v>242</v>
      </c>
      <c r="C535" s="35"/>
      <c r="D535" s="121">
        <f t="shared" ref="D535" si="1425">$N$30</f>
        <v>15.588640673015377</v>
      </c>
      <c r="E535" s="35"/>
      <c r="F535" s="121">
        <f t="shared" ref="F535" si="1426">($N$18/12)*J533</f>
        <v>2.3317804302188865</v>
      </c>
      <c r="G535" s="121"/>
      <c r="H535" s="121">
        <f t="shared" ref="H535" si="1427">D535-F535</f>
        <v>13.25686024279649</v>
      </c>
      <c r="I535" s="121"/>
      <c r="J535" s="121">
        <f t="shared" ref="J535" si="1428">J533-H535</f>
        <v>834.66329620043484</v>
      </c>
      <c r="K535" s="37"/>
      <c r="M535" s="41">
        <v>242</v>
      </c>
      <c r="N535" s="35"/>
      <c r="O535" s="121">
        <f t="shared" ref="O535" si="1429">$S$29</f>
        <v>16.137436987603884</v>
      </c>
      <c r="P535" s="121"/>
      <c r="Q535" s="121">
        <f t="shared" ref="Q535" si="1430">($S$18/12)*U533</f>
        <v>2.7461574473472039</v>
      </c>
      <c r="R535" s="121"/>
      <c r="S535" s="121">
        <f t="shared" ref="S535" si="1431">O535-Q535</f>
        <v>13.391279540256679</v>
      </c>
      <c r="T535" s="35"/>
      <c r="U535" s="121">
        <f t="shared" ref="U535" si="1432">U533-S535</f>
        <v>853.81633541149188</v>
      </c>
      <c r="V535" s="37"/>
    </row>
    <row r="536" spans="2:22" ht="15" thickBot="1" x14ac:dyDescent="0.35">
      <c r="B536" s="41"/>
      <c r="C536" s="35"/>
      <c r="D536" s="35"/>
      <c r="E536" s="35"/>
      <c r="F536" s="121"/>
      <c r="G536" s="121"/>
      <c r="H536" s="121"/>
      <c r="I536" s="121"/>
      <c r="J536" s="35"/>
      <c r="K536" s="37"/>
      <c r="M536" s="41"/>
      <c r="N536" s="35"/>
      <c r="O536" s="121"/>
      <c r="P536" s="121"/>
      <c r="Q536" s="121"/>
      <c r="R536" s="121"/>
      <c r="S536" s="35"/>
      <c r="T536" s="35"/>
      <c r="U536" s="35"/>
      <c r="V536" s="37"/>
    </row>
    <row r="537" spans="2:22" ht="15" thickBot="1" x14ac:dyDescent="0.35">
      <c r="B537" s="41">
        <v>243</v>
      </c>
      <c r="C537" s="35"/>
      <c r="D537" s="121">
        <f t="shared" ref="D537" si="1433">$N$30</f>
        <v>15.588640673015377</v>
      </c>
      <c r="E537" s="35"/>
      <c r="F537" s="121">
        <f t="shared" ref="F537" si="1434">($N$18/12)*J535</f>
        <v>2.2953240645511959</v>
      </c>
      <c r="G537" s="121"/>
      <c r="H537" s="121">
        <f t="shared" ref="H537" si="1435">D537-F537</f>
        <v>13.293316608464181</v>
      </c>
      <c r="I537" s="121"/>
      <c r="J537" s="121">
        <f t="shared" ref="J537" si="1436">J535-H537</f>
        <v>821.3699795919706</v>
      </c>
      <c r="K537" s="37"/>
      <c r="M537" s="41">
        <v>243</v>
      </c>
      <c r="N537" s="35"/>
      <c r="O537" s="121">
        <f t="shared" ref="O537" si="1437">$S$29</f>
        <v>16.137436987603884</v>
      </c>
      <c r="P537" s="121"/>
      <c r="Q537" s="121">
        <f t="shared" ref="Q537" si="1438">($S$18/12)*U535</f>
        <v>2.7037517288030575</v>
      </c>
      <c r="R537" s="121"/>
      <c r="S537" s="121">
        <f t="shared" ref="S537" si="1439">O537-Q537</f>
        <v>13.433685258800827</v>
      </c>
      <c r="T537" s="35"/>
      <c r="U537" s="121">
        <f t="shared" ref="U537" si="1440">U535-S537</f>
        <v>840.3826501526911</v>
      </c>
      <c r="V537" s="37"/>
    </row>
    <row r="538" spans="2:22" ht="15" thickBot="1" x14ac:dyDescent="0.35">
      <c r="B538" s="41"/>
      <c r="C538" s="35"/>
      <c r="D538" s="35"/>
      <c r="E538" s="35"/>
      <c r="F538" s="121"/>
      <c r="G538" s="121"/>
      <c r="H538" s="121"/>
      <c r="I538" s="121"/>
      <c r="J538" s="35"/>
      <c r="K538" s="37"/>
      <c r="M538" s="41"/>
      <c r="N538" s="35"/>
      <c r="O538" s="121"/>
      <c r="P538" s="121"/>
      <c r="Q538" s="121"/>
      <c r="R538" s="121"/>
      <c r="S538" s="35"/>
      <c r="T538" s="35"/>
      <c r="U538" s="35"/>
      <c r="V538" s="37"/>
    </row>
    <row r="539" spans="2:22" ht="15" thickBot="1" x14ac:dyDescent="0.35">
      <c r="B539" s="41">
        <v>244</v>
      </c>
      <c r="C539" s="35"/>
      <c r="D539" s="121">
        <f t="shared" ref="D539" si="1441">$N$30</f>
        <v>15.588640673015377</v>
      </c>
      <c r="E539" s="35"/>
      <c r="F539" s="121">
        <f t="shared" ref="F539" si="1442">($N$18/12)*J537</f>
        <v>2.2587674438779195</v>
      </c>
      <c r="G539" s="121"/>
      <c r="H539" s="121">
        <f t="shared" ref="H539" si="1443">D539-F539</f>
        <v>13.329873229137457</v>
      </c>
      <c r="I539" s="121"/>
      <c r="J539" s="121">
        <f t="shared" ref="J539" si="1444">J537-H539</f>
        <v>808.04010636283317</v>
      </c>
      <c r="K539" s="37"/>
      <c r="M539" s="41">
        <v>244</v>
      </c>
      <c r="N539" s="35"/>
      <c r="O539" s="121">
        <f t="shared" ref="O539" si="1445">$S$29</f>
        <v>16.137436987603884</v>
      </c>
      <c r="P539" s="121"/>
      <c r="Q539" s="121">
        <f t="shared" ref="Q539" si="1446">($S$18/12)*U537</f>
        <v>2.6612117254835219</v>
      </c>
      <c r="R539" s="121"/>
      <c r="S539" s="121">
        <f t="shared" ref="S539" si="1447">O539-Q539</f>
        <v>13.476225262120362</v>
      </c>
      <c r="T539" s="35"/>
      <c r="U539" s="121">
        <f t="shared" ref="U539" si="1448">U537-S539</f>
        <v>826.90642489057075</v>
      </c>
      <c r="V539" s="37"/>
    </row>
    <row r="540" spans="2:22" ht="15" thickBot="1" x14ac:dyDescent="0.35">
      <c r="B540" s="41"/>
      <c r="C540" s="35"/>
      <c r="D540" s="35"/>
      <c r="E540" s="35"/>
      <c r="F540" s="121"/>
      <c r="G540" s="121"/>
      <c r="H540" s="121"/>
      <c r="I540" s="121"/>
      <c r="J540" s="35"/>
      <c r="K540" s="37"/>
      <c r="M540" s="41"/>
      <c r="N540" s="35"/>
      <c r="O540" s="121"/>
      <c r="P540" s="121"/>
      <c r="Q540" s="121"/>
      <c r="R540" s="121"/>
      <c r="S540" s="35"/>
      <c r="T540" s="35"/>
      <c r="U540" s="35"/>
      <c r="V540" s="37"/>
    </row>
    <row r="541" spans="2:22" ht="15" thickBot="1" x14ac:dyDescent="0.35">
      <c r="B541" s="41">
        <v>245</v>
      </c>
      <c r="C541" s="35"/>
      <c r="D541" s="121">
        <f t="shared" ref="D541" si="1449">$N$30</f>
        <v>15.588640673015377</v>
      </c>
      <c r="E541" s="35"/>
      <c r="F541" s="121">
        <f t="shared" ref="F541" si="1450">($N$18/12)*J539</f>
        <v>2.2221102924977916</v>
      </c>
      <c r="G541" s="121"/>
      <c r="H541" s="121">
        <f t="shared" ref="H541" si="1451">D541-F541</f>
        <v>13.366530380517585</v>
      </c>
      <c r="I541" s="121"/>
      <c r="J541" s="121">
        <f t="shared" ref="J541" si="1452">J539-H541</f>
        <v>794.67357598231558</v>
      </c>
      <c r="K541" s="37"/>
      <c r="M541" s="41">
        <v>245</v>
      </c>
      <c r="N541" s="35"/>
      <c r="O541" s="121">
        <f t="shared" ref="O541" si="1453">$S$29</f>
        <v>16.137436987603884</v>
      </c>
      <c r="P541" s="121"/>
      <c r="Q541" s="121">
        <f t="shared" ref="Q541" si="1454">($S$18/12)*U539</f>
        <v>2.6185370121534741</v>
      </c>
      <c r="R541" s="121"/>
      <c r="S541" s="121">
        <f t="shared" ref="S541" si="1455">O541-Q541</f>
        <v>13.51889997545041</v>
      </c>
      <c r="T541" s="35"/>
      <c r="U541" s="121">
        <f t="shared" ref="U541" si="1456">U539-S541</f>
        <v>813.38752491512037</v>
      </c>
      <c r="V541" s="37"/>
    </row>
    <row r="542" spans="2:22" ht="15" thickBot="1" x14ac:dyDescent="0.35">
      <c r="B542" s="41"/>
      <c r="C542" s="35"/>
      <c r="D542" s="35"/>
      <c r="E542" s="35"/>
      <c r="F542" s="121"/>
      <c r="G542" s="121"/>
      <c r="H542" s="121"/>
      <c r="I542" s="121"/>
      <c r="J542" s="35"/>
      <c r="K542" s="37"/>
      <c r="M542" s="41"/>
      <c r="N542" s="35"/>
      <c r="O542" s="121"/>
      <c r="P542" s="121"/>
      <c r="Q542" s="121"/>
      <c r="R542" s="121"/>
      <c r="S542" s="35"/>
      <c r="T542" s="35"/>
      <c r="U542" s="35"/>
      <c r="V542" s="37"/>
    </row>
    <row r="543" spans="2:22" ht="15" thickBot="1" x14ac:dyDescent="0.35">
      <c r="B543" s="41">
        <v>246</v>
      </c>
      <c r="C543" s="35"/>
      <c r="D543" s="121">
        <f t="shared" ref="D543" si="1457">$N$30</f>
        <v>15.588640673015377</v>
      </c>
      <c r="E543" s="35"/>
      <c r="F543" s="121">
        <f t="shared" ref="F543" si="1458">($N$18/12)*J541</f>
        <v>2.1853523339513679</v>
      </c>
      <c r="G543" s="121"/>
      <c r="H543" s="121">
        <f t="shared" ref="H543" si="1459">D543-F543</f>
        <v>13.403288339064009</v>
      </c>
      <c r="I543" s="121"/>
      <c r="J543" s="121">
        <f t="shared" ref="J543" si="1460">J541-H543</f>
        <v>781.27028764325155</v>
      </c>
      <c r="K543" s="37"/>
      <c r="M543" s="41">
        <v>246</v>
      </c>
      <c r="N543" s="35"/>
      <c r="O543" s="121">
        <f t="shared" ref="O543" si="1461">$S$29</f>
        <v>16.137436987603884</v>
      </c>
      <c r="P543" s="121"/>
      <c r="Q543" s="121">
        <f t="shared" ref="Q543" si="1462">($S$18/12)*U541</f>
        <v>2.5757271622312143</v>
      </c>
      <c r="R543" s="121"/>
      <c r="S543" s="121">
        <f t="shared" ref="S543" si="1463">O543-Q543</f>
        <v>13.56170982537267</v>
      </c>
      <c r="T543" s="35"/>
      <c r="U543" s="121">
        <f t="shared" ref="U543" si="1464">U541-S543</f>
        <v>799.82581508974772</v>
      </c>
      <c r="V543" s="37"/>
    </row>
    <row r="544" spans="2:22" ht="15" thickBot="1" x14ac:dyDescent="0.35">
      <c r="B544" s="41"/>
      <c r="C544" s="35"/>
      <c r="D544" s="35"/>
      <c r="E544" s="35"/>
      <c r="F544" s="121"/>
      <c r="G544" s="121"/>
      <c r="H544" s="121"/>
      <c r="I544" s="121"/>
      <c r="J544" s="35"/>
      <c r="K544" s="37"/>
      <c r="M544" s="41"/>
      <c r="N544" s="35"/>
      <c r="O544" s="121"/>
      <c r="P544" s="121"/>
      <c r="Q544" s="121"/>
      <c r="R544" s="121"/>
      <c r="S544" s="35"/>
      <c r="T544" s="35"/>
      <c r="U544" s="35"/>
      <c r="V544" s="37"/>
    </row>
    <row r="545" spans="2:22" ht="15" thickBot="1" x14ac:dyDescent="0.35">
      <c r="B545" s="41">
        <v>247</v>
      </c>
      <c r="C545" s="35"/>
      <c r="D545" s="121">
        <f t="shared" ref="D545" si="1465">$N$30</f>
        <v>15.588640673015377</v>
      </c>
      <c r="E545" s="35"/>
      <c r="F545" s="121">
        <f t="shared" ref="F545" si="1466">($N$18/12)*J543</f>
        <v>2.148493291018942</v>
      </c>
      <c r="G545" s="121"/>
      <c r="H545" s="121">
        <f t="shared" ref="H545" si="1467">D545-F545</f>
        <v>13.440147381996434</v>
      </c>
      <c r="I545" s="121"/>
      <c r="J545" s="121">
        <f t="shared" ref="J545" si="1468">J543-H545</f>
        <v>767.83014026125511</v>
      </c>
      <c r="K545" s="37"/>
      <c r="M545" s="41">
        <v>247</v>
      </c>
      <c r="N545" s="35"/>
      <c r="O545" s="121">
        <f t="shared" ref="O545" si="1469">$S$29</f>
        <v>16.137436987603884</v>
      </c>
      <c r="P545" s="121"/>
      <c r="Q545" s="121">
        <f t="shared" ref="Q545" si="1470">($S$18/12)*U543</f>
        <v>2.5327817477842012</v>
      </c>
      <c r="R545" s="121"/>
      <c r="S545" s="121">
        <f t="shared" ref="S545" si="1471">O545-Q545</f>
        <v>13.604655239819683</v>
      </c>
      <c r="T545" s="35"/>
      <c r="U545" s="121">
        <f t="shared" ref="U545" si="1472">U543-S545</f>
        <v>786.22115984992809</v>
      </c>
      <c r="V545" s="37"/>
    </row>
    <row r="546" spans="2:22" ht="15" thickBot="1" x14ac:dyDescent="0.35">
      <c r="B546" s="41"/>
      <c r="C546" s="35"/>
      <c r="D546" s="35"/>
      <c r="E546" s="35"/>
      <c r="F546" s="121"/>
      <c r="G546" s="121"/>
      <c r="H546" s="121"/>
      <c r="I546" s="121"/>
      <c r="J546" s="35"/>
      <c r="K546" s="37"/>
      <c r="M546" s="41"/>
      <c r="N546" s="35"/>
      <c r="O546" s="121"/>
      <c r="P546" s="121"/>
      <c r="Q546" s="121"/>
      <c r="R546" s="121"/>
      <c r="S546" s="35"/>
      <c r="T546" s="35"/>
      <c r="U546" s="35"/>
      <c r="V546" s="37"/>
    </row>
    <row r="547" spans="2:22" ht="15" thickBot="1" x14ac:dyDescent="0.35">
      <c r="B547" s="41">
        <v>248</v>
      </c>
      <c r="C547" s="35"/>
      <c r="D547" s="121">
        <f t="shared" ref="D547" si="1473">$N$30</f>
        <v>15.588640673015377</v>
      </c>
      <c r="E547" s="35"/>
      <c r="F547" s="121">
        <f t="shared" ref="F547" si="1474">($N$18/12)*J545</f>
        <v>2.1115328857184519</v>
      </c>
      <c r="G547" s="121"/>
      <c r="H547" s="121">
        <f t="shared" ref="H547" si="1475">D547-F547</f>
        <v>13.477107787296925</v>
      </c>
      <c r="I547" s="121"/>
      <c r="J547" s="121">
        <f t="shared" ref="J547" si="1476">J545-H547</f>
        <v>754.35303247395814</v>
      </c>
      <c r="K547" s="37"/>
      <c r="M547" s="41">
        <v>248</v>
      </c>
      <c r="N547" s="35"/>
      <c r="O547" s="121">
        <f t="shared" ref="O547" si="1477">$S$29</f>
        <v>16.137436987603884</v>
      </c>
      <c r="P547" s="121"/>
      <c r="Q547" s="121">
        <f t="shared" ref="Q547" si="1478">($S$18/12)*U545</f>
        <v>2.4897003395247723</v>
      </c>
      <c r="R547" s="121"/>
      <c r="S547" s="121">
        <f t="shared" ref="S547" si="1479">O547-Q547</f>
        <v>13.647736648079112</v>
      </c>
      <c r="T547" s="35"/>
      <c r="U547" s="121">
        <f t="shared" ref="U547" si="1480">U545-S547</f>
        <v>772.57342320184898</v>
      </c>
      <c r="V547" s="37"/>
    </row>
    <row r="548" spans="2:22" ht="15" thickBot="1" x14ac:dyDescent="0.35">
      <c r="B548" s="41"/>
      <c r="C548" s="35"/>
      <c r="D548" s="35"/>
      <c r="E548" s="35"/>
      <c r="F548" s="121"/>
      <c r="G548" s="121"/>
      <c r="H548" s="121"/>
      <c r="I548" s="121"/>
      <c r="J548" s="35"/>
      <c r="K548" s="37"/>
      <c r="M548" s="41"/>
      <c r="N548" s="35"/>
      <c r="O548" s="121"/>
      <c r="P548" s="121"/>
      <c r="Q548" s="121"/>
      <c r="R548" s="121"/>
      <c r="S548" s="35"/>
      <c r="T548" s="35"/>
      <c r="U548" s="35"/>
      <c r="V548" s="37"/>
    </row>
    <row r="549" spans="2:22" ht="15" thickBot="1" x14ac:dyDescent="0.35">
      <c r="B549" s="41">
        <v>249</v>
      </c>
      <c r="C549" s="35"/>
      <c r="D549" s="121">
        <f t="shared" ref="D549" si="1481">$N$30</f>
        <v>15.588640673015377</v>
      </c>
      <c r="E549" s="35"/>
      <c r="F549" s="121">
        <f t="shared" ref="F549" si="1482">($N$18/12)*J547</f>
        <v>2.0744708393033853</v>
      </c>
      <c r="G549" s="121"/>
      <c r="H549" s="121">
        <f t="shared" ref="H549" si="1483">D549-F549</f>
        <v>13.514169833711991</v>
      </c>
      <c r="I549" s="121"/>
      <c r="J549" s="121">
        <f t="shared" ref="J549" si="1484">J547-H549</f>
        <v>740.83886264024613</v>
      </c>
      <c r="K549" s="37"/>
      <c r="M549" s="41">
        <v>249</v>
      </c>
      <c r="N549" s="35"/>
      <c r="O549" s="121">
        <f t="shared" ref="O549" si="1485">$S$29</f>
        <v>16.137436987603884</v>
      </c>
      <c r="P549" s="121"/>
      <c r="Q549" s="121">
        <f t="shared" ref="Q549" si="1486">($S$18/12)*U547</f>
        <v>2.4464825068058551</v>
      </c>
      <c r="R549" s="121"/>
      <c r="S549" s="121">
        <f t="shared" ref="S549" si="1487">O549-Q549</f>
        <v>13.690954480798029</v>
      </c>
      <c r="T549" s="35"/>
      <c r="U549" s="121">
        <f t="shared" ref="U549" si="1488">U547-S549</f>
        <v>758.88246872105094</v>
      </c>
      <c r="V549" s="37"/>
    </row>
    <row r="550" spans="2:22" ht="15" thickBot="1" x14ac:dyDescent="0.35">
      <c r="B550" s="41"/>
      <c r="C550" s="35"/>
      <c r="D550" s="35"/>
      <c r="E550" s="35"/>
      <c r="F550" s="121"/>
      <c r="G550" s="121"/>
      <c r="H550" s="121"/>
      <c r="I550" s="121"/>
      <c r="J550" s="35"/>
      <c r="K550" s="37"/>
      <c r="M550" s="41"/>
      <c r="N550" s="35"/>
      <c r="O550" s="121"/>
      <c r="P550" s="121"/>
      <c r="Q550" s="121"/>
      <c r="R550" s="121"/>
      <c r="S550" s="35"/>
      <c r="T550" s="35"/>
      <c r="U550" s="35"/>
      <c r="V550" s="37"/>
    </row>
    <row r="551" spans="2:22" ht="15" thickBot="1" x14ac:dyDescent="0.35">
      <c r="B551" s="41">
        <v>250</v>
      </c>
      <c r="C551" s="35"/>
      <c r="D551" s="121">
        <f t="shared" ref="D551" si="1489">$N$30</f>
        <v>15.588640673015377</v>
      </c>
      <c r="E551" s="35"/>
      <c r="F551" s="121">
        <f t="shared" ref="F551" si="1490">($N$18/12)*J549</f>
        <v>2.0373068722606771</v>
      </c>
      <c r="G551" s="121"/>
      <c r="H551" s="121">
        <f t="shared" ref="H551" si="1491">D551-F551</f>
        <v>13.5513338007547</v>
      </c>
      <c r="I551" s="121"/>
      <c r="J551" s="121">
        <f t="shared" ref="J551" si="1492">J549-H551</f>
        <v>727.28752883949142</v>
      </c>
      <c r="K551" s="37"/>
      <c r="M551" s="41">
        <v>250</v>
      </c>
      <c r="N551" s="35"/>
      <c r="O551" s="121">
        <f t="shared" ref="O551" si="1493">$S$29</f>
        <v>16.137436987603884</v>
      </c>
      <c r="P551" s="121"/>
      <c r="Q551" s="121">
        <f t="shared" ref="Q551" si="1494">($S$18/12)*U549</f>
        <v>2.4031278176166611</v>
      </c>
      <c r="R551" s="121"/>
      <c r="S551" s="121">
        <f t="shared" ref="S551" si="1495">O551-Q551</f>
        <v>13.734309169987224</v>
      </c>
      <c r="T551" s="35"/>
      <c r="U551" s="121">
        <f t="shared" ref="U551" si="1496">U549-S551</f>
        <v>745.14815955106371</v>
      </c>
      <c r="V551" s="37"/>
    </row>
    <row r="552" spans="2:22" ht="15" thickBot="1" x14ac:dyDescent="0.35">
      <c r="B552" s="41"/>
      <c r="C552" s="35"/>
      <c r="D552" s="35"/>
      <c r="E552" s="35"/>
      <c r="F552" s="121"/>
      <c r="G552" s="121"/>
      <c r="H552" s="121"/>
      <c r="I552" s="121"/>
      <c r="J552" s="35"/>
      <c r="K552" s="37"/>
      <c r="M552" s="41"/>
      <c r="N552" s="35"/>
      <c r="O552" s="121"/>
      <c r="P552" s="121"/>
      <c r="Q552" s="121"/>
      <c r="R552" s="121"/>
      <c r="S552" s="35"/>
      <c r="T552" s="35"/>
      <c r="U552" s="35"/>
      <c r="V552" s="37"/>
    </row>
    <row r="553" spans="2:22" ht="15" thickBot="1" x14ac:dyDescent="0.35">
      <c r="B553" s="41">
        <v>251</v>
      </c>
      <c r="C553" s="35"/>
      <c r="D553" s="121">
        <f t="shared" ref="D553" si="1497">$N$30</f>
        <v>15.588640673015377</v>
      </c>
      <c r="E553" s="35"/>
      <c r="F553" s="121">
        <f t="shared" ref="F553" si="1498">($N$18/12)*J551</f>
        <v>2.0000407043086015</v>
      </c>
      <c r="G553" s="121"/>
      <c r="H553" s="121">
        <f t="shared" ref="H553" si="1499">D553-F553</f>
        <v>13.588599968706776</v>
      </c>
      <c r="I553" s="121"/>
      <c r="J553" s="121">
        <f t="shared" ref="J553" si="1500">J551-H553</f>
        <v>713.69892887078458</v>
      </c>
      <c r="K553" s="37"/>
      <c r="M553" s="41">
        <v>251</v>
      </c>
      <c r="N553" s="35"/>
      <c r="O553" s="121">
        <f t="shared" ref="O553" si="1501">$S$29</f>
        <v>16.137436987603884</v>
      </c>
      <c r="P553" s="121"/>
      <c r="Q553" s="121">
        <f t="shared" ref="Q553" si="1502">($S$18/12)*U551</f>
        <v>2.3596358385783684</v>
      </c>
      <c r="R553" s="121"/>
      <c r="S553" s="121">
        <f t="shared" ref="S553" si="1503">O553-Q553</f>
        <v>13.777801149025516</v>
      </c>
      <c r="T553" s="35"/>
      <c r="U553" s="121">
        <f t="shared" ref="U553" si="1504">U551-S553</f>
        <v>731.37035840203816</v>
      </c>
      <c r="V553" s="37"/>
    </row>
    <row r="554" spans="2:22" ht="15" thickBot="1" x14ac:dyDescent="0.35">
      <c r="B554" s="41"/>
      <c r="C554" s="35"/>
      <c r="D554" s="35"/>
      <c r="E554" s="35"/>
      <c r="F554" s="121"/>
      <c r="G554" s="121"/>
      <c r="H554" s="121"/>
      <c r="I554" s="121"/>
      <c r="J554" s="35"/>
      <c r="K554" s="37"/>
      <c r="M554" s="41"/>
      <c r="N554" s="35"/>
      <c r="O554" s="121"/>
      <c r="P554" s="121"/>
      <c r="Q554" s="121"/>
      <c r="R554" s="121"/>
      <c r="S554" s="35"/>
      <c r="T554" s="35"/>
      <c r="U554" s="35"/>
      <c r="V554" s="37"/>
    </row>
    <row r="555" spans="2:22" ht="15" thickBot="1" x14ac:dyDescent="0.35">
      <c r="B555" s="41">
        <v>252</v>
      </c>
      <c r="C555" s="35"/>
      <c r="D555" s="121">
        <f t="shared" ref="D555" si="1505">$N$30</f>
        <v>15.588640673015377</v>
      </c>
      <c r="E555" s="35"/>
      <c r="F555" s="121">
        <f t="shared" ref="F555" si="1506">($N$18/12)*J553</f>
        <v>1.9626720543946579</v>
      </c>
      <c r="G555" s="121"/>
      <c r="H555" s="121">
        <f t="shared" ref="H555" si="1507">D555-F555</f>
        <v>13.625968618620719</v>
      </c>
      <c r="I555" s="121"/>
      <c r="J555" s="121">
        <f t="shared" ref="J555" si="1508">J553-H555</f>
        <v>700.07296025216385</v>
      </c>
      <c r="K555" s="37"/>
      <c r="M555" s="41">
        <v>252</v>
      </c>
      <c r="N555" s="35"/>
      <c r="O555" s="121">
        <f t="shared" ref="O555" si="1509">$S$29</f>
        <v>16.137436987603884</v>
      </c>
      <c r="P555" s="121"/>
      <c r="Q555" s="121">
        <f t="shared" ref="Q555" si="1510">($S$18/12)*U553</f>
        <v>2.3160061349397876</v>
      </c>
      <c r="R555" s="121"/>
      <c r="S555" s="121">
        <f t="shared" ref="S555" si="1511">O555-Q555</f>
        <v>13.821430852664097</v>
      </c>
      <c r="T555" s="35"/>
      <c r="U555" s="121">
        <f t="shared" ref="U555" si="1512">U553-S555</f>
        <v>717.54892754937407</v>
      </c>
      <c r="V555" s="37"/>
    </row>
    <row r="556" spans="2:22" ht="15" thickBot="1" x14ac:dyDescent="0.35">
      <c r="B556" s="41"/>
      <c r="C556" s="35"/>
      <c r="D556" s="35"/>
      <c r="E556" s="35"/>
      <c r="F556" s="121"/>
      <c r="G556" s="121"/>
      <c r="H556" s="121"/>
      <c r="I556" s="121"/>
      <c r="J556" s="35"/>
      <c r="K556" s="37"/>
      <c r="M556" s="41"/>
      <c r="N556" s="35"/>
      <c r="O556" s="121"/>
      <c r="P556" s="121"/>
      <c r="Q556" s="121"/>
      <c r="R556" s="121"/>
      <c r="S556" s="35"/>
      <c r="T556" s="35"/>
      <c r="U556" s="35"/>
      <c r="V556" s="37"/>
    </row>
    <row r="557" spans="2:22" ht="15" thickBot="1" x14ac:dyDescent="0.35">
      <c r="B557" s="41">
        <v>253</v>
      </c>
      <c r="C557" s="35"/>
      <c r="D557" s="121">
        <f t="shared" ref="D557" si="1513">$N$30</f>
        <v>15.588640673015377</v>
      </c>
      <c r="E557" s="35"/>
      <c r="F557" s="121">
        <f t="shared" ref="F557" si="1514">($N$18/12)*J555</f>
        <v>1.9252006406934508</v>
      </c>
      <c r="G557" s="121"/>
      <c r="H557" s="121">
        <f t="shared" ref="H557" si="1515">D557-F557</f>
        <v>13.663440032321926</v>
      </c>
      <c r="I557" s="121"/>
      <c r="J557" s="121">
        <f t="shared" ref="J557" si="1516">J555-H557</f>
        <v>686.40952021984197</v>
      </c>
      <c r="K557" s="37"/>
      <c r="M557" s="41">
        <v>253</v>
      </c>
      <c r="N557" s="35"/>
      <c r="O557" s="121">
        <f t="shared" ref="O557" si="1517">$S$29</f>
        <v>16.137436987603884</v>
      </c>
      <c r="P557" s="121"/>
      <c r="Q557" s="121">
        <f t="shared" ref="Q557" si="1518">($S$18/12)*U555</f>
        <v>2.272238270573018</v>
      </c>
      <c r="R557" s="121"/>
      <c r="S557" s="121">
        <f t="shared" ref="S557" si="1519">O557-Q557</f>
        <v>13.865198717030866</v>
      </c>
      <c r="T557" s="35"/>
      <c r="U557" s="121">
        <f t="shared" ref="U557" si="1520">U555-S557</f>
        <v>703.68372883234315</v>
      </c>
      <c r="V557" s="37"/>
    </row>
    <row r="558" spans="2:22" ht="15" thickBot="1" x14ac:dyDescent="0.35">
      <c r="B558" s="41"/>
      <c r="C558" s="35"/>
      <c r="D558" s="35"/>
      <c r="E558" s="35"/>
      <c r="F558" s="121"/>
      <c r="G558" s="121"/>
      <c r="H558" s="121"/>
      <c r="I558" s="121"/>
      <c r="J558" s="35"/>
      <c r="K558" s="37"/>
      <c r="M558" s="41"/>
      <c r="N558" s="35"/>
      <c r="O558" s="121"/>
      <c r="P558" s="121"/>
      <c r="Q558" s="121"/>
      <c r="R558" s="121"/>
      <c r="S558" s="35"/>
      <c r="T558" s="35"/>
      <c r="U558" s="35"/>
      <c r="V558" s="37"/>
    </row>
    <row r="559" spans="2:22" ht="15" thickBot="1" x14ac:dyDescent="0.35">
      <c r="B559" s="41">
        <v>254</v>
      </c>
      <c r="C559" s="35"/>
      <c r="D559" s="121">
        <f t="shared" ref="D559" si="1521">$N$30</f>
        <v>15.588640673015377</v>
      </c>
      <c r="E559" s="35"/>
      <c r="F559" s="121">
        <f t="shared" ref="F559" si="1522">($N$18/12)*J557</f>
        <v>1.8876261806045656</v>
      </c>
      <c r="G559" s="121"/>
      <c r="H559" s="121">
        <f t="shared" ref="H559" si="1523">D559-F559</f>
        <v>13.701014492410811</v>
      </c>
      <c r="I559" s="121"/>
      <c r="J559" s="121">
        <f t="shared" ref="J559" si="1524">J557-H559</f>
        <v>672.7085057274312</v>
      </c>
      <c r="K559" s="37"/>
      <c r="M559" s="41">
        <v>254</v>
      </c>
      <c r="N559" s="35"/>
      <c r="O559" s="121">
        <f t="shared" ref="O559" si="1525">$S$29</f>
        <v>16.137436987603884</v>
      </c>
      <c r="P559" s="121"/>
      <c r="Q559" s="121">
        <f t="shared" ref="Q559" si="1526">($S$18/12)*U557</f>
        <v>2.2283318079690866</v>
      </c>
      <c r="R559" s="121"/>
      <c r="S559" s="121">
        <f t="shared" ref="S559" si="1527">O559-Q559</f>
        <v>13.909105179634798</v>
      </c>
      <c r="T559" s="35"/>
      <c r="U559" s="121">
        <f t="shared" ref="U559" si="1528">U557-S559</f>
        <v>689.77462365270833</v>
      </c>
      <c r="V559" s="37"/>
    </row>
    <row r="560" spans="2:22" ht="15" thickBot="1" x14ac:dyDescent="0.35">
      <c r="B560" s="41"/>
      <c r="C560" s="35"/>
      <c r="D560" s="35"/>
      <c r="E560" s="35"/>
      <c r="F560" s="121"/>
      <c r="G560" s="121"/>
      <c r="H560" s="121"/>
      <c r="I560" s="121"/>
      <c r="J560" s="35"/>
      <c r="K560" s="37"/>
      <c r="M560" s="41"/>
      <c r="N560" s="35"/>
      <c r="O560" s="121"/>
      <c r="P560" s="121"/>
      <c r="Q560" s="121"/>
      <c r="R560" s="121"/>
      <c r="S560" s="35"/>
      <c r="T560" s="35"/>
      <c r="U560" s="35"/>
      <c r="V560" s="37"/>
    </row>
    <row r="561" spans="2:22" ht="15" thickBot="1" x14ac:dyDescent="0.35">
      <c r="B561" s="41">
        <v>255</v>
      </c>
      <c r="C561" s="35"/>
      <c r="D561" s="121">
        <f t="shared" ref="D561" si="1529">$N$30</f>
        <v>15.588640673015377</v>
      </c>
      <c r="E561" s="35"/>
      <c r="F561" s="121">
        <f t="shared" ref="F561" si="1530">($N$18/12)*J559</f>
        <v>1.8499483907504359</v>
      </c>
      <c r="G561" s="121"/>
      <c r="H561" s="121">
        <f t="shared" ref="H561" si="1531">D561-F561</f>
        <v>13.738692282264941</v>
      </c>
      <c r="I561" s="121"/>
      <c r="J561" s="121">
        <f t="shared" ref="J561" si="1532">J559-H561</f>
        <v>658.96981344516621</v>
      </c>
      <c r="K561" s="37"/>
      <c r="M561" s="41">
        <v>255</v>
      </c>
      <c r="N561" s="35"/>
      <c r="O561" s="121">
        <f t="shared" ref="O561" si="1533">$S$29</f>
        <v>16.137436987603884</v>
      </c>
      <c r="P561" s="121"/>
      <c r="Q561" s="121">
        <f t="shared" ref="Q561" si="1534">($S$18/12)*U559</f>
        <v>2.1842863082335762</v>
      </c>
      <c r="R561" s="121"/>
      <c r="S561" s="121">
        <f t="shared" ref="S561" si="1535">O561-Q561</f>
        <v>13.953150679370308</v>
      </c>
      <c r="T561" s="35"/>
      <c r="U561" s="121">
        <f t="shared" ref="U561" si="1536">U559-S561</f>
        <v>675.82147297333802</v>
      </c>
      <c r="V561" s="37"/>
    </row>
    <row r="562" spans="2:22" ht="15" thickBot="1" x14ac:dyDescent="0.35">
      <c r="B562" s="41"/>
      <c r="C562" s="35"/>
      <c r="D562" s="35"/>
      <c r="E562" s="35"/>
      <c r="F562" s="121"/>
      <c r="G562" s="121"/>
      <c r="H562" s="121"/>
      <c r="I562" s="121"/>
      <c r="J562" s="35"/>
      <c r="K562" s="37"/>
      <c r="M562" s="41"/>
      <c r="N562" s="35"/>
      <c r="O562" s="121"/>
      <c r="P562" s="121"/>
      <c r="Q562" s="121"/>
      <c r="R562" s="121"/>
      <c r="S562" s="35"/>
      <c r="T562" s="35"/>
      <c r="U562" s="35"/>
      <c r="V562" s="37"/>
    </row>
    <row r="563" spans="2:22" ht="15" thickBot="1" x14ac:dyDescent="0.35">
      <c r="B563" s="41">
        <v>256</v>
      </c>
      <c r="C563" s="35"/>
      <c r="D563" s="121">
        <f t="shared" ref="D563" si="1537">$N$30</f>
        <v>15.588640673015377</v>
      </c>
      <c r="E563" s="35"/>
      <c r="F563" s="121">
        <f t="shared" ref="F563" si="1538">($N$18/12)*J561</f>
        <v>1.8121669869742072</v>
      </c>
      <c r="G563" s="121"/>
      <c r="H563" s="121">
        <f t="shared" ref="H563" si="1539">D563-F563</f>
        <v>13.77647368604117</v>
      </c>
      <c r="I563" s="121"/>
      <c r="J563" s="121">
        <f t="shared" ref="J563" si="1540">J561-H563</f>
        <v>645.19333975912502</v>
      </c>
      <c r="K563" s="37"/>
      <c r="M563" s="41">
        <v>256</v>
      </c>
      <c r="N563" s="35"/>
      <c r="O563" s="121">
        <f t="shared" ref="O563" si="1541">$S$29</f>
        <v>16.137436987603884</v>
      </c>
      <c r="P563" s="121"/>
      <c r="Q563" s="121">
        <f t="shared" ref="Q563" si="1542">($S$18/12)*U561</f>
        <v>2.1401013310822372</v>
      </c>
      <c r="R563" s="121"/>
      <c r="S563" s="121">
        <f t="shared" ref="S563" si="1543">O563-Q563</f>
        <v>13.997335656521647</v>
      </c>
      <c r="T563" s="35"/>
      <c r="U563" s="121">
        <f t="shared" ref="U563" si="1544">U561-S563</f>
        <v>661.8241373168164</v>
      </c>
      <c r="V563" s="37"/>
    </row>
    <row r="564" spans="2:22" ht="15" thickBot="1" x14ac:dyDescent="0.35">
      <c r="B564" s="41"/>
      <c r="C564" s="35"/>
      <c r="D564" s="35"/>
      <c r="E564" s="35"/>
      <c r="F564" s="121"/>
      <c r="G564" s="121"/>
      <c r="H564" s="121"/>
      <c r="I564" s="121"/>
      <c r="J564" s="35"/>
      <c r="K564" s="37"/>
      <c r="M564" s="41"/>
      <c r="N564" s="35"/>
      <c r="O564" s="121"/>
      <c r="P564" s="121"/>
      <c r="Q564" s="121"/>
      <c r="R564" s="121"/>
      <c r="S564" s="35"/>
      <c r="T564" s="35"/>
      <c r="U564" s="35"/>
      <c r="V564" s="37"/>
    </row>
    <row r="565" spans="2:22" ht="15" thickBot="1" x14ac:dyDescent="0.35">
      <c r="B565" s="41">
        <v>257</v>
      </c>
      <c r="C565" s="35"/>
      <c r="D565" s="121">
        <f t="shared" ref="D565" si="1545">$N$30</f>
        <v>15.588640673015377</v>
      </c>
      <c r="E565" s="35"/>
      <c r="F565" s="121">
        <f t="shared" ref="F565" si="1546">($N$18/12)*J563</f>
        <v>1.7742816843375939</v>
      </c>
      <c r="G565" s="121"/>
      <c r="H565" s="121">
        <f t="shared" ref="H565" si="1547">D565-F565</f>
        <v>13.814358988677782</v>
      </c>
      <c r="I565" s="121"/>
      <c r="J565" s="121">
        <f t="shared" ref="J565" si="1548">J563-H565</f>
        <v>631.37898077044724</v>
      </c>
      <c r="K565" s="37"/>
      <c r="M565" s="41">
        <v>257</v>
      </c>
      <c r="N565" s="35"/>
      <c r="O565" s="121">
        <f t="shared" ref="O565" si="1549">$S$29</f>
        <v>16.137436987603884</v>
      </c>
      <c r="P565" s="121"/>
      <c r="Q565" s="121">
        <f t="shared" ref="Q565" si="1550">($S$18/12)*U563</f>
        <v>2.0957764348365853</v>
      </c>
      <c r="R565" s="121"/>
      <c r="S565" s="121">
        <f t="shared" ref="S565" si="1551">O565-Q565</f>
        <v>14.041660552767299</v>
      </c>
      <c r="T565" s="35"/>
      <c r="U565" s="121">
        <f t="shared" ref="U565" si="1552">U563-S565</f>
        <v>647.78247676404908</v>
      </c>
      <c r="V565" s="37"/>
    </row>
    <row r="566" spans="2:22" ht="15" thickBot="1" x14ac:dyDescent="0.35">
      <c r="B566" s="41"/>
      <c r="C566" s="35"/>
      <c r="D566" s="35"/>
      <c r="E566" s="35"/>
      <c r="F566" s="121"/>
      <c r="G566" s="121"/>
      <c r="H566" s="121"/>
      <c r="I566" s="121"/>
      <c r="J566" s="35"/>
      <c r="K566" s="37"/>
      <c r="M566" s="41"/>
      <c r="N566" s="35"/>
      <c r="O566" s="121"/>
      <c r="P566" s="121"/>
      <c r="Q566" s="121"/>
      <c r="R566" s="121"/>
      <c r="S566" s="35"/>
      <c r="T566" s="35"/>
      <c r="U566" s="35"/>
      <c r="V566" s="37"/>
    </row>
    <row r="567" spans="2:22" ht="15" thickBot="1" x14ac:dyDescent="0.35">
      <c r="B567" s="41">
        <v>258</v>
      </c>
      <c r="C567" s="35"/>
      <c r="D567" s="121">
        <f t="shared" ref="D567" si="1553">$N$30</f>
        <v>15.588640673015377</v>
      </c>
      <c r="E567" s="35"/>
      <c r="F567" s="121">
        <f t="shared" ref="F567" si="1554">($N$18/12)*J565</f>
        <v>1.7362921971187302</v>
      </c>
      <c r="G567" s="121"/>
      <c r="H567" s="121">
        <f t="shared" ref="H567" si="1555">D567-F567</f>
        <v>13.852348475896646</v>
      </c>
      <c r="I567" s="121"/>
      <c r="J567" s="121">
        <f t="shared" ref="J567" si="1556">J565-H567</f>
        <v>617.52663229455061</v>
      </c>
      <c r="K567" s="37"/>
      <c r="M567" s="41">
        <v>258</v>
      </c>
      <c r="N567" s="35"/>
      <c r="O567" s="121">
        <f t="shared" ref="O567" si="1557">$S$29</f>
        <v>16.137436987603884</v>
      </c>
      <c r="P567" s="121"/>
      <c r="Q567" s="121">
        <f t="shared" ref="Q567" si="1558">($S$18/12)*U565</f>
        <v>2.0513111764194889</v>
      </c>
      <c r="R567" s="121"/>
      <c r="S567" s="121">
        <f t="shared" ref="S567" si="1559">O567-Q567</f>
        <v>14.086125811184395</v>
      </c>
      <c r="T567" s="35"/>
      <c r="U567" s="121">
        <f t="shared" ref="U567" si="1560">U565-S567</f>
        <v>633.69635095286469</v>
      </c>
      <c r="V567" s="37"/>
    </row>
    <row r="568" spans="2:22" ht="15" thickBot="1" x14ac:dyDescent="0.35">
      <c r="B568" s="41"/>
      <c r="C568" s="35"/>
      <c r="D568" s="35"/>
      <c r="E568" s="35"/>
      <c r="F568" s="121"/>
      <c r="G568" s="121"/>
      <c r="H568" s="121"/>
      <c r="I568" s="121"/>
      <c r="J568" s="35"/>
      <c r="K568" s="37"/>
      <c r="M568" s="41"/>
      <c r="N568" s="35"/>
      <c r="O568" s="121"/>
      <c r="P568" s="121"/>
      <c r="Q568" s="121"/>
      <c r="R568" s="121"/>
      <c r="S568" s="35"/>
      <c r="T568" s="35"/>
      <c r="U568" s="35"/>
      <c r="V568" s="37"/>
    </row>
    <row r="569" spans="2:22" ht="15" thickBot="1" x14ac:dyDescent="0.35">
      <c r="B569" s="41">
        <v>259</v>
      </c>
      <c r="C569" s="35"/>
      <c r="D569" s="121">
        <f t="shared" ref="D569" si="1561">$N$30</f>
        <v>15.588640673015377</v>
      </c>
      <c r="E569" s="35"/>
      <c r="F569" s="121">
        <f t="shared" ref="F569" si="1562">($N$18/12)*J567</f>
        <v>1.6981982388100143</v>
      </c>
      <c r="G569" s="121"/>
      <c r="H569" s="121">
        <f t="shared" ref="H569" si="1563">D569-F569</f>
        <v>13.890442434205362</v>
      </c>
      <c r="I569" s="121"/>
      <c r="J569" s="121">
        <f t="shared" ref="J569" si="1564">J567-H569</f>
        <v>603.63618986034521</v>
      </c>
      <c r="K569" s="37"/>
      <c r="M569" s="41">
        <v>259</v>
      </c>
      <c r="N569" s="35"/>
      <c r="O569" s="121">
        <f t="shared" ref="O569" si="1565">$S$29</f>
        <v>16.137436987603884</v>
      </c>
      <c r="P569" s="121"/>
      <c r="Q569" s="121">
        <f t="shared" ref="Q569" si="1566">($S$18/12)*U567</f>
        <v>2.0067051113507381</v>
      </c>
      <c r="R569" s="121"/>
      <c r="S569" s="121">
        <f t="shared" ref="S569" si="1567">O569-Q569</f>
        <v>14.130731876253146</v>
      </c>
      <c r="T569" s="35"/>
      <c r="U569" s="121">
        <f t="shared" ref="U569" si="1568">U567-S569</f>
        <v>619.5656190766116</v>
      </c>
      <c r="V569" s="37"/>
    </row>
    <row r="570" spans="2:22" ht="15" thickBot="1" x14ac:dyDescent="0.35">
      <c r="B570" s="41"/>
      <c r="C570" s="35"/>
      <c r="D570" s="35"/>
      <c r="E570" s="35"/>
      <c r="F570" s="121"/>
      <c r="G570" s="121"/>
      <c r="H570" s="121"/>
      <c r="I570" s="121"/>
      <c r="J570" s="35"/>
      <c r="K570" s="37"/>
      <c r="M570" s="41"/>
      <c r="N570" s="35"/>
      <c r="O570" s="121"/>
      <c r="P570" s="121"/>
      <c r="Q570" s="121"/>
      <c r="R570" s="121"/>
      <c r="S570" s="35"/>
      <c r="T570" s="35"/>
      <c r="U570" s="35"/>
      <c r="V570" s="37"/>
    </row>
    <row r="571" spans="2:22" ht="15" thickBot="1" x14ac:dyDescent="0.35">
      <c r="B571" s="41">
        <v>260</v>
      </c>
      <c r="C571" s="35"/>
      <c r="D571" s="121">
        <f t="shared" ref="D571" si="1569">$N$30</f>
        <v>15.588640673015377</v>
      </c>
      <c r="E571" s="35"/>
      <c r="F571" s="121">
        <f t="shared" ref="F571" si="1570">($N$18/12)*J569</f>
        <v>1.6599995221159496</v>
      </c>
      <c r="G571" s="121"/>
      <c r="H571" s="121">
        <f t="shared" ref="H571" si="1571">D571-F571</f>
        <v>13.928641150899427</v>
      </c>
      <c r="I571" s="121"/>
      <c r="J571" s="121">
        <f t="shared" ref="J571" si="1572">J569-H571</f>
        <v>589.70754870944575</v>
      </c>
      <c r="K571" s="37"/>
      <c r="M571" s="41">
        <v>260</v>
      </c>
      <c r="N571" s="35"/>
      <c r="O571" s="121">
        <f t="shared" ref="O571" si="1573">$S$29</f>
        <v>16.137436987603884</v>
      </c>
      <c r="P571" s="121"/>
      <c r="Q571" s="121">
        <f t="shared" ref="Q571" si="1574">($S$18/12)*U569</f>
        <v>1.9619577937426034</v>
      </c>
      <c r="R571" s="121"/>
      <c r="S571" s="121">
        <f t="shared" ref="S571" si="1575">O571-Q571</f>
        <v>14.17547919386128</v>
      </c>
      <c r="T571" s="35"/>
      <c r="U571" s="121">
        <f t="shared" ref="U571" si="1576">U569-S571</f>
        <v>605.3901398827503</v>
      </c>
      <c r="V571" s="37"/>
    </row>
    <row r="572" spans="2:22" ht="15" thickBot="1" x14ac:dyDescent="0.35">
      <c r="B572" s="41"/>
      <c r="C572" s="35"/>
      <c r="D572" s="35"/>
      <c r="E572" s="35"/>
      <c r="F572" s="121"/>
      <c r="G572" s="121"/>
      <c r="H572" s="121"/>
      <c r="I572" s="121"/>
      <c r="J572" s="35"/>
      <c r="K572" s="37"/>
      <c r="M572" s="41"/>
      <c r="N572" s="35"/>
      <c r="O572" s="121"/>
      <c r="P572" s="121"/>
      <c r="Q572" s="121"/>
      <c r="R572" s="121"/>
      <c r="S572" s="35"/>
      <c r="T572" s="35"/>
      <c r="U572" s="35"/>
      <c r="V572" s="37"/>
    </row>
    <row r="573" spans="2:22" ht="15" thickBot="1" x14ac:dyDescent="0.35">
      <c r="B573" s="41">
        <v>261</v>
      </c>
      <c r="C573" s="35"/>
      <c r="D573" s="121">
        <f t="shared" ref="D573" si="1577">$N$30</f>
        <v>15.588640673015377</v>
      </c>
      <c r="E573" s="35"/>
      <c r="F573" s="121">
        <f t="shared" ref="F573" si="1578">($N$18/12)*J571</f>
        <v>1.621695758950976</v>
      </c>
      <c r="G573" s="121"/>
      <c r="H573" s="121">
        <f t="shared" ref="H573" si="1579">D573-F573</f>
        <v>13.966944914064401</v>
      </c>
      <c r="I573" s="121"/>
      <c r="J573" s="121">
        <f t="shared" ref="J573" si="1580">J571-H573</f>
        <v>575.74060379538139</v>
      </c>
      <c r="K573" s="37"/>
      <c r="M573" s="41">
        <v>261</v>
      </c>
      <c r="N573" s="35"/>
      <c r="O573" s="121">
        <f t="shared" ref="O573" si="1581">$S$29</f>
        <v>16.137436987603884</v>
      </c>
      <c r="P573" s="121"/>
      <c r="Q573" s="121">
        <f t="shared" ref="Q573" si="1582">($S$18/12)*U571</f>
        <v>1.917068776295376</v>
      </c>
      <c r="R573" s="121"/>
      <c r="S573" s="121">
        <f t="shared" ref="S573" si="1583">O573-Q573</f>
        <v>14.220368211308507</v>
      </c>
      <c r="T573" s="35"/>
      <c r="U573" s="121">
        <f t="shared" ref="U573" si="1584">U571-S573</f>
        <v>591.16977167144182</v>
      </c>
      <c r="V573" s="37"/>
    </row>
    <row r="574" spans="2:22" ht="15" thickBot="1" x14ac:dyDescent="0.35">
      <c r="B574" s="41"/>
      <c r="C574" s="35"/>
      <c r="D574" s="35"/>
      <c r="E574" s="35"/>
      <c r="F574" s="121"/>
      <c r="G574" s="121"/>
      <c r="H574" s="121"/>
      <c r="I574" s="121"/>
      <c r="J574" s="35"/>
      <c r="K574" s="37"/>
      <c r="M574" s="41"/>
      <c r="N574" s="35"/>
      <c r="O574" s="121"/>
      <c r="P574" s="121"/>
      <c r="Q574" s="121"/>
      <c r="R574" s="121"/>
      <c r="S574" s="35"/>
      <c r="T574" s="35"/>
      <c r="U574" s="35"/>
      <c r="V574" s="37"/>
    </row>
    <row r="575" spans="2:22" ht="15" thickBot="1" x14ac:dyDescent="0.35">
      <c r="B575" s="41">
        <v>262</v>
      </c>
      <c r="C575" s="35"/>
      <c r="D575" s="121">
        <f t="shared" ref="D575" si="1585">$N$30</f>
        <v>15.588640673015377</v>
      </c>
      <c r="E575" s="35"/>
      <c r="F575" s="121">
        <f t="shared" ref="F575" si="1586">($N$18/12)*J573</f>
        <v>1.583286660437299</v>
      </c>
      <c r="G575" s="121"/>
      <c r="H575" s="121">
        <f t="shared" ref="H575" si="1587">D575-F575</f>
        <v>14.005354012578078</v>
      </c>
      <c r="I575" s="121"/>
      <c r="J575" s="121">
        <f t="shared" ref="J575" si="1588">J573-H575</f>
        <v>561.73524978280329</v>
      </c>
      <c r="K575" s="37"/>
      <c r="M575" s="41">
        <v>262</v>
      </c>
      <c r="N575" s="35"/>
      <c r="O575" s="121">
        <f t="shared" ref="O575" si="1589">$S$29</f>
        <v>16.137436987603884</v>
      </c>
      <c r="P575" s="121"/>
      <c r="Q575" s="121">
        <f t="shared" ref="Q575" si="1590">($S$18/12)*U573</f>
        <v>1.8720376102928991</v>
      </c>
      <c r="R575" s="121"/>
      <c r="S575" s="121">
        <f t="shared" ref="S575" si="1591">O575-Q575</f>
        <v>14.265399377310985</v>
      </c>
      <c r="T575" s="35"/>
      <c r="U575" s="121">
        <f t="shared" ref="U575" si="1592">U573-S575</f>
        <v>576.90437229413078</v>
      </c>
      <c r="V575" s="37"/>
    </row>
    <row r="576" spans="2:22" ht="15" thickBot="1" x14ac:dyDescent="0.35">
      <c r="B576" s="41"/>
      <c r="C576" s="35"/>
      <c r="D576" s="35"/>
      <c r="E576" s="35"/>
      <c r="F576" s="121"/>
      <c r="G576" s="121"/>
      <c r="H576" s="121"/>
      <c r="I576" s="121"/>
      <c r="J576" s="35"/>
      <c r="K576" s="37"/>
      <c r="M576" s="41"/>
      <c r="N576" s="35"/>
      <c r="O576" s="121"/>
      <c r="P576" s="121"/>
      <c r="Q576" s="121"/>
      <c r="R576" s="121"/>
      <c r="S576" s="35"/>
      <c r="T576" s="35"/>
      <c r="U576" s="35"/>
      <c r="V576" s="37"/>
    </row>
    <row r="577" spans="2:22" ht="15" thickBot="1" x14ac:dyDescent="0.35">
      <c r="B577" s="41">
        <v>263</v>
      </c>
      <c r="C577" s="35"/>
      <c r="D577" s="121">
        <f t="shared" ref="D577" si="1593">$N$30</f>
        <v>15.588640673015377</v>
      </c>
      <c r="E577" s="35"/>
      <c r="F577" s="121">
        <f t="shared" ref="F577" si="1594">($N$18/12)*J575</f>
        <v>1.5447719369027093</v>
      </c>
      <c r="G577" s="121"/>
      <c r="H577" s="121">
        <f t="shared" ref="H577" si="1595">D577-F577</f>
        <v>14.043868736112668</v>
      </c>
      <c r="I577" s="121"/>
      <c r="J577" s="121">
        <f t="shared" ref="J577" si="1596">J575-H577</f>
        <v>547.69138104669059</v>
      </c>
      <c r="K577" s="37"/>
      <c r="M577" s="41">
        <v>263</v>
      </c>
      <c r="N577" s="35"/>
      <c r="O577" s="121">
        <f t="shared" ref="O577" si="1597">$S$29</f>
        <v>16.137436987603884</v>
      </c>
      <c r="P577" s="121"/>
      <c r="Q577" s="121">
        <f t="shared" ref="Q577" si="1598">($S$18/12)*U575</f>
        <v>1.8268638455980808</v>
      </c>
      <c r="R577" s="121"/>
      <c r="S577" s="121">
        <f t="shared" ref="S577" si="1599">O577-Q577</f>
        <v>14.310573142005804</v>
      </c>
      <c r="T577" s="35"/>
      <c r="U577" s="121">
        <f t="shared" ref="U577" si="1600">U575-S577</f>
        <v>562.59379915212503</v>
      </c>
      <c r="V577" s="37"/>
    </row>
    <row r="578" spans="2:22" ht="15" thickBot="1" x14ac:dyDescent="0.35">
      <c r="B578" s="41"/>
      <c r="C578" s="35"/>
      <c r="D578" s="35"/>
      <c r="E578" s="35"/>
      <c r="F578" s="121"/>
      <c r="G578" s="121"/>
      <c r="H578" s="121"/>
      <c r="I578" s="121"/>
      <c r="J578" s="35"/>
      <c r="K578" s="37"/>
      <c r="M578" s="41"/>
      <c r="N578" s="35"/>
      <c r="O578" s="121"/>
      <c r="P578" s="121"/>
      <c r="Q578" s="121"/>
      <c r="R578" s="121"/>
      <c r="S578" s="35"/>
      <c r="T578" s="35"/>
      <c r="U578" s="35"/>
      <c r="V578" s="37"/>
    </row>
    <row r="579" spans="2:22" ht="15" thickBot="1" x14ac:dyDescent="0.35">
      <c r="B579" s="41">
        <v>264</v>
      </c>
      <c r="C579" s="35"/>
      <c r="D579" s="121">
        <f t="shared" ref="D579" si="1601">$N$30</f>
        <v>15.588640673015377</v>
      </c>
      <c r="E579" s="35"/>
      <c r="F579" s="121">
        <f t="shared" ref="F579" si="1602">($N$18/12)*J577</f>
        <v>1.5061512978783993</v>
      </c>
      <c r="G579" s="121"/>
      <c r="H579" s="121">
        <f t="shared" ref="H579" si="1603">D579-F579</f>
        <v>14.082489375136976</v>
      </c>
      <c r="I579" s="121"/>
      <c r="J579" s="121">
        <f t="shared" ref="J579" si="1604">J577-H579</f>
        <v>533.60889167155358</v>
      </c>
      <c r="K579" s="37"/>
      <c r="M579" s="41">
        <v>264</v>
      </c>
      <c r="N579" s="35"/>
      <c r="O579" s="121">
        <f t="shared" ref="O579" si="1605">$S$29</f>
        <v>16.137436987603884</v>
      </c>
      <c r="P579" s="121"/>
      <c r="Q579" s="121">
        <f t="shared" ref="Q579" si="1606">($S$18/12)*U577</f>
        <v>1.7815470306483958</v>
      </c>
      <c r="R579" s="121"/>
      <c r="S579" s="121">
        <f t="shared" ref="S579" si="1607">O579-Q579</f>
        <v>14.355889956955489</v>
      </c>
      <c r="T579" s="35"/>
      <c r="U579" s="121">
        <f t="shared" ref="U579" si="1608">U577-S579</f>
        <v>548.23790919516955</v>
      </c>
      <c r="V579" s="37"/>
    </row>
    <row r="580" spans="2:22" ht="15" thickBot="1" x14ac:dyDescent="0.35">
      <c r="B580" s="41"/>
      <c r="C580" s="35"/>
      <c r="D580" s="35"/>
      <c r="E580" s="35"/>
      <c r="F580" s="121"/>
      <c r="G580" s="121"/>
      <c r="H580" s="121"/>
      <c r="I580" s="121"/>
      <c r="J580" s="35"/>
      <c r="K580" s="37"/>
      <c r="M580" s="41"/>
      <c r="N580" s="35"/>
      <c r="O580" s="121"/>
      <c r="P580" s="121"/>
      <c r="Q580" s="121"/>
      <c r="R580" s="121"/>
      <c r="S580" s="35"/>
      <c r="T580" s="35"/>
      <c r="U580" s="35"/>
      <c r="V580" s="37"/>
    </row>
    <row r="581" spans="2:22" ht="15" thickBot="1" x14ac:dyDescent="0.35">
      <c r="B581" s="41">
        <v>265</v>
      </c>
      <c r="C581" s="35"/>
      <c r="D581" s="121">
        <f t="shared" ref="D581" si="1609">$N$30</f>
        <v>15.588640673015377</v>
      </c>
      <c r="E581" s="35"/>
      <c r="F581" s="121">
        <f t="shared" ref="F581" si="1610">($N$18/12)*J579</f>
        <v>1.4674244520967725</v>
      </c>
      <c r="G581" s="121"/>
      <c r="H581" s="121">
        <f t="shared" ref="H581" si="1611">D581-F581</f>
        <v>14.121216220918605</v>
      </c>
      <c r="I581" s="121"/>
      <c r="J581" s="121">
        <f t="shared" ref="J581" si="1612">J579-H581</f>
        <v>519.48767545063492</v>
      </c>
      <c r="K581" s="37"/>
      <c r="M581" s="41">
        <v>265</v>
      </c>
      <c r="N581" s="35"/>
      <c r="O581" s="121">
        <f t="shared" ref="O581" si="1613">$S$29</f>
        <v>16.137436987603884</v>
      </c>
      <c r="P581" s="121"/>
      <c r="Q581" s="121">
        <f t="shared" ref="Q581" si="1614">($S$18/12)*U579</f>
        <v>1.7360867124513701</v>
      </c>
      <c r="R581" s="121"/>
      <c r="S581" s="121">
        <f t="shared" ref="S581" si="1615">O581-Q581</f>
        <v>14.401350275152513</v>
      </c>
      <c r="T581" s="35"/>
      <c r="U581" s="121">
        <f t="shared" ref="U581" si="1616">U579-S581</f>
        <v>533.83655892001707</v>
      </c>
      <c r="V581" s="37"/>
    </row>
    <row r="582" spans="2:22" ht="15" thickBot="1" x14ac:dyDescent="0.35">
      <c r="B582" s="41"/>
      <c r="C582" s="35"/>
      <c r="D582" s="35"/>
      <c r="E582" s="35"/>
      <c r="F582" s="121"/>
      <c r="G582" s="121"/>
      <c r="H582" s="121"/>
      <c r="I582" s="121"/>
      <c r="J582" s="35"/>
      <c r="K582" s="37"/>
      <c r="M582" s="41"/>
      <c r="N582" s="35"/>
      <c r="O582" s="121"/>
      <c r="P582" s="121"/>
      <c r="Q582" s="121"/>
      <c r="R582" s="121"/>
      <c r="S582" s="35"/>
      <c r="T582" s="35"/>
      <c r="U582" s="35"/>
      <c r="V582" s="37"/>
    </row>
    <row r="583" spans="2:22" ht="15" thickBot="1" x14ac:dyDescent="0.35">
      <c r="B583" s="41">
        <v>266</v>
      </c>
      <c r="C583" s="35"/>
      <c r="D583" s="121">
        <f t="shared" ref="D583" si="1617">$N$30</f>
        <v>15.588640673015377</v>
      </c>
      <c r="E583" s="35"/>
      <c r="F583" s="121">
        <f t="shared" ref="F583" si="1618">($N$18/12)*J581</f>
        <v>1.4285911074892461</v>
      </c>
      <c r="G583" s="121"/>
      <c r="H583" s="121">
        <f t="shared" ref="H583" si="1619">D583-F583</f>
        <v>14.16004956552613</v>
      </c>
      <c r="I583" s="121"/>
      <c r="J583" s="121">
        <f t="shared" ref="J583" si="1620">J581-H583</f>
        <v>505.32762588510877</v>
      </c>
      <c r="K583" s="37"/>
      <c r="M583" s="41">
        <v>266</v>
      </c>
      <c r="N583" s="35"/>
      <c r="O583" s="121">
        <f t="shared" ref="O583" si="1621">$S$29</f>
        <v>16.137436987603884</v>
      </c>
      <c r="P583" s="121"/>
      <c r="Q583" s="121">
        <f t="shared" ref="Q583" si="1622">($S$18/12)*U581</f>
        <v>1.6904824365800539</v>
      </c>
      <c r="R583" s="121"/>
      <c r="S583" s="121">
        <f t="shared" ref="S583" si="1623">O583-Q583</f>
        <v>14.446954551023831</v>
      </c>
      <c r="T583" s="35"/>
      <c r="U583" s="121">
        <f t="shared" ref="U583" si="1624">U581-S583</f>
        <v>519.38960436899322</v>
      </c>
      <c r="V583" s="37"/>
    </row>
    <row r="584" spans="2:22" ht="15" thickBot="1" x14ac:dyDescent="0.35">
      <c r="B584" s="41"/>
      <c r="C584" s="35"/>
      <c r="D584" s="35"/>
      <c r="E584" s="35"/>
      <c r="F584" s="121"/>
      <c r="G584" s="121"/>
      <c r="H584" s="121"/>
      <c r="I584" s="121"/>
      <c r="J584" s="35"/>
      <c r="K584" s="37"/>
      <c r="M584" s="41"/>
      <c r="N584" s="35"/>
      <c r="O584" s="121"/>
      <c r="P584" s="121"/>
      <c r="Q584" s="121"/>
      <c r="R584" s="121"/>
      <c r="S584" s="35"/>
      <c r="T584" s="35"/>
      <c r="U584" s="35"/>
      <c r="V584" s="37"/>
    </row>
    <row r="585" spans="2:22" ht="15" thickBot="1" x14ac:dyDescent="0.35">
      <c r="B585" s="41">
        <v>267</v>
      </c>
      <c r="C585" s="35"/>
      <c r="D585" s="121">
        <f t="shared" ref="D585" si="1625">$N$30</f>
        <v>15.588640673015377</v>
      </c>
      <c r="E585" s="35"/>
      <c r="F585" s="121">
        <f t="shared" ref="F585" si="1626">($N$18/12)*J583</f>
        <v>1.3896509711840492</v>
      </c>
      <c r="G585" s="121"/>
      <c r="H585" s="121">
        <f t="shared" ref="H585" si="1627">D585-F585</f>
        <v>14.198989701831326</v>
      </c>
      <c r="I585" s="121"/>
      <c r="J585" s="121">
        <f t="shared" ref="J585" si="1628">J583-H585</f>
        <v>491.12863618327742</v>
      </c>
      <c r="K585" s="37"/>
      <c r="M585" s="41">
        <v>267</v>
      </c>
      <c r="N585" s="35"/>
      <c r="O585" s="121">
        <f t="shared" ref="O585" si="1629">$S$29</f>
        <v>16.137436987603884</v>
      </c>
      <c r="P585" s="121"/>
      <c r="Q585" s="121">
        <f t="shared" ref="Q585" si="1630">($S$18/12)*U583</f>
        <v>1.6447337471684784</v>
      </c>
      <c r="R585" s="121"/>
      <c r="S585" s="121">
        <f t="shared" ref="S585" si="1631">O585-Q585</f>
        <v>14.492703240435405</v>
      </c>
      <c r="T585" s="35"/>
      <c r="U585" s="121">
        <f t="shared" ref="U585" si="1632">U583-S585</f>
        <v>504.89690112855783</v>
      </c>
      <c r="V585" s="37"/>
    </row>
    <row r="586" spans="2:22" ht="15" thickBot="1" x14ac:dyDescent="0.35">
      <c r="B586" s="41"/>
      <c r="C586" s="35"/>
      <c r="D586" s="35"/>
      <c r="E586" s="35"/>
      <c r="F586" s="121"/>
      <c r="G586" s="121"/>
      <c r="H586" s="121"/>
      <c r="I586" s="121"/>
      <c r="J586" s="35"/>
      <c r="K586" s="37"/>
      <c r="M586" s="41"/>
      <c r="N586" s="35"/>
      <c r="O586" s="121"/>
      <c r="P586" s="121"/>
      <c r="Q586" s="121"/>
      <c r="R586" s="121"/>
      <c r="S586" s="35"/>
      <c r="T586" s="35"/>
      <c r="U586" s="35"/>
      <c r="V586" s="37"/>
    </row>
    <row r="587" spans="2:22" ht="15" thickBot="1" x14ac:dyDescent="0.35">
      <c r="B587" s="41">
        <v>268</v>
      </c>
      <c r="C587" s="35"/>
      <c r="D587" s="121">
        <f t="shared" ref="D587" si="1633">$N$30</f>
        <v>15.588640673015377</v>
      </c>
      <c r="E587" s="35"/>
      <c r="F587" s="121">
        <f t="shared" ref="F587" si="1634">($N$18/12)*J585</f>
        <v>1.3506037495040131</v>
      </c>
      <c r="G587" s="121"/>
      <c r="H587" s="121">
        <f t="shared" ref="H587" si="1635">D587-F587</f>
        <v>14.238036923511363</v>
      </c>
      <c r="I587" s="121"/>
      <c r="J587" s="121">
        <f t="shared" ref="J587" si="1636">J585-H587</f>
        <v>476.89059925976608</v>
      </c>
      <c r="K587" s="37"/>
      <c r="M587" s="41">
        <v>268</v>
      </c>
      <c r="N587" s="35"/>
      <c r="O587" s="121">
        <f t="shared" ref="O587" si="1637">$S$29</f>
        <v>16.137436987603884</v>
      </c>
      <c r="P587" s="121"/>
      <c r="Q587" s="121">
        <f t="shared" ref="Q587" si="1638">($S$18/12)*U585</f>
        <v>1.5988401869070998</v>
      </c>
      <c r="R587" s="121"/>
      <c r="S587" s="121">
        <f t="shared" ref="S587" si="1639">O587-Q587</f>
        <v>14.538596800696784</v>
      </c>
      <c r="T587" s="35"/>
      <c r="U587" s="121">
        <f t="shared" ref="U587" si="1640">U585-S587</f>
        <v>490.35830432786105</v>
      </c>
      <c r="V587" s="37"/>
    </row>
    <row r="588" spans="2:22" ht="15" thickBot="1" x14ac:dyDescent="0.35">
      <c r="B588" s="41"/>
      <c r="C588" s="35"/>
      <c r="D588" s="35"/>
      <c r="E588" s="35"/>
      <c r="F588" s="121"/>
      <c r="G588" s="121"/>
      <c r="H588" s="121"/>
      <c r="I588" s="121"/>
      <c r="J588" s="35"/>
      <c r="K588" s="37"/>
      <c r="M588" s="41"/>
      <c r="N588" s="35"/>
      <c r="O588" s="121"/>
      <c r="P588" s="121"/>
      <c r="Q588" s="121"/>
      <c r="R588" s="121"/>
      <c r="S588" s="35"/>
      <c r="T588" s="35"/>
      <c r="U588" s="35"/>
      <c r="V588" s="37"/>
    </row>
    <row r="589" spans="2:22" ht="15" thickBot="1" x14ac:dyDescent="0.35">
      <c r="B589" s="41">
        <v>269</v>
      </c>
      <c r="C589" s="35"/>
      <c r="D589" s="121">
        <f t="shared" ref="D589" si="1641">$N$30</f>
        <v>15.588640673015377</v>
      </c>
      <c r="E589" s="35"/>
      <c r="F589" s="121">
        <f t="shared" ref="F589" si="1642">($N$18/12)*J587</f>
        <v>1.3114491479643569</v>
      </c>
      <c r="G589" s="121"/>
      <c r="H589" s="121">
        <f t="shared" ref="H589" si="1643">D589-F589</f>
        <v>14.27719152505102</v>
      </c>
      <c r="I589" s="121"/>
      <c r="J589" s="121">
        <f t="shared" ref="J589" si="1644">J587-H589</f>
        <v>462.61340773471505</v>
      </c>
      <c r="K589" s="37"/>
      <c r="M589" s="41">
        <v>269</v>
      </c>
      <c r="N589" s="35"/>
      <c r="O589" s="121">
        <f t="shared" ref="O589" si="1645">$S$29</f>
        <v>16.137436987603884</v>
      </c>
      <c r="P589" s="121"/>
      <c r="Q589" s="121">
        <f t="shared" ref="Q589" si="1646">($S$18/12)*U587</f>
        <v>1.5528012970382266</v>
      </c>
      <c r="R589" s="121"/>
      <c r="S589" s="121">
        <f t="shared" ref="S589" si="1647">O589-Q589</f>
        <v>14.584635690565658</v>
      </c>
      <c r="T589" s="35"/>
      <c r="U589" s="121">
        <f t="shared" ref="U589" si="1648">U587-S589</f>
        <v>475.77366863729537</v>
      </c>
      <c r="V589" s="37"/>
    </row>
    <row r="590" spans="2:22" ht="15" thickBot="1" x14ac:dyDescent="0.35">
      <c r="B590" s="41"/>
      <c r="C590" s="35"/>
      <c r="D590" s="35"/>
      <c r="E590" s="35"/>
      <c r="F590" s="121"/>
      <c r="G590" s="121"/>
      <c r="H590" s="121"/>
      <c r="I590" s="121"/>
      <c r="J590" s="35"/>
      <c r="K590" s="37"/>
      <c r="M590" s="41"/>
      <c r="N590" s="35"/>
      <c r="O590" s="121"/>
      <c r="P590" s="121"/>
      <c r="Q590" s="121"/>
      <c r="R590" s="121"/>
      <c r="S590" s="35"/>
      <c r="T590" s="35"/>
      <c r="U590" s="35"/>
      <c r="V590" s="37"/>
    </row>
    <row r="591" spans="2:22" ht="15" thickBot="1" x14ac:dyDescent="0.35">
      <c r="B591" s="41">
        <v>270</v>
      </c>
      <c r="C591" s="35"/>
      <c r="D591" s="121">
        <f t="shared" ref="D591" si="1649">$N$30</f>
        <v>15.588640673015377</v>
      </c>
      <c r="E591" s="35"/>
      <c r="F591" s="121">
        <f t="shared" ref="F591" si="1650">($N$18/12)*J589</f>
        <v>1.2721868712704665</v>
      </c>
      <c r="G591" s="121"/>
      <c r="H591" s="121">
        <f t="shared" ref="H591" si="1651">D591-F591</f>
        <v>14.31645380174491</v>
      </c>
      <c r="I591" s="121"/>
      <c r="J591" s="121">
        <f t="shared" ref="J591" si="1652">J589-H591</f>
        <v>448.29695393297015</v>
      </c>
      <c r="K591" s="37"/>
      <c r="M591" s="41">
        <v>270</v>
      </c>
      <c r="N591" s="35"/>
      <c r="O591" s="121">
        <f t="shared" ref="O591" si="1653">$S$29</f>
        <v>16.137436987603884</v>
      </c>
      <c r="P591" s="121"/>
      <c r="Q591" s="121">
        <f t="shared" ref="Q591" si="1654">($S$18/12)*U589</f>
        <v>1.5066166173514353</v>
      </c>
      <c r="R591" s="121"/>
      <c r="S591" s="121">
        <f t="shared" ref="S591" si="1655">O591-Q591</f>
        <v>14.630820370252449</v>
      </c>
      <c r="T591" s="35"/>
      <c r="U591" s="121">
        <f t="shared" ref="U591" si="1656">U589-S591</f>
        <v>461.14284826704295</v>
      </c>
      <c r="V591" s="37"/>
    </row>
    <row r="592" spans="2:22" ht="15" thickBot="1" x14ac:dyDescent="0.35">
      <c r="B592" s="41"/>
      <c r="C592" s="35"/>
      <c r="D592" s="35"/>
      <c r="E592" s="35"/>
      <c r="F592" s="121"/>
      <c r="G592" s="121"/>
      <c r="H592" s="121"/>
      <c r="I592" s="121"/>
      <c r="J592" s="35"/>
      <c r="K592" s="37"/>
      <c r="M592" s="41"/>
      <c r="N592" s="35"/>
      <c r="O592" s="121"/>
      <c r="P592" s="121"/>
      <c r="Q592" s="121"/>
      <c r="R592" s="121"/>
      <c r="S592" s="35"/>
      <c r="T592" s="35"/>
      <c r="U592" s="35"/>
      <c r="V592" s="37"/>
    </row>
    <row r="593" spans="2:22" ht="15" thickBot="1" x14ac:dyDescent="0.35">
      <c r="B593" s="41">
        <v>271</v>
      </c>
      <c r="C593" s="35"/>
      <c r="D593" s="121">
        <f t="shared" ref="D593" si="1657">$N$30</f>
        <v>15.588640673015377</v>
      </c>
      <c r="E593" s="35"/>
      <c r="F593" s="121">
        <f t="shared" ref="F593" si="1658">($N$18/12)*J591</f>
        <v>1.2328166233156681</v>
      </c>
      <c r="G593" s="121"/>
      <c r="H593" s="121">
        <f t="shared" ref="H593" si="1659">D593-F593</f>
        <v>14.355824049699709</v>
      </c>
      <c r="I593" s="121"/>
      <c r="J593" s="121">
        <f t="shared" ref="J593" si="1660">J591-H593</f>
        <v>433.94112988327043</v>
      </c>
      <c r="K593" s="37"/>
      <c r="M593" s="41">
        <v>271</v>
      </c>
      <c r="N593" s="35"/>
      <c r="O593" s="121">
        <f t="shared" ref="O593" si="1661">$S$29</f>
        <v>16.137436987603884</v>
      </c>
      <c r="P593" s="121"/>
      <c r="Q593" s="121">
        <f t="shared" ref="Q593" si="1662">($S$18/12)*U591</f>
        <v>1.4602856861789693</v>
      </c>
      <c r="R593" s="121"/>
      <c r="S593" s="121">
        <f t="shared" ref="S593" si="1663">O593-Q593</f>
        <v>14.677151301424916</v>
      </c>
      <c r="T593" s="35"/>
      <c r="U593" s="121">
        <f t="shared" ref="U593" si="1664">U591-S593</f>
        <v>446.46569696561801</v>
      </c>
      <c r="V593" s="37"/>
    </row>
    <row r="594" spans="2:22" ht="15" thickBot="1" x14ac:dyDescent="0.35">
      <c r="B594" s="41"/>
      <c r="C594" s="35"/>
      <c r="D594" s="35"/>
      <c r="E594" s="35"/>
      <c r="F594" s="121"/>
      <c r="G594" s="121"/>
      <c r="H594" s="121"/>
      <c r="I594" s="121"/>
      <c r="J594" s="35"/>
      <c r="K594" s="37"/>
      <c r="M594" s="41"/>
      <c r="N594" s="35"/>
      <c r="O594" s="121"/>
      <c r="P594" s="121"/>
      <c r="Q594" s="121"/>
      <c r="R594" s="121"/>
      <c r="S594" s="35"/>
      <c r="T594" s="35"/>
      <c r="U594" s="35"/>
      <c r="V594" s="37"/>
    </row>
    <row r="595" spans="2:22" ht="15" thickBot="1" x14ac:dyDescent="0.35">
      <c r="B595" s="41">
        <v>272</v>
      </c>
      <c r="C595" s="35"/>
      <c r="D595" s="121">
        <f t="shared" ref="D595" si="1665">$N$30</f>
        <v>15.588640673015377</v>
      </c>
      <c r="E595" s="35"/>
      <c r="F595" s="121">
        <f t="shared" ref="F595" si="1666">($N$18/12)*J593</f>
        <v>1.1933381071789939</v>
      </c>
      <c r="G595" s="121"/>
      <c r="H595" s="121">
        <f t="shared" ref="H595" si="1667">D595-F595</f>
        <v>14.395302565836383</v>
      </c>
      <c r="I595" s="121"/>
      <c r="J595" s="121">
        <f t="shared" ref="J595" si="1668">J593-H595</f>
        <v>419.54582731743403</v>
      </c>
      <c r="K595" s="37"/>
      <c r="M595" s="41">
        <v>272</v>
      </c>
      <c r="N595" s="35"/>
      <c r="O595" s="121">
        <f t="shared" ref="O595" si="1669">$S$29</f>
        <v>16.137436987603884</v>
      </c>
      <c r="P595" s="121"/>
      <c r="Q595" s="121">
        <f t="shared" ref="Q595" si="1670">($S$18/12)*U593</f>
        <v>1.4138080403911237</v>
      </c>
      <c r="R595" s="121"/>
      <c r="S595" s="121">
        <f t="shared" ref="S595" si="1671">O595-Q595</f>
        <v>14.723628947212759</v>
      </c>
      <c r="T595" s="35"/>
      <c r="U595" s="121">
        <f t="shared" ref="U595" si="1672">U593-S595</f>
        <v>431.74206801840523</v>
      </c>
      <c r="V595" s="37"/>
    </row>
    <row r="596" spans="2:22" ht="15" thickBot="1" x14ac:dyDescent="0.35">
      <c r="B596" s="41"/>
      <c r="C596" s="35"/>
      <c r="D596" s="35"/>
      <c r="E596" s="35"/>
      <c r="F596" s="121"/>
      <c r="G596" s="121"/>
      <c r="H596" s="121"/>
      <c r="I596" s="121"/>
      <c r="J596" s="35"/>
      <c r="K596" s="37"/>
      <c r="M596" s="41"/>
      <c r="N596" s="35"/>
      <c r="O596" s="121"/>
      <c r="P596" s="121"/>
      <c r="Q596" s="121"/>
      <c r="R596" s="121"/>
      <c r="S596" s="35"/>
      <c r="T596" s="35"/>
      <c r="U596" s="35"/>
      <c r="V596" s="37"/>
    </row>
    <row r="597" spans="2:22" ht="15" thickBot="1" x14ac:dyDescent="0.35">
      <c r="B597" s="41">
        <v>273</v>
      </c>
      <c r="C597" s="35"/>
      <c r="D597" s="121">
        <f t="shared" ref="D597" si="1673">$N$30</f>
        <v>15.588640673015377</v>
      </c>
      <c r="E597" s="35"/>
      <c r="F597" s="121">
        <f t="shared" ref="F597" si="1674">($N$18/12)*J595</f>
        <v>1.1537510251229437</v>
      </c>
      <c r="G597" s="121"/>
      <c r="H597" s="121">
        <f t="shared" ref="H597" si="1675">D597-F597</f>
        <v>14.434889647892433</v>
      </c>
      <c r="I597" s="121"/>
      <c r="J597" s="121">
        <f t="shared" ref="J597" si="1676">J595-H597</f>
        <v>405.11093766954161</v>
      </c>
      <c r="K597" s="37"/>
      <c r="M597" s="41">
        <v>273</v>
      </c>
      <c r="N597" s="35"/>
      <c r="O597" s="121">
        <f t="shared" ref="O597" si="1677">$S$29</f>
        <v>16.137436987603884</v>
      </c>
      <c r="P597" s="121"/>
      <c r="Q597" s="121">
        <f t="shared" ref="Q597" si="1678">($S$18/12)*U595</f>
        <v>1.3671832153916166</v>
      </c>
      <c r="R597" s="121"/>
      <c r="S597" s="121">
        <f t="shared" ref="S597" si="1679">O597-Q597</f>
        <v>14.770253772212268</v>
      </c>
      <c r="T597" s="35"/>
      <c r="U597" s="121">
        <f t="shared" ref="U597" si="1680">U595-S597</f>
        <v>416.97181424619299</v>
      </c>
      <c r="V597" s="37"/>
    </row>
    <row r="598" spans="2:22" ht="15" thickBot="1" x14ac:dyDescent="0.35">
      <c r="B598" s="41"/>
      <c r="C598" s="35"/>
      <c r="D598" s="35"/>
      <c r="E598" s="35"/>
      <c r="F598" s="121"/>
      <c r="G598" s="121"/>
      <c r="H598" s="121"/>
      <c r="I598" s="121"/>
      <c r="J598" s="35"/>
      <c r="K598" s="37"/>
      <c r="M598" s="41"/>
      <c r="N598" s="35"/>
      <c r="O598" s="121"/>
      <c r="P598" s="121"/>
      <c r="Q598" s="121"/>
      <c r="R598" s="121"/>
      <c r="S598" s="35"/>
      <c r="T598" s="35"/>
      <c r="U598" s="35"/>
      <c r="V598" s="37"/>
    </row>
    <row r="599" spans="2:22" ht="15" thickBot="1" x14ac:dyDescent="0.35">
      <c r="B599" s="41">
        <v>274</v>
      </c>
      <c r="C599" s="35"/>
      <c r="D599" s="121">
        <f t="shared" ref="D599" si="1681">$N$30</f>
        <v>15.588640673015377</v>
      </c>
      <c r="E599" s="35"/>
      <c r="F599" s="121">
        <f t="shared" ref="F599" si="1682">($N$18/12)*J597</f>
        <v>1.1140550785912395</v>
      </c>
      <c r="G599" s="121"/>
      <c r="H599" s="121">
        <f t="shared" ref="H599" si="1683">D599-F599</f>
        <v>14.474585594424138</v>
      </c>
      <c r="I599" s="121"/>
      <c r="J599" s="121">
        <f t="shared" ref="J599" si="1684">J597-H599</f>
        <v>390.63635207511749</v>
      </c>
      <c r="K599" s="37"/>
      <c r="M599" s="41">
        <v>274</v>
      </c>
      <c r="N599" s="35"/>
      <c r="O599" s="121">
        <f t="shared" ref="O599" si="1685">$S$29</f>
        <v>16.137436987603884</v>
      </c>
      <c r="P599" s="121"/>
      <c r="Q599" s="121">
        <f t="shared" ref="Q599" si="1686">($S$18/12)*U597</f>
        <v>1.3204107451129445</v>
      </c>
      <c r="R599" s="121"/>
      <c r="S599" s="121">
        <f t="shared" ref="S599" si="1687">O599-Q599</f>
        <v>14.81702624249094</v>
      </c>
      <c r="T599" s="35"/>
      <c r="U599" s="121">
        <f t="shared" ref="U599" si="1688">U597-S599</f>
        <v>402.15478800370204</v>
      </c>
      <c r="V599" s="37"/>
    </row>
    <row r="600" spans="2:22" ht="15" thickBot="1" x14ac:dyDescent="0.35">
      <c r="B600" s="41"/>
      <c r="C600" s="35"/>
      <c r="D600" s="35"/>
      <c r="E600" s="35"/>
      <c r="F600" s="121"/>
      <c r="G600" s="121"/>
      <c r="H600" s="121"/>
      <c r="I600" s="121"/>
      <c r="J600" s="35"/>
      <c r="K600" s="37"/>
      <c r="M600" s="41"/>
      <c r="N600" s="35"/>
      <c r="O600" s="121"/>
      <c r="P600" s="121"/>
      <c r="Q600" s="121"/>
      <c r="R600" s="121"/>
      <c r="S600" s="35"/>
      <c r="T600" s="35"/>
      <c r="U600" s="35"/>
      <c r="V600" s="37"/>
    </row>
    <row r="601" spans="2:22" ht="15" thickBot="1" x14ac:dyDescent="0.35">
      <c r="B601" s="41">
        <v>275</v>
      </c>
      <c r="C601" s="35"/>
      <c r="D601" s="121">
        <f t="shared" ref="D601" si="1689">$N$30</f>
        <v>15.588640673015377</v>
      </c>
      <c r="E601" s="35"/>
      <c r="F601" s="121">
        <f t="shared" ref="F601" si="1690">($N$18/12)*J599</f>
        <v>1.0742499682065731</v>
      </c>
      <c r="G601" s="121"/>
      <c r="H601" s="121">
        <f t="shared" ref="H601" si="1691">D601-F601</f>
        <v>14.514390704808804</v>
      </c>
      <c r="I601" s="121"/>
      <c r="J601" s="121">
        <f t="shared" ref="J601" si="1692">J599-H601</f>
        <v>376.12196137030867</v>
      </c>
      <c r="K601" s="37"/>
      <c r="M601" s="41">
        <v>275</v>
      </c>
      <c r="N601" s="35"/>
      <c r="O601" s="121">
        <f t="shared" ref="O601" si="1693">$S$29</f>
        <v>16.137436987603884</v>
      </c>
      <c r="P601" s="121"/>
      <c r="Q601" s="121">
        <f t="shared" ref="Q601" si="1694">($S$18/12)*U599</f>
        <v>1.2734901620117232</v>
      </c>
      <c r="R601" s="121"/>
      <c r="S601" s="121">
        <f t="shared" ref="S601" si="1695">O601-Q601</f>
        <v>14.86394682559216</v>
      </c>
      <c r="T601" s="35"/>
      <c r="U601" s="121">
        <f t="shared" ref="U601" si="1696">U599-S601</f>
        <v>387.29084117810987</v>
      </c>
      <c r="V601" s="37"/>
    </row>
    <row r="602" spans="2:22" ht="15" thickBot="1" x14ac:dyDescent="0.35">
      <c r="B602" s="41"/>
      <c r="C602" s="35"/>
      <c r="D602" s="35"/>
      <c r="E602" s="35"/>
      <c r="F602" s="121"/>
      <c r="G602" s="121"/>
      <c r="H602" s="121"/>
      <c r="I602" s="121"/>
      <c r="J602" s="35"/>
      <c r="K602" s="37"/>
      <c r="M602" s="41"/>
      <c r="N602" s="35"/>
      <c r="O602" s="121"/>
      <c r="P602" s="121"/>
      <c r="Q602" s="121"/>
      <c r="R602" s="121"/>
      <c r="S602" s="35"/>
      <c r="T602" s="35"/>
      <c r="U602" s="35"/>
      <c r="V602" s="37"/>
    </row>
    <row r="603" spans="2:22" ht="15" thickBot="1" x14ac:dyDescent="0.35">
      <c r="B603" s="41">
        <v>276</v>
      </c>
      <c r="C603" s="35"/>
      <c r="D603" s="121">
        <f t="shared" ref="D603" si="1697">$N$30</f>
        <v>15.588640673015377</v>
      </c>
      <c r="E603" s="35"/>
      <c r="F603" s="121">
        <f t="shared" ref="F603" si="1698">($N$18/12)*J601</f>
        <v>1.034335393768349</v>
      </c>
      <c r="G603" s="121"/>
      <c r="H603" s="121">
        <f t="shared" ref="H603" si="1699">D603-F603</f>
        <v>14.554305279247028</v>
      </c>
      <c r="I603" s="121"/>
      <c r="J603" s="121">
        <f t="shared" ref="J603" si="1700">J601-H603</f>
        <v>361.56765609106162</v>
      </c>
      <c r="K603" s="37"/>
      <c r="M603" s="41">
        <v>276</v>
      </c>
      <c r="N603" s="35"/>
      <c r="O603" s="121">
        <f t="shared" ref="O603" si="1701">$S$29</f>
        <v>16.137436987603884</v>
      </c>
      <c r="P603" s="121"/>
      <c r="Q603" s="121">
        <f t="shared" ref="Q603" si="1702">($S$18/12)*U601</f>
        <v>1.2264209970640145</v>
      </c>
      <c r="R603" s="121"/>
      <c r="S603" s="121">
        <f t="shared" ref="S603" si="1703">O603-Q603</f>
        <v>14.91101599053987</v>
      </c>
      <c r="T603" s="35"/>
      <c r="U603" s="121">
        <f t="shared" ref="U603" si="1704">U601-S603</f>
        <v>372.37982518757002</v>
      </c>
      <c r="V603" s="37"/>
    </row>
    <row r="604" spans="2:22" ht="15" thickBot="1" x14ac:dyDescent="0.35">
      <c r="B604" s="41"/>
      <c r="C604" s="35"/>
      <c r="D604" s="35"/>
      <c r="E604" s="35"/>
      <c r="F604" s="121"/>
      <c r="G604" s="121"/>
      <c r="H604" s="121"/>
      <c r="I604" s="121"/>
      <c r="J604" s="35"/>
      <c r="K604" s="37"/>
      <c r="M604" s="41"/>
      <c r="N604" s="35"/>
      <c r="O604" s="121"/>
      <c r="P604" s="121"/>
      <c r="Q604" s="121"/>
      <c r="R604" s="121"/>
      <c r="S604" s="35"/>
      <c r="T604" s="35"/>
      <c r="U604" s="35"/>
      <c r="V604" s="37"/>
    </row>
    <row r="605" spans="2:22" ht="15" thickBot="1" x14ac:dyDescent="0.35">
      <c r="B605" s="41">
        <v>277</v>
      </c>
      <c r="C605" s="35"/>
      <c r="D605" s="121">
        <f t="shared" ref="D605" si="1705">$N$30</f>
        <v>15.588640673015377</v>
      </c>
      <c r="E605" s="35"/>
      <c r="F605" s="121">
        <f t="shared" ref="F605" si="1706">($N$18/12)*J603</f>
        <v>0.99431105425041955</v>
      </c>
      <c r="G605" s="121"/>
      <c r="H605" s="121">
        <f t="shared" ref="H605" si="1707">D605-F605</f>
        <v>14.594329618764958</v>
      </c>
      <c r="I605" s="121"/>
      <c r="J605" s="121">
        <f t="shared" ref="J605" si="1708">J603-H605</f>
        <v>346.97332647229666</v>
      </c>
      <c r="K605" s="37"/>
      <c r="M605" s="41">
        <v>277</v>
      </c>
      <c r="N605" s="35"/>
      <c r="O605" s="121">
        <f t="shared" ref="O605" si="1709">$S$29</f>
        <v>16.137436987603884</v>
      </c>
      <c r="P605" s="121"/>
      <c r="Q605" s="121">
        <f t="shared" ref="Q605" si="1710">($S$18/12)*U603</f>
        <v>1.1792027797606384</v>
      </c>
      <c r="R605" s="121"/>
      <c r="S605" s="121">
        <f t="shared" ref="S605" si="1711">O605-Q605</f>
        <v>14.958234207843246</v>
      </c>
      <c r="T605" s="35"/>
      <c r="U605" s="121">
        <f t="shared" ref="U605" si="1712">U603-S605</f>
        <v>357.42159097972677</v>
      </c>
      <c r="V605" s="37"/>
    </row>
    <row r="606" spans="2:22" ht="15" thickBot="1" x14ac:dyDescent="0.35">
      <c r="B606" s="41"/>
      <c r="C606" s="35"/>
      <c r="D606" s="35"/>
      <c r="E606" s="35"/>
      <c r="F606" s="121"/>
      <c r="G606" s="121"/>
      <c r="H606" s="121"/>
      <c r="I606" s="121"/>
      <c r="J606" s="35"/>
      <c r="K606" s="37"/>
      <c r="M606" s="41"/>
      <c r="N606" s="35"/>
      <c r="O606" s="121"/>
      <c r="P606" s="121"/>
      <c r="Q606" s="121"/>
      <c r="R606" s="121"/>
      <c r="S606" s="35"/>
      <c r="T606" s="35"/>
      <c r="U606" s="35"/>
      <c r="V606" s="37"/>
    </row>
    <row r="607" spans="2:22" ht="15" thickBot="1" x14ac:dyDescent="0.35">
      <c r="B607" s="41">
        <v>278</v>
      </c>
      <c r="C607" s="35"/>
      <c r="D607" s="121">
        <f t="shared" ref="D607" si="1713">$N$30</f>
        <v>15.588640673015377</v>
      </c>
      <c r="E607" s="35"/>
      <c r="F607" s="121">
        <f t="shared" ref="F607" si="1714">($N$18/12)*J605</f>
        <v>0.95417664779881595</v>
      </c>
      <c r="G607" s="121"/>
      <c r="H607" s="121">
        <f t="shared" ref="H607" si="1715">D607-F607</f>
        <v>14.634464025216561</v>
      </c>
      <c r="I607" s="121"/>
      <c r="J607" s="121">
        <f t="shared" ref="J607" si="1716">J605-H607</f>
        <v>332.33886244708009</v>
      </c>
      <c r="K607" s="37"/>
      <c r="M607" s="41">
        <v>278</v>
      </c>
      <c r="N607" s="35"/>
      <c r="O607" s="121">
        <f t="shared" ref="O607" si="1717">$S$29</f>
        <v>16.137436987603884</v>
      </c>
      <c r="P607" s="121"/>
      <c r="Q607" s="121">
        <f t="shared" ref="Q607" si="1718">($S$18/12)*U605</f>
        <v>1.131835038102468</v>
      </c>
      <c r="R607" s="121"/>
      <c r="S607" s="121">
        <f t="shared" ref="S607" si="1719">O607-Q607</f>
        <v>15.005601949501417</v>
      </c>
      <c r="T607" s="35"/>
      <c r="U607" s="121">
        <f t="shared" ref="U607" si="1720">U605-S607</f>
        <v>342.41598903022538</v>
      </c>
      <c r="V607" s="37"/>
    </row>
    <row r="608" spans="2:22" ht="15" thickBot="1" x14ac:dyDescent="0.35">
      <c r="B608" s="41"/>
      <c r="C608" s="35"/>
      <c r="D608" s="35"/>
      <c r="E608" s="35"/>
      <c r="F608" s="121"/>
      <c r="G608" s="121"/>
      <c r="H608" s="121"/>
      <c r="I608" s="121"/>
      <c r="J608" s="35"/>
      <c r="K608" s="37"/>
      <c r="M608" s="41"/>
      <c r="N608" s="35"/>
      <c r="O608" s="121"/>
      <c r="P608" s="121"/>
      <c r="Q608" s="121"/>
      <c r="R608" s="121"/>
      <c r="S608" s="35"/>
      <c r="T608" s="35"/>
      <c r="U608" s="35"/>
      <c r="V608" s="37"/>
    </row>
    <row r="609" spans="2:22" ht="15" thickBot="1" x14ac:dyDescent="0.35">
      <c r="B609" s="41">
        <v>279</v>
      </c>
      <c r="C609" s="35"/>
      <c r="D609" s="121">
        <f t="shared" ref="D609" si="1721">$N$30</f>
        <v>15.588640673015377</v>
      </c>
      <c r="E609" s="35"/>
      <c r="F609" s="121">
        <f t="shared" ref="F609" si="1722">($N$18/12)*J607</f>
        <v>0.91393187172947032</v>
      </c>
      <c r="G609" s="121"/>
      <c r="H609" s="121">
        <f t="shared" ref="H609" si="1723">D609-F609</f>
        <v>14.674708801285906</v>
      </c>
      <c r="I609" s="121"/>
      <c r="J609" s="121">
        <f t="shared" ref="J609" si="1724">J607-H609</f>
        <v>317.66415364579416</v>
      </c>
      <c r="K609" s="37"/>
      <c r="M609" s="41">
        <v>279</v>
      </c>
      <c r="N609" s="35"/>
      <c r="O609" s="121">
        <f t="shared" ref="O609" si="1725">$S$29</f>
        <v>16.137436987603884</v>
      </c>
      <c r="P609" s="121"/>
      <c r="Q609" s="121">
        <f t="shared" ref="Q609" si="1726">($S$18/12)*U607</f>
        <v>1.0843172985957137</v>
      </c>
      <c r="R609" s="121"/>
      <c r="S609" s="121">
        <f t="shared" ref="S609" si="1727">O609-Q609</f>
        <v>15.05311968900817</v>
      </c>
      <c r="T609" s="35"/>
      <c r="U609" s="121">
        <f t="shared" ref="U609" si="1728">U607-S609</f>
        <v>327.36286934121722</v>
      </c>
      <c r="V609" s="37"/>
    </row>
    <row r="610" spans="2:22" ht="15" thickBot="1" x14ac:dyDescent="0.35">
      <c r="B610" s="41"/>
      <c r="C610" s="35"/>
      <c r="D610" s="35"/>
      <c r="E610" s="35"/>
      <c r="F610" s="121"/>
      <c r="G610" s="121"/>
      <c r="H610" s="121"/>
      <c r="I610" s="121"/>
      <c r="J610" s="35"/>
      <c r="K610" s="37"/>
      <c r="M610" s="41"/>
      <c r="N610" s="35"/>
      <c r="O610" s="121"/>
      <c r="P610" s="121"/>
      <c r="Q610" s="121"/>
      <c r="R610" s="121"/>
      <c r="S610" s="35"/>
      <c r="T610" s="35"/>
      <c r="U610" s="35"/>
      <c r="V610" s="37"/>
    </row>
    <row r="611" spans="2:22" ht="15" thickBot="1" x14ac:dyDescent="0.35">
      <c r="B611" s="41">
        <v>280</v>
      </c>
      <c r="C611" s="35"/>
      <c r="D611" s="121">
        <f t="shared" ref="D611" si="1729">$N$30</f>
        <v>15.588640673015377</v>
      </c>
      <c r="E611" s="35"/>
      <c r="F611" s="121">
        <f t="shared" ref="F611" si="1730">($N$18/12)*J609</f>
        <v>0.87357642252593404</v>
      </c>
      <c r="G611" s="121"/>
      <c r="H611" s="121">
        <f t="shared" ref="H611" si="1731">D611-F611</f>
        <v>14.715064250489442</v>
      </c>
      <c r="I611" s="121"/>
      <c r="J611" s="121">
        <f t="shared" ref="J611" si="1732">J609-H611</f>
        <v>302.94908939530472</v>
      </c>
      <c r="K611" s="37"/>
      <c r="M611" s="41">
        <v>280</v>
      </c>
      <c r="N611" s="35"/>
      <c r="O611" s="121">
        <f t="shared" ref="O611" si="1733">$S$29</f>
        <v>16.137436987603884</v>
      </c>
      <c r="P611" s="121"/>
      <c r="Q611" s="121">
        <f t="shared" ref="Q611" si="1734">($S$18/12)*U609</f>
        <v>1.0366490862471878</v>
      </c>
      <c r="R611" s="121"/>
      <c r="S611" s="121">
        <f t="shared" ref="S611" si="1735">O611-Q611</f>
        <v>15.100787901356696</v>
      </c>
      <c r="T611" s="35"/>
      <c r="U611" s="121">
        <f t="shared" ref="U611" si="1736">U609-S611</f>
        <v>312.26208143986054</v>
      </c>
      <c r="V611" s="37"/>
    </row>
    <row r="612" spans="2:22" ht="15" thickBot="1" x14ac:dyDescent="0.35">
      <c r="B612" s="41"/>
      <c r="C612" s="35"/>
      <c r="D612" s="35"/>
      <c r="E612" s="35"/>
      <c r="F612" s="121"/>
      <c r="G612" s="121"/>
      <c r="H612" s="121"/>
      <c r="I612" s="121"/>
      <c r="J612" s="35"/>
      <c r="K612" s="37"/>
      <c r="M612" s="41"/>
      <c r="N612" s="35"/>
      <c r="O612" s="121"/>
      <c r="P612" s="121"/>
      <c r="Q612" s="121"/>
      <c r="R612" s="121"/>
      <c r="S612" s="35"/>
      <c r="T612" s="35"/>
      <c r="U612" s="35"/>
      <c r="V612" s="37"/>
    </row>
    <row r="613" spans="2:22" ht="15" thickBot="1" x14ac:dyDescent="0.35">
      <c r="B613" s="41">
        <v>281</v>
      </c>
      <c r="C613" s="35"/>
      <c r="D613" s="121">
        <f t="shared" ref="D613" si="1737">$N$30</f>
        <v>15.588640673015377</v>
      </c>
      <c r="E613" s="35"/>
      <c r="F613" s="121">
        <f t="shared" ref="F613" si="1738">($N$18/12)*J611</f>
        <v>0.83310999583708811</v>
      </c>
      <c r="G613" s="121"/>
      <c r="H613" s="121">
        <f t="shared" ref="H613" si="1739">D613-F613</f>
        <v>14.755530677178289</v>
      </c>
      <c r="I613" s="121"/>
      <c r="J613" s="121">
        <f t="shared" ref="J613" si="1740">J611-H613</f>
        <v>288.19355871812644</v>
      </c>
      <c r="K613" s="37"/>
      <c r="M613" s="41">
        <v>281</v>
      </c>
      <c r="N613" s="35"/>
      <c r="O613" s="121">
        <f t="shared" ref="O613" si="1741">$S$29</f>
        <v>16.137436987603884</v>
      </c>
      <c r="P613" s="121"/>
      <c r="Q613" s="121">
        <f t="shared" ref="Q613" si="1742">($S$18/12)*U611</f>
        <v>0.98882992455955832</v>
      </c>
      <c r="R613" s="121"/>
      <c r="S613" s="121">
        <f t="shared" ref="S613" si="1743">O613-Q613</f>
        <v>15.148607063044325</v>
      </c>
      <c r="T613" s="35"/>
      <c r="U613" s="121">
        <f t="shared" ref="U613" si="1744">U611-S613</f>
        <v>297.11347437681621</v>
      </c>
      <c r="V613" s="37"/>
    </row>
    <row r="614" spans="2:22" ht="15" thickBot="1" x14ac:dyDescent="0.35">
      <c r="B614" s="41"/>
      <c r="C614" s="35"/>
      <c r="D614" s="35"/>
      <c r="E614" s="35"/>
      <c r="F614" s="121"/>
      <c r="G614" s="121"/>
      <c r="H614" s="121"/>
      <c r="I614" s="121"/>
      <c r="J614" s="35"/>
      <c r="K614" s="37"/>
      <c r="M614" s="41"/>
      <c r="N614" s="35"/>
      <c r="O614" s="121"/>
      <c r="P614" s="121"/>
      <c r="Q614" s="121"/>
      <c r="R614" s="121"/>
      <c r="S614" s="35"/>
      <c r="T614" s="35"/>
      <c r="U614" s="35"/>
      <c r="V614" s="37"/>
    </row>
    <row r="615" spans="2:22" ht="15" thickBot="1" x14ac:dyDescent="0.35">
      <c r="B615" s="41">
        <v>282</v>
      </c>
      <c r="C615" s="35"/>
      <c r="D615" s="121">
        <f t="shared" ref="D615" si="1745">$N$30</f>
        <v>15.588640673015377</v>
      </c>
      <c r="E615" s="35"/>
      <c r="F615" s="121">
        <f t="shared" ref="F615" si="1746">($N$18/12)*J613</f>
        <v>0.79253228647484775</v>
      </c>
      <c r="G615" s="121"/>
      <c r="H615" s="121">
        <f t="shared" ref="H615" si="1747">D615-F615</f>
        <v>14.79610838654053</v>
      </c>
      <c r="I615" s="121"/>
      <c r="J615" s="121">
        <f t="shared" ref="J615" si="1748">J613-H615</f>
        <v>273.3974503315859</v>
      </c>
      <c r="K615" s="37"/>
      <c r="M615" s="41">
        <v>282</v>
      </c>
      <c r="N615" s="35"/>
      <c r="O615" s="121">
        <f t="shared" ref="O615" si="1749">$S$29</f>
        <v>16.137436987603884</v>
      </c>
      <c r="P615" s="121"/>
      <c r="Q615" s="121">
        <f t="shared" ref="Q615" si="1750">($S$18/12)*U613</f>
        <v>0.94085933552658463</v>
      </c>
      <c r="R615" s="121"/>
      <c r="S615" s="121">
        <f t="shared" ref="S615" si="1751">O615-Q615</f>
        <v>15.1965776520773</v>
      </c>
      <c r="T615" s="35"/>
      <c r="U615" s="121">
        <f t="shared" ref="U615" si="1752">U613-S615</f>
        <v>281.91689672473893</v>
      </c>
      <c r="V615" s="37"/>
    </row>
    <row r="616" spans="2:22" ht="15" thickBot="1" x14ac:dyDescent="0.35">
      <c r="B616" s="41"/>
      <c r="C616" s="35"/>
      <c r="D616" s="35"/>
      <c r="E616" s="35"/>
      <c r="F616" s="121"/>
      <c r="G616" s="121"/>
      <c r="H616" s="121"/>
      <c r="I616" s="121"/>
      <c r="J616" s="35"/>
      <c r="K616" s="37"/>
      <c r="M616" s="41"/>
      <c r="N616" s="35"/>
      <c r="O616" s="121"/>
      <c r="P616" s="121"/>
      <c r="Q616" s="121"/>
      <c r="R616" s="121"/>
      <c r="S616" s="35"/>
      <c r="T616" s="35"/>
      <c r="U616" s="35"/>
      <c r="V616" s="37"/>
    </row>
    <row r="617" spans="2:22" ht="15" thickBot="1" x14ac:dyDescent="0.35">
      <c r="B617" s="41">
        <v>283</v>
      </c>
      <c r="C617" s="35"/>
      <c r="D617" s="121">
        <f t="shared" ref="D617" si="1753">$N$30</f>
        <v>15.588640673015377</v>
      </c>
      <c r="E617" s="35"/>
      <c r="F617" s="121">
        <f t="shared" ref="F617" si="1754">($N$18/12)*J615</f>
        <v>0.75184298841186126</v>
      </c>
      <c r="G617" s="121"/>
      <c r="H617" s="121">
        <f t="shared" ref="H617" si="1755">D617-F617</f>
        <v>14.836797684603516</v>
      </c>
      <c r="I617" s="121"/>
      <c r="J617" s="121">
        <f t="shared" ref="J617" si="1756">J615-H617</f>
        <v>258.56065264698236</v>
      </c>
      <c r="K617" s="37"/>
      <c r="M617" s="41">
        <v>283</v>
      </c>
      <c r="N617" s="35"/>
      <c r="O617" s="121">
        <f t="shared" ref="O617" si="1757">$S$29</f>
        <v>16.137436987603884</v>
      </c>
      <c r="P617" s="121"/>
      <c r="Q617" s="121">
        <f t="shared" ref="Q617" si="1758">($S$18/12)*U615</f>
        <v>0.89273683962833994</v>
      </c>
      <c r="R617" s="121"/>
      <c r="S617" s="121">
        <f t="shared" ref="S617" si="1759">O617-Q617</f>
        <v>15.244700147975545</v>
      </c>
      <c r="T617" s="35"/>
      <c r="U617" s="121">
        <f t="shared" ref="U617" si="1760">U615-S617</f>
        <v>266.67219657676338</v>
      </c>
      <c r="V617" s="37"/>
    </row>
    <row r="618" spans="2:22" ht="15" thickBot="1" x14ac:dyDescent="0.35">
      <c r="B618" s="41"/>
      <c r="C618" s="35"/>
      <c r="D618" s="35"/>
      <c r="E618" s="35"/>
      <c r="F618" s="121"/>
      <c r="G618" s="121"/>
      <c r="H618" s="121"/>
      <c r="I618" s="121"/>
      <c r="J618" s="35"/>
      <c r="K618" s="37"/>
      <c r="M618" s="41"/>
      <c r="N618" s="35"/>
      <c r="O618" s="121"/>
      <c r="P618" s="121"/>
      <c r="Q618" s="121"/>
      <c r="R618" s="121"/>
      <c r="S618" s="35"/>
      <c r="T618" s="35"/>
      <c r="U618" s="35"/>
      <c r="V618" s="37"/>
    </row>
    <row r="619" spans="2:22" ht="15" thickBot="1" x14ac:dyDescent="0.35">
      <c r="B619" s="41">
        <v>284</v>
      </c>
      <c r="C619" s="35"/>
      <c r="D619" s="121">
        <f t="shared" ref="D619" si="1761">$N$30</f>
        <v>15.588640673015377</v>
      </c>
      <c r="E619" s="35"/>
      <c r="F619" s="121">
        <f t="shared" ref="F619" si="1762">($N$18/12)*J617</f>
        <v>0.7110417947792016</v>
      </c>
      <c r="G619" s="121"/>
      <c r="H619" s="121">
        <f t="shared" ref="H619" si="1763">D619-F619</f>
        <v>14.877598878236174</v>
      </c>
      <c r="I619" s="121"/>
      <c r="J619" s="121">
        <f t="shared" ref="J619" si="1764">J617-H619</f>
        <v>243.68305376874619</v>
      </c>
      <c r="K619" s="37"/>
      <c r="M619" s="41">
        <v>284</v>
      </c>
      <c r="N619" s="35"/>
      <c r="O619" s="121">
        <f t="shared" ref="O619" si="1765">$S$29</f>
        <v>16.137436987603884</v>
      </c>
      <c r="P619" s="121"/>
      <c r="Q619" s="121">
        <f t="shared" ref="Q619" si="1766">($S$18/12)*U617</f>
        <v>0.84446195582641737</v>
      </c>
      <c r="R619" s="121"/>
      <c r="S619" s="121">
        <f t="shared" ref="S619" si="1767">O619-Q619</f>
        <v>15.292975031777466</v>
      </c>
      <c r="T619" s="35"/>
      <c r="U619" s="121">
        <f t="shared" ref="U619" si="1768">U617-S619</f>
        <v>251.37922154498591</v>
      </c>
      <c r="V619" s="37"/>
    </row>
    <row r="620" spans="2:22" ht="15" thickBot="1" x14ac:dyDescent="0.35">
      <c r="B620" s="41"/>
      <c r="C620" s="35"/>
      <c r="D620" s="35"/>
      <c r="E620" s="35"/>
      <c r="F620" s="121"/>
      <c r="G620" s="121"/>
      <c r="H620" s="121"/>
      <c r="I620" s="121"/>
      <c r="J620" s="35"/>
      <c r="K620" s="37"/>
      <c r="M620" s="41"/>
      <c r="N620" s="35"/>
      <c r="O620" s="121"/>
      <c r="P620" s="121"/>
      <c r="Q620" s="121"/>
      <c r="R620" s="121"/>
      <c r="S620" s="35"/>
      <c r="T620" s="35"/>
      <c r="U620" s="35"/>
      <c r="V620" s="37"/>
    </row>
    <row r="621" spans="2:22" ht="15" thickBot="1" x14ac:dyDescent="0.35">
      <c r="B621" s="41">
        <v>285</v>
      </c>
      <c r="C621" s="35"/>
      <c r="D621" s="121">
        <f t="shared" ref="D621" si="1769">$N$30</f>
        <v>15.588640673015377</v>
      </c>
      <c r="E621" s="35"/>
      <c r="F621" s="121">
        <f t="shared" ref="F621" si="1770">($N$18/12)*J619</f>
        <v>0.67012839786405209</v>
      </c>
      <c r="G621" s="121"/>
      <c r="H621" s="121">
        <f t="shared" ref="H621" si="1771">D621-F621</f>
        <v>14.918512275151324</v>
      </c>
      <c r="I621" s="121"/>
      <c r="J621" s="121">
        <f t="shared" ref="J621" si="1772">J619-H621</f>
        <v>228.76454149359486</v>
      </c>
      <c r="K621" s="37"/>
      <c r="M621" s="41">
        <v>285</v>
      </c>
      <c r="N621" s="35"/>
      <c r="O621" s="121">
        <f t="shared" ref="O621" si="1773">$S$29</f>
        <v>16.137436987603884</v>
      </c>
      <c r="P621" s="121"/>
      <c r="Q621" s="121">
        <f t="shared" ref="Q621" si="1774">($S$18/12)*U619</f>
        <v>0.79603420155912208</v>
      </c>
      <c r="R621" s="121"/>
      <c r="S621" s="121">
        <f t="shared" ref="S621" si="1775">O621-Q621</f>
        <v>15.341402786044762</v>
      </c>
      <c r="T621" s="35"/>
      <c r="U621" s="121">
        <f t="shared" ref="U621" si="1776">U619-S621</f>
        <v>236.03781875894114</v>
      </c>
      <c r="V621" s="37"/>
    </row>
    <row r="622" spans="2:22" ht="15" thickBot="1" x14ac:dyDescent="0.35">
      <c r="B622" s="41"/>
      <c r="C622" s="35"/>
      <c r="D622" s="35"/>
      <c r="E622" s="35"/>
      <c r="F622" s="121"/>
      <c r="G622" s="121"/>
      <c r="H622" s="121"/>
      <c r="I622" s="121"/>
      <c r="J622" s="35"/>
      <c r="K622" s="37"/>
      <c r="M622" s="41"/>
      <c r="N622" s="35"/>
      <c r="O622" s="121"/>
      <c r="P622" s="121"/>
      <c r="Q622" s="121"/>
      <c r="R622" s="121"/>
      <c r="S622" s="35"/>
      <c r="T622" s="35"/>
      <c r="U622" s="35"/>
      <c r="V622" s="37"/>
    </row>
    <row r="623" spans="2:22" ht="15" thickBot="1" x14ac:dyDescent="0.35">
      <c r="B623" s="41">
        <v>286</v>
      </c>
      <c r="C623" s="35"/>
      <c r="D623" s="121">
        <f t="shared" ref="D623" si="1777">$N$30</f>
        <v>15.588640673015377</v>
      </c>
      <c r="E623" s="35"/>
      <c r="F623" s="121">
        <f t="shared" ref="F623" si="1778">($N$18/12)*J621</f>
        <v>0.62910248910738598</v>
      </c>
      <c r="G623" s="121"/>
      <c r="H623" s="121">
        <f t="shared" ref="H623" si="1779">D623-F623</f>
        <v>14.959538183907991</v>
      </c>
      <c r="I623" s="121"/>
      <c r="J623" s="121">
        <f t="shared" ref="J623" si="1780">J621-H623</f>
        <v>213.80500330968687</v>
      </c>
      <c r="K623" s="37"/>
      <c r="M623" s="41">
        <v>286</v>
      </c>
      <c r="N623" s="35"/>
      <c r="O623" s="121">
        <f t="shared" ref="O623" si="1781">$S$29</f>
        <v>16.137436987603884</v>
      </c>
      <c r="P623" s="121"/>
      <c r="Q623" s="121">
        <f t="shared" ref="Q623" si="1782">($S$18/12)*U621</f>
        <v>0.74745309273664695</v>
      </c>
      <c r="R623" s="121"/>
      <c r="S623" s="121">
        <f t="shared" ref="S623" si="1783">O623-Q623</f>
        <v>15.389983894867237</v>
      </c>
      <c r="T623" s="35"/>
      <c r="U623" s="121">
        <f t="shared" ref="U623" si="1784">U621-S623</f>
        <v>220.6478348640739</v>
      </c>
      <c r="V623" s="37"/>
    </row>
    <row r="624" spans="2:22" ht="15" thickBot="1" x14ac:dyDescent="0.35">
      <c r="B624" s="41"/>
      <c r="C624" s="35"/>
      <c r="D624" s="35"/>
      <c r="E624" s="35"/>
      <c r="F624" s="121"/>
      <c r="G624" s="121"/>
      <c r="H624" s="121"/>
      <c r="I624" s="121"/>
      <c r="J624" s="35"/>
      <c r="K624" s="37"/>
      <c r="M624" s="41"/>
      <c r="N624" s="35"/>
      <c r="O624" s="121"/>
      <c r="P624" s="121"/>
      <c r="Q624" s="121"/>
      <c r="R624" s="121"/>
      <c r="S624" s="35"/>
      <c r="T624" s="35"/>
      <c r="U624" s="35"/>
      <c r="V624" s="37"/>
    </row>
    <row r="625" spans="2:22" ht="15" thickBot="1" x14ac:dyDescent="0.35">
      <c r="B625" s="41">
        <v>287</v>
      </c>
      <c r="C625" s="35"/>
      <c r="D625" s="121">
        <f t="shared" ref="D625" si="1785">$N$30</f>
        <v>15.588640673015377</v>
      </c>
      <c r="E625" s="35"/>
      <c r="F625" s="121">
        <f t="shared" ref="F625" si="1786">($N$18/12)*J623</f>
        <v>0.58796375910163889</v>
      </c>
      <c r="G625" s="121"/>
      <c r="H625" s="121">
        <f t="shared" ref="H625" si="1787">D625-F625</f>
        <v>15.000676913913738</v>
      </c>
      <c r="I625" s="121"/>
      <c r="J625" s="121">
        <f t="shared" ref="J625" si="1788">J623-H625</f>
        <v>198.80432639577313</v>
      </c>
      <c r="K625" s="37"/>
      <c r="M625" s="41">
        <v>287</v>
      </c>
      <c r="N625" s="35"/>
      <c r="O625" s="121">
        <f t="shared" ref="O625" si="1789">$S$29</f>
        <v>16.137436987603884</v>
      </c>
      <c r="P625" s="121"/>
      <c r="Q625" s="121">
        <f t="shared" ref="Q625" si="1790">($S$18/12)*U623</f>
        <v>0.69871814373623398</v>
      </c>
      <c r="R625" s="121"/>
      <c r="S625" s="121">
        <f t="shared" ref="S625" si="1791">O625-Q625</f>
        <v>15.438718843867651</v>
      </c>
      <c r="T625" s="35"/>
      <c r="U625" s="121">
        <f t="shared" ref="U625" si="1792">U623-S625</f>
        <v>205.20911602020624</v>
      </c>
      <c r="V625" s="37"/>
    </row>
    <row r="626" spans="2:22" ht="15" thickBot="1" x14ac:dyDescent="0.35">
      <c r="B626" s="41"/>
      <c r="C626" s="35"/>
      <c r="D626" s="35"/>
      <c r="E626" s="35"/>
      <c r="F626" s="121"/>
      <c r="G626" s="121"/>
      <c r="H626" s="121"/>
      <c r="I626" s="121"/>
      <c r="J626" s="35"/>
      <c r="K626" s="37"/>
      <c r="M626" s="41"/>
      <c r="N626" s="35"/>
      <c r="O626" s="121"/>
      <c r="P626" s="121"/>
      <c r="Q626" s="121"/>
      <c r="R626" s="121"/>
      <c r="S626" s="35"/>
      <c r="T626" s="35"/>
      <c r="U626" s="35"/>
      <c r="V626" s="37"/>
    </row>
    <row r="627" spans="2:22" ht="15" thickBot="1" x14ac:dyDescent="0.35">
      <c r="B627" s="41">
        <v>288</v>
      </c>
      <c r="C627" s="35"/>
      <c r="D627" s="121">
        <f t="shared" ref="D627" si="1793">$N$30</f>
        <v>15.588640673015377</v>
      </c>
      <c r="E627" s="35"/>
      <c r="F627" s="121">
        <f t="shared" ref="F627" si="1794">($N$18/12)*J625</f>
        <v>0.54671189758837613</v>
      </c>
      <c r="G627" s="121"/>
      <c r="H627" s="121">
        <f t="shared" ref="H627" si="1795">D627-F627</f>
        <v>15.041928775427001</v>
      </c>
      <c r="I627" s="121"/>
      <c r="J627" s="121">
        <f t="shared" ref="J627" si="1796">J625-H627</f>
        <v>183.76239762034612</v>
      </c>
      <c r="K627" s="37"/>
      <c r="M627" s="41">
        <v>288</v>
      </c>
      <c r="N627" s="35"/>
      <c r="O627" s="121">
        <f t="shared" ref="O627" si="1797">$S$29</f>
        <v>16.137436987603884</v>
      </c>
      <c r="P627" s="121"/>
      <c r="Q627" s="121">
        <f t="shared" ref="Q627" si="1798">($S$18/12)*U625</f>
        <v>0.64982886739731971</v>
      </c>
      <c r="R627" s="121"/>
      <c r="S627" s="121">
        <f t="shared" ref="S627" si="1799">O627-Q627</f>
        <v>15.487608120206565</v>
      </c>
      <c r="T627" s="35"/>
      <c r="U627" s="121">
        <f t="shared" ref="U627" si="1800">U625-S627</f>
        <v>189.72150789999966</v>
      </c>
      <c r="V627" s="37"/>
    </row>
    <row r="628" spans="2:22" ht="15" thickBot="1" x14ac:dyDescent="0.35">
      <c r="B628" s="41"/>
      <c r="C628" s="35"/>
      <c r="D628" s="35"/>
      <c r="E628" s="35"/>
      <c r="F628" s="121"/>
      <c r="G628" s="121"/>
      <c r="H628" s="121"/>
      <c r="I628" s="121"/>
      <c r="J628" s="35"/>
      <c r="K628" s="37"/>
      <c r="M628" s="41"/>
      <c r="N628" s="35"/>
      <c r="O628" s="121"/>
      <c r="P628" s="121"/>
      <c r="Q628" s="121"/>
      <c r="R628" s="121"/>
      <c r="S628" s="35"/>
      <c r="T628" s="35"/>
      <c r="U628" s="35"/>
      <c r="V628" s="37"/>
    </row>
    <row r="629" spans="2:22" ht="15" thickBot="1" x14ac:dyDescent="0.35">
      <c r="B629" s="41">
        <v>289</v>
      </c>
      <c r="C629" s="35"/>
      <c r="D629" s="121">
        <f t="shared" ref="D629" si="1801">$N$30</f>
        <v>15.588640673015377</v>
      </c>
      <c r="E629" s="35"/>
      <c r="F629" s="121">
        <f t="shared" ref="F629" si="1802">($N$18/12)*J627</f>
        <v>0.5053465934559519</v>
      </c>
      <c r="G629" s="121"/>
      <c r="H629" s="121">
        <f t="shared" ref="H629" si="1803">D629-F629</f>
        <v>15.083294079559424</v>
      </c>
      <c r="I629" s="121"/>
      <c r="J629" s="121">
        <f t="shared" ref="J629" si="1804">J627-H629</f>
        <v>168.67910354078668</v>
      </c>
      <c r="K629" s="37"/>
      <c r="M629" s="41">
        <v>289</v>
      </c>
      <c r="N629" s="35"/>
      <c r="O629" s="121">
        <f t="shared" ref="O629" si="1805">$S$29</f>
        <v>16.137436987603884</v>
      </c>
      <c r="P629" s="121"/>
      <c r="Q629" s="121">
        <f t="shared" ref="Q629" si="1806">($S$18/12)*U627</f>
        <v>0.60078477501666561</v>
      </c>
      <c r="R629" s="121"/>
      <c r="S629" s="121">
        <f t="shared" ref="S629" si="1807">O629-Q629</f>
        <v>15.536652212587219</v>
      </c>
      <c r="T629" s="35"/>
      <c r="U629" s="121">
        <f t="shared" ref="U629" si="1808">U627-S629</f>
        <v>174.18485568741244</v>
      </c>
      <c r="V629" s="37"/>
    </row>
    <row r="630" spans="2:22" ht="15" thickBot="1" x14ac:dyDescent="0.35">
      <c r="B630" s="41"/>
      <c r="C630" s="35"/>
      <c r="D630" s="35"/>
      <c r="E630" s="35"/>
      <c r="F630" s="121"/>
      <c r="G630" s="121"/>
      <c r="H630" s="121"/>
      <c r="I630" s="121"/>
      <c r="J630" s="35"/>
      <c r="K630" s="37"/>
      <c r="M630" s="41"/>
      <c r="N630" s="35"/>
      <c r="O630" s="121"/>
      <c r="P630" s="121"/>
      <c r="Q630" s="121"/>
      <c r="R630" s="121"/>
      <c r="S630" s="35"/>
      <c r="T630" s="35"/>
      <c r="U630" s="35"/>
      <c r="V630" s="37"/>
    </row>
    <row r="631" spans="2:22" ht="15" thickBot="1" x14ac:dyDescent="0.35">
      <c r="B631" s="41">
        <v>290</v>
      </c>
      <c r="C631" s="35"/>
      <c r="D631" s="121">
        <f t="shared" ref="D631" si="1809">$N$30</f>
        <v>15.588640673015377</v>
      </c>
      <c r="E631" s="35"/>
      <c r="F631" s="121">
        <f t="shared" ref="F631" si="1810">($N$18/12)*J629</f>
        <v>0.46386753473716341</v>
      </c>
      <c r="G631" s="121"/>
      <c r="H631" s="121">
        <f t="shared" ref="H631" si="1811">D631-F631</f>
        <v>15.124773138278213</v>
      </c>
      <c r="I631" s="121"/>
      <c r="J631" s="121">
        <f t="shared" ref="J631" si="1812">J629-H631</f>
        <v>153.55433040250847</v>
      </c>
      <c r="K631" s="37"/>
      <c r="M631" s="41">
        <v>290</v>
      </c>
      <c r="N631" s="35"/>
      <c r="O631" s="121">
        <f t="shared" ref="O631" si="1813">$S$29</f>
        <v>16.137436987603884</v>
      </c>
      <c r="P631" s="121"/>
      <c r="Q631" s="121">
        <f t="shared" ref="Q631" si="1814">($S$18/12)*U629</f>
        <v>0.55158537634347271</v>
      </c>
      <c r="R631" s="121"/>
      <c r="S631" s="121">
        <f t="shared" ref="S631" si="1815">O631-Q631</f>
        <v>15.585851611260411</v>
      </c>
      <c r="T631" s="35"/>
      <c r="U631" s="121">
        <f t="shared" ref="U631" si="1816">U629-S631</f>
        <v>158.59900407615203</v>
      </c>
      <c r="V631" s="37"/>
    </row>
    <row r="632" spans="2:22" ht="15" thickBot="1" x14ac:dyDescent="0.35">
      <c r="B632" s="41"/>
      <c r="C632" s="35"/>
      <c r="D632" s="35"/>
      <c r="E632" s="35"/>
      <c r="F632" s="121"/>
      <c r="G632" s="121"/>
      <c r="H632" s="121"/>
      <c r="I632" s="121"/>
      <c r="J632" s="35"/>
      <c r="K632" s="37"/>
      <c r="M632" s="41"/>
      <c r="N632" s="35"/>
      <c r="O632" s="121"/>
      <c r="P632" s="121"/>
      <c r="Q632" s="121"/>
      <c r="R632" s="121"/>
      <c r="S632" s="35"/>
      <c r="T632" s="35"/>
      <c r="U632" s="35"/>
      <c r="V632" s="37"/>
    </row>
    <row r="633" spans="2:22" ht="15" thickBot="1" x14ac:dyDescent="0.35">
      <c r="B633" s="41">
        <v>291</v>
      </c>
      <c r="C633" s="35"/>
      <c r="D633" s="121">
        <f t="shared" ref="D633" si="1817">$N$30</f>
        <v>15.588640673015377</v>
      </c>
      <c r="E633" s="35"/>
      <c r="F633" s="121">
        <f t="shared" ref="F633" si="1818">($N$18/12)*J631</f>
        <v>0.42227440860689835</v>
      </c>
      <c r="G633" s="121"/>
      <c r="H633" s="121">
        <f t="shared" ref="H633" si="1819">D633-F633</f>
        <v>15.166366264408477</v>
      </c>
      <c r="I633" s="121"/>
      <c r="J633" s="121">
        <f t="shared" ref="J633" si="1820">J631-H633</f>
        <v>138.38796413809999</v>
      </c>
      <c r="K633" s="37"/>
      <c r="M633" s="41">
        <v>291</v>
      </c>
      <c r="N633" s="35"/>
      <c r="O633" s="121">
        <f t="shared" ref="O633" si="1821">$S$29</f>
        <v>16.137436987603884</v>
      </c>
      <c r="P633" s="121"/>
      <c r="Q633" s="121">
        <f t="shared" ref="Q633" si="1822">($S$18/12)*U631</f>
        <v>0.50223017957448146</v>
      </c>
      <c r="R633" s="121"/>
      <c r="S633" s="121">
        <f t="shared" ref="S633" si="1823">O633-Q633</f>
        <v>15.635206808029402</v>
      </c>
      <c r="T633" s="35"/>
      <c r="U633" s="121">
        <f t="shared" ref="U633" si="1824">U631-S633</f>
        <v>142.96379726812262</v>
      </c>
      <c r="V633" s="37"/>
    </row>
    <row r="634" spans="2:22" ht="15" thickBot="1" x14ac:dyDescent="0.35">
      <c r="B634" s="41"/>
      <c r="C634" s="35"/>
      <c r="D634" s="35"/>
      <c r="E634" s="35"/>
      <c r="F634" s="121"/>
      <c r="G634" s="121"/>
      <c r="H634" s="121"/>
      <c r="I634" s="121"/>
      <c r="J634" s="35"/>
      <c r="K634" s="37"/>
      <c r="M634" s="41"/>
      <c r="N634" s="35"/>
      <c r="O634" s="121"/>
      <c r="P634" s="121"/>
      <c r="Q634" s="121"/>
      <c r="R634" s="121"/>
      <c r="S634" s="35"/>
      <c r="T634" s="35"/>
      <c r="U634" s="35"/>
      <c r="V634" s="37"/>
    </row>
    <row r="635" spans="2:22" ht="15" thickBot="1" x14ac:dyDescent="0.35">
      <c r="B635" s="41">
        <v>292</v>
      </c>
      <c r="C635" s="35"/>
      <c r="D635" s="121">
        <f t="shared" ref="D635" si="1825">$N$30</f>
        <v>15.588640673015377</v>
      </c>
      <c r="E635" s="35"/>
      <c r="F635" s="121">
        <f t="shared" ref="F635" si="1826">($N$18/12)*J633</f>
        <v>0.380566901379775</v>
      </c>
      <c r="G635" s="121"/>
      <c r="H635" s="121">
        <f t="shared" ref="H635" si="1827">D635-F635</f>
        <v>15.208073771635602</v>
      </c>
      <c r="I635" s="121"/>
      <c r="J635" s="121">
        <f t="shared" ref="J635" si="1828">J633-H635</f>
        <v>123.17989036646439</v>
      </c>
      <c r="K635" s="37"/>
      <c r="M635" s="41">
        <v>292</v>
      </c>
      <c r="N635" s="35"/>
      <c r="O635" s="121">
        <f t="shared" ref="O635" si="1829">$S$29</f>
        <v>16.137436987603884</v>
      </c>
      <c r="P635" s="121"/>
      <c r="Q635" s="121">
        <f t="shared" ref="Q635" si="1830">($S$18/12)*U633</f>
        <v>0.45271869134905496</v>
      </c>
      <c r="R635" s="121"/>
      <c r="S635" s="121">
        <f t="shared" ref="S635" si="1831">O635-Q635</f>
        <v>15.684718296254829</v>
      </c>
      <c r="T635" s="35"/>
      <c r="U635" s="121">
        <f t="shared" ref="U635" si="1832">U633-S635</f>
        <v>127.27907897186779</v>
      </c>
      <c r="V635" s="37"/>
    </row>
    <row r="636" spans="2:22" ht="15" thickBot="1" x14ac:dyDescent="0.35">
      <c r="B636" s="41"/>
      <c r="C636" s="35"/>
      <c r="D636" s="35"/>
      <c r="E636" s="35"/>
      <c r="F636" s="121"/>
      <c r="G636" s="121"/>
      <c r="H636" s="121"/>
      <c r="I636" s="121"/>
      <c r="J636" s="35"/>
      <c r="K636" s="37"/>
      <c r="M636" s="41"/>
      <c r="N636" s="35"/>
      <c r="O636" s="121"/>
      <c r="P636" s="121"/>
      <c r="Q636" s="121"/>
      <c r="R636" s="121"/>
      <c r="S636" s="35"/>
      <c r="T636" s="35"/>
      <c r="U636" s="35"/>
      <c r="V636" s="37"/>
    </row>
    <row r="637" spans="2:22" ht="15" thickBot="1" x14ac:dyDescent="0.35">
      <c r="B637" s="41">
        <v>293</v>
      </c>
      <c r="C637" s="35"/>
      <c r="D637" s="121">
        <f t="shared" ref="D637" si="1833">$N$30</f>
        <v>15.588640673015377</v>
      </c>
      <c r="E637" s="35"/>
      <c r="F637" s="121">
        <f t="shared" ref="F637" si="1834">($N$18/12)*J635</f>
        <v>0.33874469850777711</v>
      </c>
      <c r="G637" s="121"/>
      <c r="H637" s="121">
        <f t="shared" ref="H637" si="1835">D637-F637</f>
        <v>15.249895974507599</v>
      </c>
      <c r="I637" s="121"/>
      <c r="J637" s="121">
        <f t="shared" ref="J637" si="1836">J635-H637</f>
        <v>107.9299943919568</v>
      </c>
      <c r="K637" s="37"/>
      <c r="M637" s="41">
        <v>293</v>
      </c>
      <c r="N637" s="35"/>
      <c r="O637" s="121">
        <f t="shared" ref="O637" si="1837">$S$29</f>
        <v>16.137436987603884</v>
      </c>
      <c r="P637" s="121"/>
      <c r="Q637" s="121">
        <f t="shared" ref="Q637" si="1838">($S$18/12)*U635</f>
        <v>0.40305041674424802</v>
      </c>
      <c r="R637" s="121"/>
      <c r="S637" s="121">
        <f t="shared" ref="S637" si="1839">O637-Q637</f>
        <v>15.734386570859636</v>
      </c>
      <c r="T637" s="35"/>
      <c r="U637" s="121">
        <f t="shared" ref="U637" si="1840">U635-S637</f>
        <v>111.54469240100815</v>
      </c>
      <c r="V637" s="37"/>
    </row>
    <row r="638" spans="2:22" ht="15" thickBot="1" x14ac:dyDescent="0.35">
      <c r="B638" s="41"/>
      <c r="C638" s="35"/>
      <c r="D638" s="35"/>
      <c r="E638" s="35"/>
      <c r="F638" s="121"/>
      <c r="G638" s="121"/>
      <c r="H638" s="121"/>
      <c r="I638" s="121"/>
      <c r="J638" s="35"/>
      <c r="K638" s="37"/>
      <c r="M638" s="41"/>
      <c r="N638" s="35"/>
      <c r="O638" s="121"/>
      <c r="P638" s="121"/>
      <c r="Q638" s="121"/>
      <c r="R638" s="121"/>
      <c r="S638" s="35"/>
      <c r="T638" s="35"/>
      <c r="U638" s="35"/>
      <c r="V638" s="37"/>
    </row>
    <row r="639" spans="2:22" ht="15" thickBot="1" x14ac:dyDescent="0.35">
      <c r="B639" s="41">
        <v>294</v>
      </c>
      <c r="C639" s="35"/>
      <c r="D639" s="121">
        <f t="shared" ref="D639" si="1841">$N$30</f>
        <v>15.588640673015377</v>
      </c>
      <c r="E639" s="35"/>
      <c r="F639" s="121">
        <f t="shared" ref="F639" si="1842">($N$18/12)*J637</f>
        <v>0.2968074845778812</v>
      </c>
      <c r="G639" s="121"/>
      <c r="H639" s="121">
        <f t="shared" ref="H639" si="1843">D639-F639</f>
        <v>15.291833188437495</v>
      </c>
      <c r="I639" s="121"/>
      <c r="J639" s="121">
        <f t="shared" ref="J639" si="1844">J637-H639</f>
        <v>92.638161203519303</v>
      </c>
      <c r="K639" s="37"/>
      <c r="M639" s="41">
        <v>294</v>
      </c>
      <c r="N639" s="35"/>
      <c r="O639" s="121">
        <f t="shared" ref="O639" si="1845">$S$29</f>
        <v>16.137436987603884</v>
      </c>
      <c r="P639" s="121"/>
      <c r="Q639" s="121">
        <f t="shared" ref="Q639" si="1846">($S$18/12)*U637</f>
        <v>0.35322485926985914</v>
      </c>
      <c r="R639" s="121"/>
      <c r="S639" s="121">
        <f t="shared" ref="S639" si="1847">O639-Q639</f>
        <v>15.784212128334024</v>
      </c>
      <c r="T639" s="35"/>
      <c r="U639" s="121">
        <f t="shared" ref="U639" si="1848">U637-S639</f>
        <v>95.76048027267413</v>
      </c>
      <c r="V639" s="37"/>
    </row>
    <row r="640" spans="2:22" ht="15" thickBot="1" x14ac:dyDescent="0.35">
      <c r="B640" s="41"/>
      <c r="C640" s="35"/>
      <c r="D640" s="35"/>
      <c r="E640" s="35"/>
      <c r="F640" s="121"/>
      <c r="G640" s="121"/>
      <c r="H640" s="121"/>
      <c r="I640" s="121"/>
      <c r="J640" s="35"/>
      <c r="K640" s="37"/>
      <c r="M640" s="41"/>
      <c r="N640" s="35"/>
      <c r="O640" s="121"/>
      <c r="P640" s="121"/>
      <c r="Q640" s="121"/>
      <c r="R640" s="121"/>
      <c r="S640" s="35"/>
      <c r="T640" s="35"/>
      <c r="U640" s="35"/>
      <c r="V640" s="37"/>
    </row>
    <row r="641" spans="2:22" ht="15" thickBot="1" x14ac:dyDescent="0.35">
      <c r="B641" s="41">
        <v>295</v>
      </c>
      <c r="C641" s="35"/>
      <c r="D641" s="121">
        <f t="shared" ref="D641" si="1849">$N$30</f>
        <v>15.588640673015377</v>
      </c>
      <c r="E641" s="35"/>
      <c r="F641" s="121">
        <f t="shared" ref="F641" si="1850">($N$18/12)*J639</f>
        <v>0.25475494330967813</v>
      </c>
      <c r="G641" s="121"/>
      <c r="H641" s="121">
        <f t="shared" ref="H641" si="1851">D641-F641</f>
        <v>15.333885729705699</v>
      </c>
      <c r="I641" s="121"/>
      <c r="J641" s="121">
        <f t="shared" ref="J641" si="1852">J639-H641</f>
        <v>77.304275473813604</v>
      </c>
      <c r="K641" s="37"/>
      <c r="M641" s="41">
        <v>295</v>
      </c>
      <c r="N641" s="35"/>
      <c r="O641" s="121">
        <f t="shared" ref="O641" si="1853">$S$29</f>
        <v>16.137436987603884</v>
      </c>
      <c r="P641" s="121"/>
      <c r="Q641" s="121">
        <f t="shared" ref="Q641" si="1854">($S$18/12)*U639</f>
        <v>0.30324152086346806</v>
      </c>
      <c r="R641" s="121"/>
      <c r="S641" s="121">
        <f t="shared" ref="S641" si="1855">O641-Q641</f>
        <v>15.834195466740416</v>
      </c>
      <c r="T641" s="35"/>
      <c r="U641" s="121">
        <f t="shared" ref="U641" si="1856">U639-S641</f>
        <v>79.926284805933719</v>
      </c>
      <c r="V641" s="37"/>
    </row>
    <row r="642" spans="2:22" ht="15" thickBot="1" x14ac:dyDescent="0.35">
      <c r="B642" s="41"/>
      <c r="C642" s="35"/>
      <c r="D642" s="35"/>
      <c r="E642" s="35"/>
      <c r="F642" s="121"/>
      <c r="G642" s="121"/>
      <c r="H642" s="121"/>
      <c r="I642" s="121"/>
      <c r="J642" s="35"/>
      <c r="K642" s="37"/>
      <c r="M642" s="41"/>
      <c r="N642" s="35"/>
      <c r="O642" s="121"/>
      <c r="P642" s="121"/>
      <c r="Q642" s="121"/>
      <c r="R642" s="121"/>
      <c r="S642" s="35"/>
      <c r="T642" s="35"/>
      <c r="U642" s="35"/>
      <c r="V642" s="37"/>
    </row>
    <row r="643" spans="2:22" ht="15" thickBot="1" x14ac:dyDescent="0.35">
      <c r="B643" s="41">
        <v>296</v>
      </c>
      <c r="C643" s="35"/>
      <c r="D643" s="121">
        <f t="shared" ref="D643" si="1857">$N$30</f>
        <v>15.588640673015377</v>
      </c>
      <c r="E643" s="35"/>
      <c r="F643" s="121">
        <f t="shared" ref="F643" si="1858">($N$18/12)*J641</f>
        <v>0.21258675755298742</v>
      </c>
      <c r="G643" s="121"/>
      <c r="H643" s="121">
        <f t="shared" ref="H643" si="1859">D643-F643</f>
        <v>15.376053915462389</v>
      </c>
      <c r="I643" s="121"/>
      <c r="J643" s="121">
        <f t="shared" ref="J643" si="1860">J641-H643</f>
        <v>61.928221558351211</v>
      </c>
      <c r="K643" s="37"/>
      <c r="M643" s="41">
        <v>296</v>
      </c>
      <c r="N643" s="35"/>
      <c r="O643" s="121">
        <f t="shared" ref="O643" si="1861">$S$29</f>
        <v>16.137436987603884</v>
      </c>
      <c r="P643" s="121"/>
      <c r="Q643" s="121">
        <f t="shared" ref="Q643" si="1862">($S$18/12)*U641</f>
        <v>0.25309990188545678</v>
      </c>
      <c r="R643" s="121"/>
      <c r="S643" s="121">
        <f t="shared" ref="S643" si="1863">O643-Q643</f>
        <v>15.884337085718427</v>
      </c>
      <c r="T643" s="35"/>
      <c r="U643" s="121">
        <f t="shared" ref="U643" si="1864">U641-S643</f>
        <v>64.04194772021529</v>
      </c>
      <c r="V643" s="37"/>
    </row>
    <row r="644" spans="2:22" ht="15" thickBot="1" x14ac:dyDescent="0.35">
      <c r="B644" s="41"/>
      <c r="C644" s="35"/>
      <c r="D644" s="35"/>
      <c r="E644" s="35"/>
      <c r="F644" s="121"/>
      <c r="G644" s="121"/>
      <c r="H644" s="121"/>
      <c r="I644" s="121"/>
      <c r="J644" s="35"/>
      <c r="K644" s="37"/>
      <c r="M644" s="41"/>
      <c r="N644" s="35"/>
      <c r="O644" s="121"/>
      <c r="P644" s="121"/>
      <c r="Q644" s="121"/>
      <c r="R644" s="121"/>
      <c r="S644" s="35"/>
      <c r="T644" s="35"/>
      <c r="U644" s="35"/>
      <c r="V644" s="37"/>
    </row>
    <row r="645" spans="2:22" ht="15" thickBot="1" x14ac:dyDescent="0.35">
      <c r="B645" s="41">
        <v>297</v>
      </c>
      <c r="C645" s="35"/>
      <c r="D645" s="121">
        <f t="shared" ref="D645" si="1865">$N$30</f>
        <v>15.588640673015377</v>
      </c>
      <c r="E645" s="35"/>
      <c r="F645" s="121">
        <f t="shared" ref="F645" si="1866">($N$18/12)*J643</f>
        <v>0.17030260928546584</v>
      </c>
      <c r="G645" s="121"/>
      <c r="H645" s="121">
        <f t="shared" ref="H645" si="1867">D645-F645</f>
        <v>15.418338063729911</v>
      </c>
      <c r="I645" s="121"/>
      <c r="J645" s="121">
        <f t="shared" ref="J645" si="1868">J643-H645</f>
        <v>46.509883494621299</v>
      </c>
      <c r="K645" s="37"/>
      <c r="M645" s="41">
        <v>297</v>
      </c>
      <c r="N645" s="35"/>
      <c r="O645" s="121">
        <f t="shared" ref="O645" si="1869">$S$29</f>
        <v>16.137436987603884</v>
      </c>
      <c r="P645" s="121"/>
      <c r="Q645" s="121">
        <f t="shared" ref="Q645" si="1870">($S$18/12)*U643</f>
        <v>0.20279950111401507</v>
      </c>
      <c r="R645" s="121"/>
      <c r="S645" s="121">
        <f t="shared" ref="S645" si="1871">O645-Q645</f>
        <v>15.934637486489869</v>
      </c>
      <c r="T645" s="35"/>
      <c r="U645" s="121">
        <f t="shared" ref="U645" si="1872">U643-S645</f>
        <v>48.107310233725421</v>
      </c>
      <c r="V645" s="37"/>
    </row>
    <row r="646" spans="2:22" ht="15" thickBot="1" x14ac:dyDescent="0.35">
      <c r="B646" s="41"/>
      <c r="C646" s="35"/>
      <c r="D646" s="35"/>
      <c r="E646" s="35"/>
      <c r="F646" s="121"/>
      <c r="G646" s="121"/>
      <c r="H646" s="121"/>
      <c r="I646" s="121"/>
      <c r="J646" s="35"/>
      <c r="K646" s="37"/>
      <c r="M646" s="41"/>
      <c r="N646" s="35"/>
      <c r="O646" s="121"/>
      <c r="P646" s="121"/>
      <c r="Q646" s="121"/>
      <c r="R646" s="121"/>
      <c r="S646" s="35"/>
      <c r="T646" s="35"/>
      <c r="U646" s="35"/>
      <c r="V646" s="37"/>
    </row>
    <row r="647" spans="2:22" ht="15" thickBot="1" x14ac:dyDescent="0.35">
      <c r="B647" s="41">
        <v>298</v>
      </c>
      <c r="C647" s="35"/>
      <c r="D647" s="121">
        <f t="shared" ref="D647" si="1873">$N$30</f>
        <v>15.588640673015377</v>
      </c>
      <c r="E647" s="35"/>
      <c r="F647" s="121">
        <f t="shared" ref="F647" si="1874">($N$18/12)*J645</f>
        <v>0.12790217961020858</v>
      </c>
      <c r="G647" s="121"/>
      <c r="H647" s="121">
        <f t="shared" ref="H647" si="1875">D647-F647</f>
        <v>15.460738493405168</v>
      </c>
      <c r="I647" s="121"/>
      <c r="J647" s="121">
        <f t="shared" ref="J647" si="1876">J645-H647</f>
        <v>31.049145001216132</v>
      </c>
      <c r="K647" s="37"/>
      <c r="M647" s="41">
        <v>298</v>
      </c>
      <c r="N647" s="35"/>
      <c r="O647" s="121">
        <f t="shared" ref="O647" si="1877">$S$29</f>
        <v>16.137436987603884</v>
      </c>
      <c r="P647" s="121"/>
      <c r="Q647" s="121">
        <f t="shared" ref="Q647" si="1878">($S$18/12)*U645</f>
        <v>0.1523398157401305</v>
      </c>
      <c r="R647" s="121"/>
      <c r="S647" s="121">
        <f t="shared" ref="S647" si="1879">O647-Q647</f>
        <v>15.985097171863753</v>
      </c>
      <c r="T647" s="35"/>
      <c r="U647" s="121">
        <f t="shared" ref="U647" si="1880">U645-S647</f>
        <v>32.122213061861672</v>
      </c>
      <c r="V647" s="37"/>
    </row>
    <row r="648" spans="2:22" ht="15" thickBot="1" x14ac:dyDescent="0.35">
      <c r="B648" s="41"/>
      <c r="C648" s="35"/>
      <c r="D648" s="35"/>
      <c r="E648" s="35"/>
      <c r="F648" s="121"/>
      <c r="G648" s="121"/>
      <c r="H648" s="121"/>
      <c r="I648" s="121"/>
      <c r="J648" s="35"/>
      <c r="K648" s="37"/>
      <c r="M648" s="41"/>
      <c r="N648" s="35"/>
      <c r="O648" s="121"/>
      <c r="P648" s="121"/>
      <c r="Q648" s="121"/>
      <c r="R648" s="121"/>
      <c r="S648" s="35"/>
      <c r="T648" s="35"/>
      <c r="U648" s="35"/>
      <c r="V648" s="37"/>
    </row>
    <row r="649" spans="2:22" ht="15" thickBot="1" x14ac:dyDescent="0.35">
      <c r="B649" s="41">
        <v>299</v>
      </c>
      <c r="C649" s="35"/>
      <c r="D649" s="121">
        <f t="shared" ref="D649" si="1881">$N$30</f>
        <v>15.588640673015377</v>
      </c>
      <c r="E649" s="35"/>
      <c r="F649" s="121">
        <f t="shared" ref="F649" si="1882">($N$18/12)*J647</f>
        <v>8.5385148753344367E-2</v>
      </c>
      <c r="G649" s="121"/>
      <c r="H649" s="121">
        <f t="shared" ref="H649" si="1883">D649-F649</f>
        <v>15.503255524262032</v>
      </c>
      <c r="I649" s="121"/>
      <c r="J649" s="121">
        <f t="shared" ref="J649" si="1884">J647-H649</f>
        <v>15.5458894769541</v>
      </c>
      <c r="K649" s="37"/>
      <c r="M649" s="41">
        <v>299</v>
      </c>
      <c r="N649" s="35"/>
      <c r="O649" s="121">
        <f t="shared" ref="O649" si="1885">$S$29</f>
        <v>16.137436987603884</v>
      </c>
      <c r="P649" s="121"/>
      <c r="Q649" s="121">
        <f t="shared" ref="Q649" si="1886">($S$18/12)*U647</f>
        <v>0.10172034136256196</v>
      </c>
      <c r="R649" s="121"/>
      <c r="S649" s="121">
        <f t="shared" ref="S649" si="1887">O649-Q649</f>
        <v>16.035716646241323</v>
      </c>
      <c r="T649" s="35"/>
      <c r="U649" s="121">
        <f t="shared" ref="U649" si="1888">U647-S649</f>
        <v>16.086496415620349</v>
      </c>
      <c r="V649" s="37"/>
    </row>
    <row r="650" spans="2:22" ht="15" thickBot="1" x14ac:dyDescent="0.35">
      <c r="B650" s="41"/>
      <c r="C650" s="35"/>
      <c r="D650" s="35"/>
      <c r="E650" s="35"/>
      <c r="F650" s="121"/>
      <c r="G650" s="121"/>
      <c r="H650" s="121"/>
      <c r="I650" s="121"/>
      <c r="J650" s="35"/>
      <c r="K650" s="37"/>
      <c r="M650" s="41"/>
      <c r="N650" s="35"/>
      <c r="O650" s="121"/>
      <c r="P650" s="121"/>
      <c r="Q650" s="121"/>
      <c r="R650" s="121"/>
      <c r="S650" s="35"/>
      <c r="T650" s="35"/>
      <c r="U650" s="35"/>
      <c r="V650" s="37"/>
    </row>
    <row r="651" spans="2:22" ht="15" thickBot="1" x14ac:dyDescent="0.35">
      <c r="B651" s="41">
        <v>300</v>
      </c>
      <c r="C651" s="35"/>
      <c r="D651" s="121">
        <f t="shared" ref="D651" si="1889">$N$30</f>
        <v>15.588640673015377</v>
      </c>
      <c r="E651" s="35"/>
      <c r="F651" s="121">
        <f t="shared" ref="F651" si="1890">($N$18/12)*J649</f>
        <v>4.2751196061623781E-2</v>
      </c>
      <c r="G651" s="121"/>
      <c r="H651" s="121">
        <f t="shared" ref="H651" si="1891">D651-F651</f>
        <v>15.545889476953754</v>
      </c>
      <c r="I651" s="121"/>
      <c r="J651" s="121">
        <f t="shared" ref="J651" si="1892">J649-H651</f>
        <v>3.4638958368304884E-13</v>
      </c>
      <c r="K651" s="37"/>
      <c r="M651" s="41">
        <v>300</v>
      </c>
      <c r="N651" s="35"/>
      <c r="O651" s="121">
        <f t="shared" ref="O651" si="1893">$S$29</f>
        <v>16.137436987603884</v>
      </c>
      <c r="P651" s="121"/>
      <c r="Q651" s="121">
        <f t="shared" ref="Q651" si="1894">($S$18/12)*U649</f>
        <v>5.0940571982797771E-2</v>
      </c>
      <c r="R651" s="121"/>
      <c r="S651" s="121">
        <f t="shared" ref="S651" si="1895">O651-Q651</f>
        <v>16.086496415621088</v>
      </c>
      <c r="T651" s="35"/>
      <c r="U651" s="121">
        <f t="shared" ref="U651" si="1896">U649-S651</f>
        <v>-7.3896444519050419E-13</v>
      </c>
      <c r="V651" s="37"/>
    </row>
    <row r="652" spans="2:22" ht="15" thickBot="1" x14ac:dyDescent="0.35">
      <c r="B652" s="42"/>
      <c r="C652" s="43"/>
      <c r="D652" s="43"/>
      <c r="E652" s="43"/>
      <c r="F652" s="143"/>
      <c r="G652" s="143"/>
      <c r="H652" s="143"/>
      <c r="I652" s="143"/>
      <c r="J652" s="43"/>
      <c r="K652" s="44"/>
      <c r="M652" s="42"/>
      <c r="N652" s="43"/>
      <c r="O652" s="143"/>
      <c r="P652" s="143"/>
      <c r="Q652" s="143"/>
      <c r="R652" s="143"/>
      <c r="S652" s="43"/>
      <c r="T652" s="43"/>
      <c r="U652" s="43"/>
      <c r="V652" s="44"/>
    </row>
    <row r="653" spans="2:22" ht="15" thickTop="1" x14ac:dyDescent="0.3"/>
  </sheetData>
  <mergeCells count="2516">
    <mergeCell ref="P78:T79"/>
    <mergeCell ref="P80:T83"/>
    <mergeCell ref="B28:E32"/>
    <mergeCell ref="N71:Q72"/>
    <mergeCell ref="N73:O74"/>
    <mergeCell ref="P73:Q74"/>
    <mergeCell ref="N75:O76"/>
    <mergeCell ref="P75:Q76"/>
    <mergeCell ref="S71:V72"/>
    <mergeCell ref="S73:T74"/>
    <mergeCell ref="U73:V74"/>
    <mergeCell ref="S75:T76"/>
    <mergeCell ref="U75:V76"/>
    <mergeCell ref="S64:T65"/>
    <mergeCell ref="U64:V65"/>
    <mergeCell ref="N69:Q70"/>
    <mergeCell ref="S69:V70"/>
    <mergeCell ref="S58:V59"/>
    <mergeCell ref="N60:O61"/>
    <mergeCell ref="P60:Q61"/>
    <mergeCell ref="S60:V61"/>
    <mergeCell ref="S62:T63"/>
    <mergeCell ref="U62:V63"/>
    <mergeCell ref="N50:Q51"/>
    <mergeCell ref="N52:O53"/>
    <mergeCell ref="P52:Q53"/>
    <mergeCell ref="N54:O55"/>
    <mergeCell ref="P54:Q55"/>
    <mergeCell ref="N58:Q59"/>
    <mergeCell ref="N42:O43"/>
    <mergeCell ref="P42:Q43"/>
    <mergeCell ref="N44:O45"/>
    <mergeCell ref="M649:N650"/>
    <mergeCell ref="O649:P650"/>
    <mergeCell ref="Q649:R650"/>
    <mergeCell ref="S649:T650"/>
    <mergeCell ref="U649:V650"/>
    <mergeCell ref="M651:N652"/>
    <mergeCell ref="O651:P652"/>
    <mergeCell ref="Q651:R652"/>
    <mergeCell ref="S651:T652"/>
    <mergeCell ref="U651:V652"/>
    <mergeCell ref="M645:N646"/>
    <mergeCell ref="O645:P646"/>
    <mergeCell ref="Q645:R646"/>
    <mergeCell ref="S645:T646"/>
    <mergeCell ref="U645:V646"/>
    <mergeCell ref="M647:N648"/>
    <mergeCell ref="O647:P648"/>
    <mergeCell ref="Q647:R648"/>
    <mergeCell ref="S647:T648"/>
    <mergeCell ref="U647:V648"/>
    <mergeCell ref="U643:V644"/>
    <mergeCell ref="M637:N638"/>
    <mergeCell ref="O637:P638"/>
    <mergeCell ref="Q637:R638"/>
    <mergeCell ref="S637:T638"/>
    <mergeCell ref="U637:V638"/>
    <mergeCell ref="M639:N640"/>
    <mergeCell ref="O639:P640"/>
    <mergeCell ref="Q639:R640"/>
    <mergeCell ref="S639:T640"/>
    <mergeCell ref="U639:V640"/>
    <mergeCell ref="M633:N634"/>
    <mergeCell ref="O633:P634"/>
    <mergeCell ref="Q633:R634"/>
    <mergeCell ref="S633:T634"/>
    <mergeCell ref="U633:V634"/>
    <mergeCell ref="M635:N636"/>
    <mergeCell ref="O635:P636"/>
    <mergeCell ref="Q635:R636"/>
    <mergeCell ref="S635:T636"/>
    <mergeCell ref="U635:V636"/>
    <mergeCell ref="M641:N642"/>
    <mergeCell ref="O641:P642"/>
    <mergeCell ref="Q641:R642"/>
    <mergeCell ref="S641:T642"/>
    <mergeCell ref="U641:V642"/>
    <mergeCell ref="M643:N644"/>
    <mergeCell ref="O643:P644"/>
    <mergeCell ref="Q643:R644"/>
    <mergeCell ref="S643:T644"/>
    <mergeCell ref="M629:N630"/>
    <mergeCell ref="O629:P630"/>
    <mergeCell ref="Q629:R630"/>
    <mergeCell ref="S629:T630"/>
    <mergeCell ref="U629:V630"/>
    <mergeCell ref="M631:N632"/>
    <mergeCell ref="O631:P632"/>
    <mergeCell ref="Q631:R632"/>
    <mergeCell ref="S631:T632"/>
    <mergeCell ref="U631:V632"/>
    <mergeCell ref="M625:N626"/>
    <mergeCell ref="O625:P626"/>
    <mergeCell ref="Q625:R626"/>
    <mergeCell ref="S625:T626"/>
    <mergeCell ref="U625:V626"/>
    <mergeCell ref="M627:N628"/>
    <mergeCell ref="O627:P628"/>
    <mergeCell ref="Q627:R628"/>
    <mergeCell ref="S627:T628"/>
    <mergeCell ref="U627:V628"/>
    <mergeCell ref="M621:N622"/>
    <mergeCell ref="O621:P622"/>
    <mergeCell ref="Q621:R622"/>
    <mergeCell ref="S621:T622"/>
    <mergeCell ref="U621:V622"/>
    <mergeCell ref="M623:N624"/>
    <mergeCell ref="O623:P624"/>
    <mergeCell ref="Q623:R624"/>
    <mergeCell ref="S623:T624"/>
    <mergeCell ref="U623:V624"/>
    <mergeCell ref="M617:N618"/>
    <mergeCell ref="O617:P618"/>
    <mergeCell ref="Q617:R618"/>
    <mergeCell ref="S617:T618"/>
    <mergeCell ref="U617:V618"/>
    <mergeCell ref="M619:N620"/>
    <mergeCell ref="O619:P620"/>
    <mergeCell ref="Q619:R620"/>
    <mergeCell ref="S619:T620"/>
    <mergeCell ref="U619:V620"/>
    <mergeCell ref="M613:N614"/>
    <mergeCell ref="O613:P614"/>
    <mergeCell ref="Q613:R614"/>
    <mergeCell ref="S613:T614"/>
    <mergeCell ref="U613:V614"/>
    <mergeCell ref="M615:N616"/>
    <mergeCell ref="O615:P616"/>
    <mergeCell ref="Q615:R616"/>
    <mergeCell ref="S615:T616"/>
    <mergeCell ref="U615:V616"/>
    <mergeCell ref="M609:N610"/>
    <mergeCell ref="O609:P610"/>
    <mergeCell ref="Q609:R610"/>
    <mergeCell ref="S609:T610"/>
    <mergeCell ref="U609:V610"/>
    <mergeCell ref="M611:N612"/>
    <mergeCell ref="O611:P612"/>
    <mergeCell ref="Q611:R612"/>
    <mergeCell ref="S611:T612"/>
    <mergeCell ref="U611:V612"/>
    <mergeCell ref="M605:N606"/>
    <mergeCell ref="O605:P606"/>
    <mergeCell ref="Q605:R606"/>
    <mergeCell ref="S605:T606"/>
    <mergeCell ref="U605:V606"/>
    <mergeCell ref="M607:N608"/>
    <mergeCell ref="O607:P608"/>
    <mergeCell ref="Q607:R608"/>
    <mergeCell ref="S607:T608"/>
    <mergeCell ref="U607:V608"/>
    <mergeCell ref="M601:N602"/>
    <mergeCell ref="O601:P602"/>
    <mergeCell ref="Q601:R602"/>
    <mergeCell ref="S601:T602"/>
    <mergeCell ref="U601:V602"/>
    <mergeCell ref="M603:N604"/>
    <mergeCell ref="O603:P604"/>
    <mergeCell ref="Q603:R604"/>
    <mergeCell ref="S603:T604"/>
    <mergeCell ref="U603:V604"/>
    <mergeCell ref="M597:N598"/>
    <mergeCell ref="O597:P598"/>
    <mergeCell ref="Q597:R598"/>
    <mergeCell ref="S597:T598"/>
    <mergeCell ref="U597:V598"/>
    <mergeCell ref="M599:N600"/>
    <mergeCell ref="O599:P600"/>
    <mergeCell ref="Q599:R600"/>
    <mergeCell ref="S599:T600"/>
    <mergeCell ref="U599:V600"/>
    <mergeCell ref="M593:N594"/>
    <mergeCell ref="O593:P594"/>
    <mergeCell ref="Q593:R594"/>
    <mergeCell ref="S593:T594"/>
    <mergeCell ref="U593:V594"/>
    <mergeCell ref="M595:N596"/>
    <mergeCell ref="O595:P596"/>
    <mergeCell ref="Q595:R596"/>
    <mergeCell ref="S595:T596"/>
    <mergeCell ref="U595:V596"/>
    <mergeCell ref="M589:N590"/>
    <mergeCell ref="O589:P590"/>
    <mergeCell ref="Q589:R590"/>
    <mergeCell ref="S589:T590"/>
    <mergeCell ref="U589:V590"/>
    <mergeCell ref="M591:N592"/>
    <mergeCell ref="O591:P592"/>
    <mergeCell ref="Q591:R592"/>
    <mergeCell ref="S591:T592"/>
    <mergeCell ref="U591:V592"/>
    <mergeCell ref="M585:N586"/>
    <mergeCell ref="O585:P586"/>
    <mergeCell ref="Q585:R586"/>
    <mergeCell ref="S585:T586"/>
    <mergeCell ref="U585:V586"/>
    <mergeCell ref="M587:N588"/>
    <mergeCell ref="O587:P588"/>
    <mergeCell ref="Q587:R588"/>
    <mergeCell ref="S587:T588"/>
    <mergeCell ref="U587:V588"/>
    <mergeCell ref="M581:N582"/>
    <mergeCell ref="O581:P582"/>
    <mergeCell ref="Q581:R582"/>
    <mergeCell ref="S581:T582"/>
    <mergeCell ref="U581:V582"/>
    <mergeCell ref="M583:N584"/>
    <mergeCell ref="O583:P584"/>
    <mergeCell ref="Q583:R584"/>
    <mergeCell ref="S583:T584"/>
    <mergeCell ref="U583:V584"/>
    <mergeCell ref="M577:N578"/>
    <mergeCell ref="O577:P578"/>
    <mergeCell ref="Q577:R578"/>
    <mergeCell ref="S577:T578"/>
    <mergeCell ref="U577:V578"/>
    <mergeCell ref="M579:N580"/>
    <mergeCell ref="O579:P580"/>
    <mergeCell ref="Q579:R580"/>
    <mergeCell ref="S579:T580"/>
    <mergeCell ref="U579:V580"/>
    <mergeCell ref="M573:N574"/>
    <mergeCell ref="O573:P574"/>
    <mergeCell ref="Q573:R574"/>
    <mergeCell ref="S573:T574"/>
    <mergeCell ref="U573:V574"/>
    <mergeCell ref="M575:N576"/>
    <mergeCell ref="O575:P576"/>
    <mergeCell ref="Q575:R576"/>
    <mergeCell ref="S575:T576"/>
    <mergeCell ref="U575:V576"/>
    <mergeCell ref="M569:N570"/>
    <mergeCell ref="O569:P570"/>
    <mergeCell ref="Q569:R570"/>
    <mergeCell ref="S569:T570"/>
    <mergeCell ref="U569:V570"/>
    <mergeCell ref="M571:N572"/>
    <mergeCell ref="O571:P572"/>
    <mergeCell ref="Q571:R572"/>
    <mergeCell ref="S571:T572"/>
    <mergeCell ref="U571:V572"/>
    <mergeCell ref="M565:N566"/>
    <mergeCell ref="O565:P566"/>
    <mergeCell ref="Q565:R566"/>
    <mergeCell ref="S565:T566"/>
    <mergeCell ref="U565:V566"/>
    <mergeCell ref="M567:N568"/>
    <mergeCell ref="O567:P568"/>
    <mergeCell ref="Q567:R568"/>
    <mergeCell ref="S567:T568"/>
    <mergeCell ref="U567:V568"/>
    <mergeCell ref="M561:N562"/>
    <mergeCell ref="O561:P562"/>
    <mergeCell ref="Q561:R562"/>
    <mergeCell ref="S561:T562"/>
    <mergeCell ref="U561:V562"/>
    <mergeCell ref="M563:N564"/>
    <mergeCell ref="O563:P564"/>
    <mergeCell ref="Q563:R564"/>
    <mergeCell ref="S563:T564"/>
    <mergeCell ref="U563:V564"/>
    <mergeCell ref="M557:N558"/>
    <mergeCell ref="O557:P558"/>
    <mergeCell ref="Q557:R558"/>
    <mergeCell ref="S557:T558"/>
    <mergeCell ref="U557:V558"/>
    <mergeCell ref="M559:N560"/>
    <mergeCell ref="O559:P560"/>
    <mergeCell ref="Q559:R560"/>
    <mergeCell ref="S559:T560"/>
    <mergeCell ref="U559:V560"/>
    <mergeCell ref="M553:N554"/>
    <mergeCell ref="O553:P554"/>
    <mergeCell ref="Q553:R554"/>
    <mergeCell ref="S553:T554"/>
    <mergeCell ref="U553:V554"/>
    <mergeCell ref="M555:N556"/>
    <mergeCell ref="O555:P556"/>
    <mergeCell ref="Q555:R556"/>
    <mergeCell ref="S555:T556"/>
    <mergeCell ref="U555:V556"/>
    <mergeCell ref="M549:N550"/>
    <mergeCell ref="O549:P550"/>
    <mergeCell ref="Q549:R550"/>
    <mergeCell ref="S549:T550"/>
    <mergeCell ref="U549:V550"/>
    <mergeCell ref="M551:N552"/>
    <mergeCell ref="O551:P552"/>
    <mergeCell ref="Q551:R552"/>
    <mergeCell ref="S551:T552"/>
    <mergeCell ref="U551:V552"/>
    <mergeCell ref="M545:N546"/>
    <mergeCell ref="O545:P546"/>
    <mergeCell ref="Q545:R546"/>
    <mergeCell ref="S545:T546"/>
    <mergeCell ref="U545:V546"/>
    <mergeCell ref="M547:N548"/>
    <mergeCell ref="O547:P548"/>
    <mergeCell ref="Q547:R548"/>
    <mergeCell ref="S547:T548"/>
    <mergeCell ref="U547:V548"/>
    <mergeCell ref="M541:N542"/>
    <mergeCell ref="O541:P542"/>
    <mergeCell ref="Q541:R542"/>
    <mergeCell ref="S541:T542"/>
    <mergeCell ref="U541:V542"/>
    <mergeCell ref="M543:N544"/>
    <mergeCell ref="O543:P544"/>
    <mergeCell ref="Q543:R544"/>
    <mergeCell ref="S543:T544"/>
    <mergeCell ref="U543:V544"/>
    <mergeCell ref="M537:N538"/>
    <mergeCell ref="O537:P538"/>
    <mergeCell ref="Q537:R538"/>
    <mergeCell ref="S537:T538"/>
    <mergeCell ref="U537:V538"/>
    <mergeCell ref="M539:N540"/>
    <mergeCell ref="O539:P540"/>
    <mergeCell ref="Q539:R540"/>
    <mergeCell ref="S539:T540"/>
    <mergeCell ref="U539:V540"/>
    <mergeCell ref="M533:N534"/>
    <mergeCell ref="O533:P534"/>
    <mergeCell ref="Q533:R534"/>
    <mergeCell ref="S533:T534"/>
    <mergeCell ref="U533:V534"/>
    <mergeCell ref="M535:N536"/>
    <mergeCell ref="O535:P536"/>
    <mergeCell ref="Q535:R536"/>
    <mergeCell ref="S535:T536"/>
    <mergeCell ref="U535:V536"/>
    <mergeCell ref="M529:N530"/>
    <mergeCell ref="O529:P530"/>
    <mergeCell ref="Q529:R530"/>
    <mergeCell ref="S529:T530"/>
    <mergeCell ref="U529:V530"/>
    <mergeCell ref="M531:N532"/>
    <mergeCell ref="O531:P532"/>
    <mergeCell ref="Q531:R532"/>
    <mergeCell ref="S531:T532"/>
    <mergeCell ref="U531:V532"/>
    <mergeCell ref="M525:N526"/>
    <mergeCell ref="O525:P526"/>
    <mergeCell ref="Q525:R526"/>
    <mergeCell ref="S525:T526"/>
    <mergeCell ref="U525:V526"/>
    <mergeCell ref="M527:N528"/>
    <mergeCell ref="O527:P528"/>
    <mergeCell ref="Q527:R528"/>
    <mergeCell ref="S527:T528"/>
    <mergeCell ref="U527:V528"/>
    <mergeCell ref="M521:N522"/>
    <mergeCell ref="O521:P522"/>
    <mergeCell ref="Q521:R522"/>
    <mergeCell ref="S521:T522"/>
    <mergeCell ref="U521:V522"/>
    <mergeCell ref="M523:N524"/>
    <mergeCell ref="O523:P524"/>
    <mergeCell ref="Q523:R524"/>
    <mergeCell ref="S523:T524"/>
    <mergeCell ref="U523:V524"/>
    <mergeCell ref="M517:N518"/>
    <mergeCell ref="O517:P518"/>
    <mergeCell ref="Q517:R518"/>
    <mergeCell ref="S517:T518"/>
    <mergeCell ref="U517:V518"/>
    <mergeCell ref="M519:N520"/>
    <mergeCell ref="O519:P520"/>
    <mergeCell ref="Q519:R520"/>
    <mergeCell ref="S519:T520"/>
    <mergeCell ref="U519:V520"/>
    <mergeCell ref="M513:N514"/>
    <mergeCell ref="O513:P514"/>
    <mergeCell ref="Q513:R514"/>
    <mergeCell ref="S513:T514"/>
    <mergeCell ref="U513:V514"/>
    <mergeCell ref="M515:N516"/>
    <mergeCell ref="O515:P516"/>
    <mergeCell ref="Q515:R516"/>
    <mergeCell ref="S515:T516"/>
    <mergeCell ref="U515:V516"/>
    <mergeCell ref="M509:N510"/>
    <mergeCell ref="O509:P510"/>
    <mergeCell ref="Q509:R510"/>
    <mergeCell ref="S509:T510"/>
    <mergeCell ref="U509:V510"/>
    <mergeCell ref="M511:N512"/>
    <mergeCell ref="O511:P512"/>
    <mergeCell ref="Q511:R512"/>
    <mergeCell ref="S511:T512"/>
    <mergeCell ref="U511:V512"/>
    <mergeCell ref="M505:N506"/>
    <mergeCell ref="O505:P506"/>
    <mergeCell ref="Q505:R506"/>
    <mergeCell ref="S505:T506"/>
    <mergeCell ref="U505:V506"/>
    <mergeCell ref="M507:N508"/>
    <mergeCell ref="O507:P508"/>
    <mergeCell ref="Q507:R508"/>
    <mergeCell ref="S507:T508"/>
    <mergeCell ref="U507:V508"/>
    <mergeCell ref="M501:N502"/>
    <mergeCell ref="O501:P502"/>
    <mergeCell ref="Q501:R502"/>
    <mergeCell ref="S501:T502"/>
    <mergeCell ref="U501:V502"/>
    <mergeCell ref="M503:N504"/>
    <mergeCell ref="O503:P504"/>
    <mergeCell ref="Q503:R504"/>
    <mergeCell ref="S503:T504"/>
    <mergeCell ref="U503:V504"/>
    <mergeCell ref="M497:N498"/>
    <mergeCell ref="O497:P498"/>
    <mergeCell ref="Q497:R498"/>
    <mergeCell ref="S497:T498"/>
    <mergeCell ref="U497:V498"/>
    <mergeCell ref="M499:N500"/>
    <mergeCell ref="O499:P500"/>
    <mergeCell ref="Q499:R500"/>
    <mergeCell ref="S499:T500"/>
    <mergeCell ref="U499:V500"/>
    <mergeCell ref="M493:N494"/>
    <mergeCell ref="O493:P494"/>
    <mergeCell ref="Q493:R494"/>
    <mergeCell ref="S493:T494"/>
    <mergeCell ref="U493:V494"/>
    <mergeCell ref="M495:N496"/>
    <mergeCell ref="O495:P496"/>
    <mergeCell ref="Q495:R496"/>
    <mergeCell ref="S495:T496"/>
    <mergeCell ref="U495:V496"/>
    <mergeCell ref="M489:N490"/>
    <mergeCell ref="O489:P490"/>
    <mergeCell ref="Q489:R490"/>
    <mergeCell ref="S489:T490"/>
    <mergeCell ref="U489:V490"/>
    <mergeCell ref="M491:N492"/>
    <mergeCell ref="O491:P492"/>
    <mergeCell ref="Q491:R492"/>
    <mergeCell ref="S491:T492"/>
    <mergeCell ref="U491:V492"/>
    <mergeCell ref="M485:N486"/>
    <mergeCell ref="O485:P486"/>
    <mergeCell ref="Q485:R486"/>
    <mergeCell ref="S485:T486"/>
    <mergeCell ref="U485:V486"/>
    <mergeCell ref="M487:N488"/>
    <mergeCell ref="O487:P488"/>
    <mergeCell ref="Q487:R488"/>
    <mergeCell ref="S487:T488"/>
    <mergeCell ref="U487:V488"/>
    <mergeCell ref="M481:N482"/>
    <mergeCell ref="O481:P482"/>
    <mergeCell ref="Q481:R482"/>
    <mergeCell ref="S481:T482"/>
    <mergeCell ref="U481:V482"/>
    <mergeCell ref="M483:N484"/>
    <mergeCell ref="O483:P484"/>
    <mergeCell ref="Q483:R484"/>
    <mergeCell ref="S483:T484"/>
    <mergeCell ref="U483:V484"/>
    <mergeCell ref="M477:N478"/>
    <mergeCell ref="O477:P478"/>
    <mergeCell ref="Q477:R478"/>
    <mergeCell ref="S477:T478"/>
    <mergeCell ref="U477:V478"/>
    <mergeCell ref="M479:N480"/>
    <mergeCell ref="O479:P480"/>
    <mergeCell ref="Q479:R480"/>
    <mergeCell ref="S479:T480"/>
    <mergeCell ref="U479:V480"/>
    <mergeCell ref="M473:N474"/>
    <mergeCell ref="O473:P474"/>
    <mergeCell ref="Q473:R474"/>
    <mergeCell ref="S473:T474"/>
    <mergeCell ref="U473:V474"/>
    <mergeCell ref="M475:N476"/>
    <mergeCell ref="O475:P476"/>
    <mergeCell ref="Q475:R476"/>
    <mergeCell ref="S475:T476"/>
    <mergeCell ref="U475:V476"/>
    <mergeCell ref="M469:N470"/>
    <mergeCell ref="O469:P470"/>
    <mergeCell ref="Q469:R470"/>
    <mergeCell ref="S469:T470"/>
    <mergeCell ref="U469:V470"/>
    <mergeCell ref="M471:N472"/>
    <mergeCell ref="O471:P472"/>
    <mergeCell ref="Q471:R472"/>
    <mergeCell ref="S471:T472"/>
    <mergeCell ref="U471:V472"/>
    <mergeCell ref="M465:N466"/>
    <mergeCell ref="O465:P466"/>
    <mergeCell ref="Q465:R466"/>
    <mergeCell ref="S465:T466"/>
    <mergeCell ref="U465:V466"/>
    <mergeCell ref="M467:N468"/>
    <mergeCell ref="O467:P468"/>
    <mergeCell ref="Q467:R468"/>
    <mergeCell ref="S467:T468"/>
    <mergeCell ref="U467:V468"/>
    <mergeCell ref="M461:N462"/>
    <mergeCell ref="O461:P462"/>
    <mergeCell ref="Q461:R462"/>
    <mergeCell ref="S461:T462"/>
    <mergeCell ref="U461:V462"/>
    <mergeCell ref="M463:N464"/>
    <mergeCell ref="O463:P464"/>
    <mergeCell ref="Q463:R464"/>
    <mergeCell ref="S463:T464"/>
    <mergeCell ref="U463:V464"/>
    <mergeCell ref="M457:N458"/>
    <mergeCell ref="O457:P458"/>
    <mergeCell ref="Q457:R458"/>
    <mergeCell ref="S457:T458"/>
    <mergeCell ref="U457:V458"/>
    <mergeCell ref="M459:N460"/>
    <mergeCell ref="O459:P460"/>
    <mergeCell ref="Q459:R460"/>
    <mergeCell ref="S459:T460"/>
    <mergeCell ref="U459:V460"/>
    <mergeCell ref="M453:N454"/>
    <mergeCell ref="O453:P454"/>
    <mergeCell ref="Q453:R454"/>
    <mergeCell ref="S453:T454"/>
    <mergeCell ref="U453:V454"/>
    <mergeCell ref="M455:N456"/>
    <mergeCell ref="O455:P456"/>
    <mergeCell ref="Q455:R456"/>
    <mergeCell ref="S455:T456"/>
    <mergeCell ref="U455:V456"/>
    <mergeCell ref="M449:N450"/>
    <mergeCell ref="O449:P450"/>
    <mergeCell ref="Q449:R450"/>
    <mergeCell ref="S449:T450"/>
    <mergeCell ref="U449:V450"/>
    <mergeCell ref="M451:N452"/>
    <mergeCell ref="O451:P452"/>
    <mergeCell ref="Q451:R452"/>
    <mergeCell ref="S451:T452"/>
    <mergeCell ref="U451:V452"/>
    <mergeCell ref="M445:N446"/>
    <mergeCell ref="O445:P446"/>
    <mergeCell ref="Q445:R446"/>
    <mergeCell ref="S445:T446"/>
    <mergeCell ref="U445:V446"/>
    <mergeCell ref="M447:N448"/>
    <mergeCell ref="O447:P448"/>
    <mergeCell ref="Q447:R448"/>
    <mergeCell ref="S447:T448"/>
    <mergeCell ref="U447:V448"/>
    <mergeCell ref="M441:N442"/>
    <mergeCell ref="O441:P442"/>
    <mergeCell ref="Q441:R442"/>
    <mergeCell ref="S441:T442"/>
    <mergeCell ref="U441:V442"/>
    <mergeCell ref="M443:N444"/>
    <mergeCell ref="O443:P444"/>
    <mergeCell ref="Q443:R444"/>
    <mergeCell ref="S443:T444"/>
    <mergeCell ref="U443:V444"/>
    <mergeCell ref="M437:N438"/>
    <mergeCell ref="O437:P438"/>
    <mergeCell ref="Q437:R438"/>
    <mergeCell ref="S437:T438"/>
    <mergeCell ref="U437:V438"/>
    <mergeCell ref="M439:N440"/>
    <mergeCell ref="O439:P440"/>
    <mergeCell ref="Q439:R440"/>
    <mergeCell ref="S439:T440"/>
    <mergeCell ref="U439:V440"/>
    <mergeCell ref="M433:N434"/>
    <mergeCell ref="O433:P434"/>
    <mergeCell ref="Q433:R434"/>
    <mergeCell ref="S433:T434"/>
    <mergeCell ref="U433:V434"/>
    <mergeCell ref="M435:N436"/>
    <mergeCell ref="O435:P436"/>
    <mergeCell ref="Q435:R436"/>
    <mergeCell ref="S435:T436"/>
    <mergeCell ref="U435:V436"/>
    <mergeCell ref="M429:N430"/>
    <mergeCell ref="O429:P430"/>
    <mergeCell ref="Q429:R430"/>
    <mergeCell ref="S429:T430"/>
    <mergeCell ref="U429:V430"/>
    <mergeCell ref="M431:N432"/>
    <mergeCell ref="O431:P432"/>
    <mergeCell ref="Q431:R432"/>
    <mergeCell ref="S431:T432"/>
    <mergeCell ref="U431:V432"/>
    <mergeCell ref="M425:N426"/>
    <mergeCell ref="O425:P426"/>
    <mergeCell ref="Q425:R426"/>
    <mergeCell ref="S425:T426"/>
    <mergeCell ref="U425:V426"/>
    <mergeCell ref="M427:N428"/>
    <mergeCell ref="O427:P428"/>
    <mergeCell ref="Q427:R428"/>
    <mergeCell ref="S427:T428"/>
    <mergeCell ref="U427:V428"/>
    <mergeCell ref="M421:N422"/>
    <mergeCell ref="O421:P422"/>
    <mergeCell ref="Q421:R422"/>
    <mergeCell ref="S421:T422"/>
    <mergeCell ref="U421:V422"/>
    <mergeCell ref="M423:N424"/>
    <mergeCell ref="O423:P424"/>
    <mergeCell ref="Q423:R424"/>
    <mergeCell ref="S423:T424"/>
    <mergeCell ref="U423:V424"/>
    <mergeCell ref="M417:N418"/>
    <mergeCell ref="O417:P418"/>
    <mergeCell ref="Q417:R418"/>
    <mergeCell ref="S417:T418"/>
    <mergeCell ref="U417:V418"/>
    <mergeCell ref="M419:N420"/>
    <mergeCell ref="O419:P420"/>
    <mergeCell ref="Q419:R420"/>
    <mergeCell ref="S419:T420"/>
    <mergeCell ref="U419:V420"/>
    <mergeCell ref="M413:N414"/>
    <mergeCell ref="O413:P414"/>
    <mergeCell ref="Q413:R414"/>
    <mergeCell ref="S413:T414"/>
    <mergeCell ref="U413:V414"/>
    <mergeCell ref="M415:N416"/>
    <mergeCell ref="O415:P416"/>
    <mergeCell ref="Q415:R416"/>
    <mergeCell ref="S415:T416"/>
    <mergeCell ref="U415:V416"/>
    <mergeCell ref="M409:N410"/>
    <mergeCell ref="O409:P410"/>
    <mergeCell ref="Q409:R410"/>
    <mergeCell ref="S409:T410"/>
    <mergeCell ref="U409:V410"/>
    <mergeCell ref="M411:N412"/>
    <mergeCell ref="O411:P412"/>
    <mergeCell ref="Q411:R412"/>
    <mergeCell ref="S411:T412"/>
    <mergeCell ref="U411:V412"/>
    <mergeCell ref="M405:N406"/>
    <mergeCell ref="O405:P406"/>
    <mergeCell ref="Q405:R406"/>
    <mergeCell ref="S405:T406"/>
    <mergeCell ref="U405:V406"/>
    <mergeCell ref="M407:N408"/>
    <mergeCell ref="O407:P408"/>
    <mergeCell ref="Q407:R408"/>
    <mergeCell ref="S407:T408"/>
    <mergeCell ref="U407:V408"/>
    <mergeCell ref="M401:N402"/>
    <mergeCell ref="O401:P402"/>
    <mergeCell ref="Q401:R402"/>
    <mergeCell ref="S401:T402"/>
    <mergeCell ref="U401:V402"/>
    <mergeCell ref="M403:N404"/>
    <mergeCell ref="O403:P404"/>
    <mergeCell ref="Q403:R404"/>
    <mergeCell ref="S403:T404"/>
    <mergeCell ref="U403:V404"/>
    <mergeCell ref="M397:N398"/>
    <mergeCell ref="O397:P398"/>
    <mergeCell ref="Q397:R398"/>
    <mergeCell ref="S397:T398"/>
    <mergeCell ref="U397:V398"/>
    <mergeCell ref="M399:N400"/>
    <mergeCell ref="O399:P400"/>
    <mergeCell ref="Q399:R400"/>
    <mergeCell ref="S399:T400"/>
    <mergeCell ref="U399:V400"/>
    <mergeCell ref="M393:N394"/>
    <mergeCell ref="O393:P394"/>
    <mergeCell ref="Q393:R394"/>
    <mergeCell ref="S393:T394"/>
    <mergeCell ref="U393:V394"/>
    <mergeCell ref="M395:N396"/>
    <mergeCell ref="O395:P396"/>
    <mergeCell ref="Q395:R396"/>
    <mergeCell ref="S395:T396"/>
    <mergeCell ref="U395:V396"/>
    <mergeCell ref="M389:N390"/>
    <mergeCell ref="O389:P390"/>
    <mergeCell ref="Q389:R390"/>
    <mergeCell ref="S389:T390"/>
    <mergeCell ref="U389:V390"/>
    <mergeCell ref="M391:N392"/>
    <mergeCell ref="O391:P392"/>
    <mergeCell ref="Q391:R392"/>
    <mergeCell ref="S391:T392"/>
    <mergeCell ref="U391:V392"/>
    <mergeCell ref="M385:N386"/>
    <mergeCell ref="O385:P386"/>
    <mergeCell ref="Q385:R386"/>
    <mergeCell ref="S385:T386"/>
    <mergeCell ref="U385:V386"/>
    <mergeCell ref="M387:N388"/>
    <mergeCell ref="O387:P388"/>
    <mergeCell ref="Q387:R388"/>
    <mergeCell ref="S387:T388"/>
    <mergeCell ref="U387:V388"/>
    <mergeCell ref="M381:N382"/>
    <mergeCell ref="O381:P382"/>
    <mergeCell ref="Q381:R382"/>
    <mergeCell ref="S381:T382"/>
    <mergeCell ref="U381:V382"/>
    <mergeCell ref="M383:N384"/>
    <mergeCell ref="O383:P384"/>
    <mergeCell ref="Q383:R384"/>
    <mergeCell ref="S383:T384"/>
    <mergeCell ref="U383:V384"/>
    <mergeCell ref="M377:N378"/>
    <mergeCell ref="O377:P378"/>
    <mergeCell ref="Q377:R378"/>
    <mergeCell ref="S377:T378"/>
    <mergeCell ref="U377:V378"/>
    <mergeCell ref="M379:N380"/>
    <mergeCell ref="O379:P380"/>
    <mergeCell ref="Q379:R380"/>
    <mergeCell ref="S379:T380"/>
    <mergeCell ref="U379:V380"/>
    <mergeCell ref="M373:N374"/>
    <mergeCell ref="O373:P374"/>
    <mergeCell ref="Q373:R374"/>
    <mergeCell ref="S373:T374"/>
    <mergeCell ref="U373:V374"/>
    <mergeCell ref="M375:N376"/>
    <mergeCell ref="O375:P376"/>
    <mergeCell ref="Q375:R376"/>
    <mergeCell ref="S375:T376"/>
    <mergeCell ref="U375:V376"/>
    <mergeCell ref="M369:N370"/>
    <mergeCell ref="O369:P370"/>
    <mergeCell ref="Q369:R370"/>
    <mergeCell ref="S369:T370"/>
    <mergeCell ref="U369:V370"/>
    <mergeCell ref="M371:N372"/>
    <mergeCell ref="O371:P372"/>
    <mergeCell ref="Q371:R372"/>
    <mergeCell ref="S371:T372"/>
    <mergeCell ref="U371:V372"/>
    <mergeCell ref="M365:N366"/>
    <mergeCell ref="O365:P366"/>
    <mergeCell ref="Q365:R366"/>
    <mergeCell ref="S365:T366"/>
    <mergeCell ref="U365:V366"/>
    <mergeCell ref="M367:N368"/>
    <mergeCell ref="O367:P368"/>
    <mergeCell ref="Q367:R368"/>
    <mergeCell ref="S367:T368"/>
    <mergeCell ref="U367:V368"/>
    <mergeCell ref="M361:N362"/>
    <mergeCell ref="O361:P362"/>
    <mergeCell ref="Q361:R362"/>
    <mergeCell ref="S361:T362"/>
    <mergeCell ref="U361:V362"/>
    <mergeCell ref="M363:N364"/>
    <mergeCell ref="O363:P364"/>
    <mergeCell ref="Q363:R364"/>
    <mergeCell ref="S363:T364"/>
    <mergeCell ref="U363:V364"/>
    <mergeCell ref="M357:N358"/>
    <mergeCell ref="O357:P358"/>
    <mergeCell ref="Q357:R358"/>
    <mergeCell ref="S357:T358"/>
    <mergeCell ref="U357:V358"/>
    <mergeCell ref="M359:N360"/>
    <mergeCell ref="O359:P360"/>
    <mergeCell ref="Q359:R360"/>
    <mergeCell ref="S359:T360"/>
    <mergeCell ref="U359:V360"/>
    <mergeCell ref="M353:N354"/>
    <mergeCell ref="O353:P354"/>
    <mergeCell ref="Q353:R354"/>
    <mergeCell ref="S353:T354"/>
    <mergeCell ref="U353:V354"/>
    <mergeCell ref="M355:N356"/>
    <mergeCell ref="O355:P356"/>
    <mergeCell ref="Q355:R356"/>
    <mergeCell ref="S355:T356"/>
    <mergeCell ref="U355:V356"/>
    <mergeCell ref="M349:N350"/>
    <mergeCell ref="O349:P350"/>
    <mergeCell ref="Q349:R350"/>
    <mergeCell ref="S349:T350"/>
    <mergeCell ref="U349:V350"/>
    <mergeCell ref="M351:N352"/>
    <mergeCell ref="O351:P352"/>
    <mergeCell ref="Q351:R352"/>
    <mergeCell ref="S351:T352"/>
    <mergeCell ref="U351:V352"/>
    <mergeCell ref="M345:N346"/>
    <mergeCell ref="O345:P346"/>
    <mergeCell ref="Q345:R346"/>
    <mergeCell ref="S345:T346"/>
    <mergeCell ref="U345:V346"/>
    <mergeCell ref="M347:N348"/>
    <mergeCell ref="O347:P348"/>
    <mergeCell ref="Q347:R348"/>
    <mergeCell ref="S347:T348"/>
    <mergeCell ref="U347:V348"/>
    <mergeCell ref="M341:N342"/>
    <mergeCell ref="O341:P342"/>
    <mergeCell ref="Q341:R342"/>
    <mergeCell ref="S341:T342"/>
    <mergeCell ref="U341:V342"/>
    <mergeCell ref="M343:N344"/>
    <mergeCell ref="O343:P344"/>
    <mergeCell ref="Q343:R344"/>
    <mergeCell ref="S343:T344"/>
    <mergeCell ref="U343:V344"/>
    <mergeCell ref="M337:N338"/>
    <mergeCell ref="O337:P338"/>
    <mergeCell ref="Q337:R338"/>
    <mergeCell ref="S337:T338"/>
    <mergeCell ref="U337:V338"/>
    <mergeCell ref="M339:N340"/>
    <mergeCell ref="O339:P340"/>
    <mergeCell ref="Q339:R340"/>
    <mergeCell ref="S339:T340"/>
    <mergeCell ref="U339:V340"/>
    <mergeCell ref="M333:N334"/>
    <mergeCell ref="O333:P334"/>
    <mergeCell ref="Q333:R334"/>
    <mergeCell ref="S333:T334"/>
    <mergeCell ref="U333:V334"/>
    <mergeCell ref="M335:N336"/>
    <mergeCell ref="O335:P336"/>
    <mergeCell ref="Q335:R336"/>
    <mergeCell ref="S335:T336"/>
    <mergeCell ref="U335:V336"/>
    <mergeCell ref="M329:N330"/>
    <mergeCell ref="O329:P330"/>
    <mergeCell ref="Q329:R330"/>
    <mergeCell ref="S329:T330"/>
    <mergeCell ref="U329:V330"/>
    <mergeCell ref="M331:N332"/>
    <mergeCell ref="O331:P332"/>
    <mergeCell ref="Q331:R332"/>
    <mergeCell ref="S331:T332"/>
    <mergeCell ref="U331:V332"/>
    <mergeCell ref="M325:N326"/>
    <mergeCell ref="O325:P326"/>
    <mergeCell ref="Q325:R326"/>
    <mergeCell ref="S325:T326"/>
    <mergeCell ref="U325:V326"/>
    <mergeCell ref="M327:N328"/>
    <mergeCell ref="O327:P328"/>
    <mergeCell ref="Q327:R328"/>
    <mergeCell ref="S327:T328"/>
    <mergeCell ref="U327:V328"/>
    <mergeCell ref="M321:N322"/>
    <mergeCell ref="O321:P322"/>
    <mergeCell ref="Q321:R322"/>
    <mergeCell ref="S321:T322"/>
    <mergeCell ref="U321:V322"/>
    <mergeCell ref="M323:N324"/>
    <mergeCell ref="O323:P324"/>
    <mergeCell ref="Q323:R324"/>
    <mergeCell ref="S323:T324"/>
    <mergeCell ref="U323:V324"/>
    <mergeCell ref="M317:N318"/>
    <mergeCell ref="O317:P318"/>
    <mergeCell ref="Q317:R318"/>
    <mergeCell ref="S317:T318"/>
    <mergeCell ref="U317:V318"/>
    <mergeCell ref="M319:N320"/>
    <mergeCell ref="O319:P320"/>
    <mergeCell ref="Q319:R320"/>
    <mergeCell ref="S319:T320"/>
    <mergeCell ref="U319:V320"/>
    <mergeCell ref="M313:N314"/>
    <mergeCell ref="O313:P314"/>
    <mergeCell ref="Q313:R314"/>
    <mergeCell ref="S313:T314"/>
    <mergeCell ref="U313:V314"/>
    <mergeCell ref="M315:N316"/>
    <mergeCell ref="O315:P316"/>
    <mergeCell ref="Q315:R316"/>
    <mergeCell ref="S315:T316"/>
    <mergeCell ref="U315:V316"/>
    <mergeCell ref="M309:N310"/>
    <mergeCell ref="O309:P310"/>
    <mergeCell ref="Q309:R310"/>
    <mergeCell ref="S309:T310"/>
    <mergeCell ref="U309:V310"/>
    <mergeCell ref="M311:N312"/>
    <mergeCell ref="O311:P312"/>
    <mergeCell ref="Q311:R312"/>
    <mergeCell ref="S311:T312"/>
    <mergeCell ref="U311:V312"/>
    <mergeCell ref="M305:N306"/>
    <mergeCell ref="O305:P306"/>
    <mergeCell ref="Q305:R306"/>
    <mergeCell ref="S305:T306"/>
    <mergeCell ref="U305:V306"/>
    <mergeCell ref="M307:N308"/>
    <mergeCell ref="O307:P308"/>
    <mergeCell ref="Q307:R308"/>
    <mergeCell ref="S307:T308"/>
    <mergeCell ref="U307:V308"/>
    <mergeCell ref="Q301:R302"/>
    <mergeCell ref="S301:T302"/>
    <mergeCell ref="U301:V302"/>
    <mergeCell ref="M303:N304"/>
    <mergeCell ref="O303:P304"/>
    <mergeCell ref="Q303:R304"/>
    <mergeCell ref="S303:T304"/>
    <mergeCell ref="U303:V304"/>
    <mergeCell ref="Q297:R298"/>
    <mergeCell ref="S297:T298"/>
    <mergeCell ref="U297:V298"/>
    <mergeCell ref="M299:N300"/>
    <mergeCell ref="O299:P300"/>
    <mergeCell ref="Q299:R300"/>
    <mergeCell ref="S299:T300"/>
    <mergeCell ref="U299:V300"/>
    <mergeCell ref="S293:T294"/>
    <mergeCell ref="U293:V294"/>
    <mergeCell ref="M295:N296"/>
    <mergeCell ref="O295:P296"/>
    <mergeCell ref="Q295:R296"/>
    <mergeCell ref="S295:T296"/>
    <mergeCell ref="U295:V296"/>
    <mergeCell ref="D651:E652"/>
    <mergeCell ref="F651:G652"/>
    <mergeCell ref="H651:I652"/>
    <mergeCell ref="J651:K652"/>
    <mergeCell ref="M293:N294"/>
    <mergeCell ref="O293:P294"/>
    <mergeCell ref="M297:N298"/>
    <mergeCell ref="O297:P298"/>
    <mergeCell ref="M301:N302"/>
    <mergeCell ref="O301:P302"/>
    <mergeCell ref="D647:E648"/>
    <mergeCell ref="F647:G648"/>
    <mergeCell ref="H647:I648"/>
    <mergeCell ref="J647:K648"/>
    <mergeCell ref="D649:E650"/>
    <mergeCell ref="F649:G650"/>
    <mergeCell ref="H649:I650"/>
    <mergeCell ref="J649:K650"/>
    <mergeCell ref="D643:E644"/>
    <mergeCell ref="F643:G644"/>
    <mergeCell ref="H643:I644"/>
    <mergeCell ref="J643:K644"/>
    <mergeCell ref="D645:E646"/>
    <mergeCell ref="F645:G646"/>
    <mergeCell ref="H645:I646"/>
    <mergeCell ref="J645:K646"/>
    <mergeCell ref="D639:E640"/>
    <mergeCell ref="F639:G640"/>
    <mergeCell ref="H639:I640"/>
    <mergeCell ref="J639:K640"/>
    <mergeCell ref="D641:E642"/>
    <mergeCell ref="F641:G642"/>
    <mergeCell ref="H641:I642"/>
    <mergeCell ref="J641:K642"/>
    <mergeCell ref="D635:E636"/>
    <mergeCell ref="F635:G636"/>
    <mergeCell ref="H635:I636"/>
    <mergeCell ref="J635:K636"/>
    <mergeCell ref="D637:E638"/>
    <mergeCell ref="F637:G638"/>
    <mergeCell ref="H637:I638"/>
    <mergeCell ref="J637:K638"/>
    <mergeCell ref="D631:E632"/>
    <mergeCell ref="F631:G632"/>
    <mergeCell ref="H631:I632"/>
    <mergeCell ref="J631:K632"/>
    <mergeCell ref="D633:E634"/>
    <mergeCell ref="F633:G634"/>
    <mergeCell ref="H633:I634"/>
    <mergeCell ref="J633:K634"/>
    <mergeCell ref="D627:E628"/>
    <mergeCell ref="F627:G628"/>
    <mergeCell ref="H627:I628"/>
    <mergeCell ref="J627:K628"/>
    <mergeCell ref="D629:E630"/>
    <mergeCell ref="F629:G630"/>
    <mergeCell ref="H629:I630"/>
    <mergeCell ref="J629:K630"/>
    <mergeCell ref="D623:E624"/>
    <mergeCell ref="F623:G624"/>
    <mergeCell ref="H623:I624"/>
    <mergeCell ref="J623:K624"/>
    <mergeCell ref="D625:E626"/>
    <mergeCell ref="F625:G626"/>
    <mergeCell ref="H625:I626"/>
    <mergeCell ref="J625:K626"/>
    <mergeCell ref="D619:E620"/>
    <mergeCell ref="F619:G620"/>
    <mergeCell ref="H619:I620"/>
    <mergeCell ref="J619:K620"/>
    <mergeCell ref="D621:E622"/>
    <mergeCell ref="F621:G622"/>
    <mergeCell ref="H621:I622"/>
    <mergeCell ref="J621:K622"/>
    <mergeCell ref="D615:E616"/>
    <mergeCell ref="F615:G616"/>
    <mergeCell ref="H615:I616"/>
    <mergeCell ref="J615:K616"/>
    <mergeCell ref="D617:E618"/>
    <mergeCell ref="F617:G618"/>
    <mergeCell ref="H617:I618"/>
    <mergeCell ref="J617:K618"/>
    <mergeCell ref="D611:E612"/>
    <mergeCell ref="F611:G612"/>
    <mergeCell ref="H611:I612"/>
    <mergeCell ref="J611:K612"/>
    <mergeCell ref="D613:E614"/>
    <mergeCell ref="F613:G614"/>
    <mergeCell ref="H613:I614"/>
    <mergeCell ref="J613:K614"/>
    <mergeCell ref="D607:E608"/>
    <mergeCell ref="F607:G608"/>
    <mergeCell ref="H607:I608"/>
    <mergeCell ref="J607:K608"/>
    <mergeCell ref="D609:E610"/>
    <mergeCell ref="F609:G610"/>
    <mergeCell ref="H609:I610"/>
    <mergeCell ref="J609:K610"/>
    <mergeCell ref="D603:E604"/>
    <mergeCell ref="F603:G604"/>
    <mergeCell ref="H603:I604"/>
    <mergeCell ref="J603:K604"/>
    <mergeCell ref="D605:E606"/>
    <mergeCell ref="F605:G606"/>
    <mergeCell ref="H605:I606"/>
    <mergeCell ref="J605:K606"/>
    <mergeCell ref="D599:E600"/>
    <mergeCell ref="F599:G600"/>
    <mergeCell ref="H599:I600"/>
    <mergeCell ref="J599:K600"/>
    <mergeCell ref="D601:E602"/>
    <mergeCell ref="F601:G602"/>
    <mergeCell ref="H601:I602"/>
    <mergeCell ref="J601:K602"/>
    <mergeCell ref="D595:E596"/>
    <mergeCell ref="F595:G596"/>
    <mergeCell ref="H595:I596"/>
    <mergeCell ref="J595:K596"/>
    <mergeCell ref="D597:E598"/>
    <mergeCell ref="F597:G598"/>
    <mergeCell ref="H597:I598"/>
    <mergeCell ref="J597:K598"/>
    <mergeCell ref="D591:E592"/>
    <mergeCell ref="F591:G592"/>
    <mergeCell ref="H591:I592"/>
    <mergeCell ref="J591:K592"/>
    <mergeCell ref="D593:E594"/>
    <mergeCell ref="F593:G594"/>
    <mergeCell ref="H593:I594"/>
    <mergeCell ref="J593:K594"/>
    <mergeCell ref="D587:E588"/>
    <mergeCell ref="F587:G588"/>
    <mergeCell ref="H587:I588"/>
    <mergeCell ref="J587:K588"/>
    <mergeCell ref="D589:E590"/>
    <mergeCell ref="F589:G590"/>
    <mergeCell ref="H589:I590"/>
    <mergeCell ref="J589:K590"/>
    <mergeCell ref="D583:E584"/>
    <mergeCell ref="F583:G584"/>
    <mergeCell ref="H583:I584"/>
    <mergeCell ref="J583:K584"/>
    <mergeCell ref="D585:E586"/>
    <mergeCell ref="F585:G586"/>
    <mergeCell ref="H585:I586"/>
    <mergeCell ref="J585:K586"/>
    <mergeCell ref="D579:E580"/>
    <mergeCell ref="F579:G580"/>
    <mergeCell ref="H579:I580"/>
    <mergeCell ref="J579:K580"/>
    <mergeCell ref="D581:E582"/>
    <mergeCell ref="F581:G582"/>
    <mergeCell ref="H581:I582"/>
    <mergeCell ref="J581:K582"/>
    <mergeCell ref="D575:E576"/>
    <mergeCell ref="F575:G576"/>
    <mergeCell ref="H575:I576"/>
    <mergeCell ref="J575:K576"/>
    <mergeCell ref="D577:E578"/>
    <mergeCell ref="F577:G578"/>
    <mergeCell ref="H577:I578"/>
    <mergeCell ref="J577:K578"/>
    <mergeCell ref="D571:E572"/>
    <mergeCell ref="F571:G572"/>
    <mergeCell ref="H571:I572"/>
    <mergeCell ref="J571:K572"/>
    <mergeCell ref="D573:E574"/>
    <mergeCell ref="F573:G574"/>
    <mergeCell ref="H573:I574"/>
    <mergeCell ref="J573:K574"/>
    <mergeCell ref="D567:E568"/>
    <mergeCell ref="F567:G568"/>
    <mergeCell ref="H567:I568"/>
    <mergeCell ref="J567:K568"/>
    <mergeCell ref="D569:E570"/>
    <mergeCell ref="F569:G570"/>
    <mergeCell ref="H569:I570"/>
    <mergeCell ref="J569:K570"/>
    <mergeCell ref="D563:E564"/>
    <mergeCell ref="F563:G564"/>
    <mergeCell ref="H563:I564"/>
    <mergeCell ref="J563:K564"/>
    <mergeCell ref="D565:E566"/>
    <mergeCell ref="F565:G566"/>
    <mergeCell ref="H565:I566"/>
    <mergeCell ref="J565:K566"/>
    <mergeCell ref="D559:E560"/>
    <mergeCell ref="F559:G560"/>
    <mergeCell ref="H559:I560"/>
    <mergeCell ref="J559:K560"/>
    <mergeCell ref="D561:E562"/>
    <mergeCell ref="F561:G562"/>
    <mergeCell ref="H561:I562"/>
    <mergeCell ref="J561:K562"/>
    <mergeCell ref="D555:E556"/>
    <mergeCell ref="F555:G556"/>
    <mergeCell ref="H555:I556"/>
    <mergeCell ref="J555:K556"/>
    <mergeCell ref="D557:E558"/>
    <mergeCell ref="F557:G558"/>
    <mergeCell ref="H557:I558"/>
    <mergeCell ref="J557:K558"/>
    <mergeCell ref="D551:E552"/>
    <mergeCell ref="F551:G552"/>
    <mergeCell ref="H551:I552"/>
    <mergeCell ref="J551:K552"/>
    <mergeCell ref="D553:E554"/>
    <mergeCell ref="F553:G554"/>
    <mergeCell ref="H553:I554"/>
    <mergeCell ref="J553:K554"/>
    <mergeCell ref="D547:E548"/>
    <mergeCell ref="F547:G548"/>
    <mergeCell ref="H547:I548"/>
    <mergeCell ref="J547:K548"/>
    <mergeCell ref="D549:E550"/>
    <mergeCell ref="F549:G550"/>
    <mergeCell ref="H549:I550"/>
    <mergeCell ref="J549:K550"/>
    <mergeCell ref="D543:E544"/>
    <mergeCell ref="F543:G544"/>
    <mergeCell ref="H543:I544"/>
    <mergeCell ref="J543:K544"/>
    <mergeCell ref="D545:E546"/>
    <mergeCell ref="F545:G546"/>
    <mergeCell ref="H545:I546"/>
    <mergeCell ref="J545:K546"/>
    <mergeCell ref="D539:E540"/>
    <mergeCell ref="F539:G540"/>
    <mergeCell ref="H539:I540"/>
    <mergeCell ref="J539:K540"/>
    <mergeCell ref="D541:E542"/>
    <mergeCell ref="F541:G542"/>
    <mergeCell ref="H541:I542"/>
    <mergeCell ref="J541:K542"/>
    <mergeCell ref="D535:E536"/>
    <mergeCell ref="F535:G536"/>
    <mergeCell ref="H535:I536"/>
    <mergeCell ref="J535:K536"/>
    <mergeCell ref="D537:E538"/>
    <mergeCell ref="F537:G538"/>
    <mergeCell ref="H537:I538"/>
    <mergeCell ref="J537:K538"/>
    <mergeCell ref="D531:E532"/>
    <mergeCell ref="F531:G532"/>
    <mergeCell ref="H531:I532"/>
    <mergeCell ref="J531:K532"/>
    <mergeCell ref="D533:E534"/>
    <mergeCell ref="F533:G534"/>
    <mergeCell ref="H533:I534"/>
    <mergeCell ref="J533:K534"/>
    <mergeCell ref="D527:E528"/>
    <mergeCell ref="F527:G528"/>
    <mergeCell ref="H527:I528"/>
    <mergeCell ref="J527:K528"/>
    <mergeCell ref="D529:E530"/>
    <mergeCell ref="F529:G530"/>
    <mergeCell ref="H529:I530"/>
    <mergeCell ref="J529:K530"/>
    <mergeCell ref="D523:E524"/>
    <mergeCell ref="F523:G524"/>
    <mergeCell ref="H523:I524"/>
    <mergeCell ref="J523:K524"/>
    <mergeCell ref="D525:E526"/>
    <mergeCell ref="F525:G526"/>
    <mergeCell ref="H525:I526"/>
    <mergeCell ref="J525:K526"/>
    <mergeCell ref="D519:E520"/>
    <mergeCell ref="F519:G520"/>
    <mergeCell ref="H519:I520"/>
    <mergeCell ref="J519:K520"/>
    <mergeCell ref="D521:E522"/>
    <mergeCell ref="F521:G522"/>
    <mergeCell ref="H521:I522"/>
    <mergeCell ref="J521:K522"/>
    <mergeCell ref="D515:E516"/>
    <mergeCell ref="F515:G516"/>
    <mergeCell ref="H515:I516"/>
    <mergeCell ref="J515:K516"/>
    <mergeCell ref="D517:E518"/>
    <mergeCell ref="F517:G518"/>
    <mergeCell ref="H517:I518"/>
    <mergeCell ref="J517:K518"/>
    <mergeCell ref="D511:E512"/>
    <mergeCell ref="F511:G512"/>
    <mergeCell ref="H511:I512"/>
    <mergeCell ref="J511:K512"/>
    <mergeCell ref="D513:E514"/>
    <mergeCell ref="F513:G514"/>
    <mergeCell ref="H513:I514"/>
    <mergeCell ref="J513:K514"/>
    <mergeCell ref="D507:E508"/>
    <mergeCell ref="F507:G508"/>
    <mergeCell ref="H507:I508"/>
    <mergeCell ref="J507:K508"/>
    <mergeCell ref="D509:E510"/>
    <mergeCell ref="F509:G510"/>
    <mergeCell ref="H509:I510"/>
    <mergeCell ref="J509:K510"/>
    <mergeCell ref="D503:E504"/>
    <mergeCell ref="F503:G504"/>
    <mergeCell ref="H503:I504"/>
    <mergeCell ref="J503:K504"/>
    <mergeCell ref="D505:E506"/>
    <mergeCell ref="F505:G506"/>
    <mergeCell ref="H505:I506"/>
    <mergeCell ref="J505:K506"/>
    <mergeCell ref="D499:E500"/>
    <mergeCell ref="F499:G500"/>
    <mergeCell ref="H499:I500"/>
    <mergeCell ref="J499:K500"/>
    <mergeCell ref="D501:E502"/>
    <mergeCell ref="F501:G502"/>
    <mergeCell ref="H501:I502"/>
    <mergeCell ref="J501:K502"/>
    <mergeCell ref="D495:E496"/>
    <mergeCell ref="F495:G496"/>
    <mergeCell ref="H495:I496"/>
    <mergeCell ref="J495:K496"/>
    <mergeCell ref="D497:E498"/>
    <mergeCell ref="F497:G498"/>
    <mergeCell ref="H497:I498"/>
    <mergeCell ref="J497:K498"/>
    <mergeCell ref="D491:E492"/>
    <mergeCell ref="F491:G492"/>
    <mergeCell ref="H491:I492"/>
    <mergeCell ref="J491:K492"/>
    <mergeCell ref="D493:E494"/>
    <mergeCell ref="F493:G494"/>
    <mergeCell ref="H493:I494"/>
    <mergeCell ref="J493:K494"/>
    <mergeCell ref="D487:E488"/>
    <mergeCell ref="F487:G488"/>
    <mergeCell ref="H487:I488"/>
    <mergeCell ref="J487:K488"/>
    <mergeCell ref="D489:E490"/>
    <mergeCell ref="F489:G490"/>
    <mergeCell ref="H489:I490"/>
    <mergeCell ref="J489:K490"/>
    <mergeCell ref="D483:E484"/>
    <mergeCell ref="F483:G484"/>
    <mergeCell ref="H483:I484"/>
    <mergeCell ref="J483:K484"/>
    <mergeCell ref="D485:E486"/>
    <mergeCell ref="F485:G486"/>
    <mergeCell ref="H485:I486"/>
    <mergeCell ref="J485:K486"/>
    <mergeCell ref="D479:E480"/>
    <mergeCell ref="F479:G480"/>
    <mergeCell ref="H479:I480"/>
    <mergeCell ref="J479:K480"/>
    <mergeCell ref="D481:E482"/>
    <mergeCell ref="F481:G482"/>
    <mergeCell ref="H481:I482"/>
    <mergeCell ref="J481:K482"/>
    <mergeCell ref="D475:E476"/>
    <mergeCell ref="F475:G476"/>
    <mergeCell ref="H475:I476"/>
    <mergeCell ref="J475:K476"/>
    <mergeCell ref="D477:E478"/>
    <mergeCell ref="F477:G478"/>
    <mergeCell ref="H477:I478"/>
    <mergeCell ref="J477:K478"/>
    <mergeCell ref="D471:E472"/>
    <mergeCell ref="F471:G472"/>
    <mergeCell ref="H471:I472"/>
    <mergeCell ref="J471:K472"/>
    <mergeCell ref="D473:E474"/>
    <mergeCell ref="F473:G474"/>
    <mergeCell ref="H473:I474"/>
    <mergeCell ref="J473:K474"/>
    <mergeCell ref="D467:E468"/>
    <mergeCell ref="F467:G468"/>
    <mergeCell ref="H467:I468"/>
    <mergeCell ref="J467:K468"/>
    <mergeCell ref="D469:E470"/>
    <mergeCell ref="F469:G470"/>
    <mergeCell ref="H469:I470"/>
    <mergeCell ref="J469:K470"/>
    <mergeCell ref="D463:E464"/>
    <mergeCell ref="F463:G464"/>
    <mergeCell ref="H463:I464"/>
    <mergeCell ref="J463:K464"/>
    <mergeCell ref="D465:E466"/>
    <mergeCell ref="F465:G466"/>
    <mergeCell ref="H465:I466"/>
    <mergeCell ref="J465:K466"/>
    <mergeCell ref="D459:E460"/>
    <mergeCell ref="F459:G460"/>
    <mergeCell ref="H459:I460"/>
    <mergeCell ref="J459:K460"/>
    <mergeCell ref="D461:E462"/>
    <mergeCell ref="F461:G462"/>
    <mergeCell ref="H461:I462"/>
    <mergeCell ref="J461:K462"/>
    <mergeCell ref="D455:E456"/>
    <mergeCell ref="F455:G456"/>
    <mergeCell ref="H455:I456"/>
    <mergeCell ref="J455:K456"/>
    <mergeCell ref="D457:E458"/>
    <mergeCell ref="F457:G458"/>
    <mergeCell ref="H457:I458"/>
    <mergeCell ref="J457:K458"/>
    <mergeCell ref="D451:E452"/>
    <mergeCell ref="F451:G452"/>
    <mergeCell ref="H451:I452"/>
    <mergeCell ref="J451:K452"/>
    <mergeCell ref="D453:E454"/>
    <mergeCell ref="F453:G454"/>
    <mergeCell ref="H453:I454"/>
    <mergeCell ref="J453:K454"/>
    <mergeCell ref="D447:E448"/>
    <mergeCell ref="F447:G448"/>
    <mergeCell ref="H447:I448"/>
    <mergeCell ref="J447:K448"/>
    <mergeCell ref="D449:E450"/>
    <mergeCell ref="F449:G450"/>
    <mergeCell ref="H449:I450"/>
    <mergeCell ref="J449:K450"/>
    <mergeCell ref="D443:E444"/>
    <mergeCell ref="F443:G444"/>
    <mergeCell ref="H443:I444"/>
    <mergeCell ref="J443:K444"/>
    <mergeCell ref="D445:E446"/>
    <mergeCell ref="F445:G446"/>
    <mergeCell ref="H445:I446"/>
    <mergeCell ref="J445:K446"/>
    <mergeCell ref="D439:E440"/>
    <mergeCell ref="F439:G440"/>
    <mergeCell ref="H439:I440"/>
    <mergeCell ref="J439:K440"/>
    <mergeCell ref="D441:E442"/>
    <mergeCell ref="F441:G442"/>
    <mergeCell ref="H441:I442"/>
    <mergeCell ref="J441:K442"/>
    <mergeCell ref="D435:E436"/>
    <mergeCell ref="F435:G436"/>
    <mergeCell ref="H435:I436"/>
    <mergeCell ref="J435:K436"/>
    <mergeCell ref="D437:E438"/>
    <mergeCell ref="F437:G438"/>
    <mergeCell ref="H437:I438"/>
    <mergeCell ref="J437:K438"/>
    <mergeCell ref="D431:E432"/>
    <mergeCell ref="F431:G432"/>
    <mergeCell ref="H431:I432"/>
    <mergeCell ref="J431:K432"/>
    <mergeCell ref="D433:E434"/>
    <mergeCell ref="F433:G434"/>
    <mergeCell ref="H433:I434"/>
    <mergeCell ref="J433:K434"/>
    <mergeCell ref="D427:E428"/>
    <mergeCell ref="F427:G428"/>
    <mergeCell ref="H427:I428"/>
    <mergeCell ref="J427:K428"/>
    <mergeCell ref="D429:E430"/>
    <mergeCell ref="F429:G430"/>
    <mergeCell ref="H429:I430"/>
    <mergeCell ref="J429:K430"/>
    <mergeCell ref="D423:E424"/>
    <mergeCell ref="F423:G424"/>
    <mergeCell ref="H423:I424"/>
    <mergeCell ref="J423:K424"/>
    <mergeCell ref="D425:E426"/>
    <mergeCell ref="F425:G426"/>
    <mergeCell ref="H425:I426"/>
    <mergeCell ref="J425:K426"/>
    <mergeCell ref="D419:E420"/>
    <mergeCell ref="F419:G420"/>
    <mergeCell ref="H419:I420"/>
    <mergeCell ref="J419:K420"/>
    <mergeCell ref="D421:E422"/>
    <mergeCell ref="F421:G422"/>
    <mergeCell ref="H421:I422"/>
    <mergeCell ref="J421:K422"/>
    <mergeCell ref="D415:E416"/>
    <mergeCell ref="F415:G416"/>
    <mergeCell ref="H415:I416"/>
    <mergeCell ref="J415:K416"/>
    <mergeCell ref="D417:E418"/>
    <mergeCell ref="F417:G418"/>
    <mergeCell ref="H417:I418"/>
    <mergeCell ref="J417:K418"/>
    <mergeCell ref="D411:E412"/>
    <mergeCell ref="F411:G412"/>
    <mergeCell ref="H411:I412"/>
    <mergeCell ref="J411:K412"/>
    <mergeCell ref="D413:E414"/>
    <mergeCell ref="F413:G414"/>
    <mergeCell ref="H413:I414"/>
    <mergeCell ref="J413:K414"/>
    <mergeCell ref="D407:E408"/>
    <mergeCell ref="F407:G408"/>
    <mergeCell ref="H407:I408"/>
    <mergeCell ref="J407:K408"/>
    <mergeCell ref="D409:E410"/>
    <mergeCell ref="F409:G410"/>
    <mergeCell ref="H409:I410"/>
    <mergeCell ref="J409:K410"/>
    <mergeCell ref="D403:E404"/>
    <mergeCell ref="F403:G404"/>
    <mergeCell ref="H403:I404"/>
    <mergeCell ref="J403:K404"/>
    <mergeCell ref="D405:E406"/>
    <mergeCell ref="F405:G406"/>
    <mergeCell ref="H405:I406"/>
    <mergeCell ref="J405:K406"/>
    <mergeCell ref="D399:E400"/>
    <mergeCell ref="F399:G400"/>
    <mergeCell ref="H399:I400"/>
    <mergeCell ref="J399:K400"/>
    <mergeCell ref="D401:E402"/>
    <mergeCell ref="F401:G402"/>
    <mergeCell ref="H401:I402"/>
    <mergeCell ref="J401:K402"/>
    <mergeCell ref="D395:E396"/>
    <mergeCell ref="F395:G396"/>
    <mergeCell ref="H395:I396"/>
    <mergeCell ref="J395:K396"/>
    <mergeCell ref="D397:E398"/>
    <mergeCell ref="F397:G398"/>
    <mergeCell ref="H397:I398"/>
    <mergeCell ref="J397:K398"/>
    <mergeCell ref="D391:E392"/>
    <mergeCell ref="F391:G392"/>
    <mergeCell ref="H391:I392"/>
    <mergeCell ref="J391:K392"/>
    <mergeCell ref="D393:E394"/>
    <mergeCell ref="F393:G394"/>
    <mergeCell ref="H393:I394"/>
    <mergeCell ref="J393:K394"/>
    <mergeCell ref="D387:E388"/>
    <mergeCell ref="F387:G388"/>
    <mergeCell ref="H387:I388"/>
    <mergeCell ref="J387:K388"/>
    <mergeCell ref="D389:E390"/>
    <mergeCell ref="F389:G390"/>
    <mergeCell ref="H389:I390"/>
    <mergeCell ref="J389:K390"/>
    <mergeCell ref="D383:E384"/>
    <mergeCell ref="F383:G384"/>
    <mergeCell ref="H383:I384"/>
    <mergeCell ref="J383:K384"/>
    <mergeCell ref="D385:E386"/>
    <mergeCell ref="F385:G386"/>
    <mergeCell ref="H385:I386"/>
    <mergeCell ref="J385:K386"/>
    <mergeCell ref="D379:E380"/>
    <mergeCell ref="F379:G380"/>
    <mergeCell ref="H379:I380"/>
    <mergeCell ref="J379:K380"/>
    <mergeCell ref="D381:E382"/>
    <mergeCell ref="F381:G382"/>
    <mergeCell ref="H381:I382"/>
    <mergeCell ref="J381:K382"/>
    <mergeCell ref="D375:E376"/>
    <mergeCell ref="F375:G376"/>
    <mergeCell ref="H375:I376"/>
    <mergeCell ref="J375:K376"/>
    <mergeCell ref="D377:E378"/>
    <mergeCell ref="F377:G378"/>
    <mergeCell ref="H377:I378"/>
    <mergeCell ref="J377:K378"/>
    <mergeCell ref="D371:E372"/>
    <mergeCell ref="F371:G372"/>
    <mergeCell ref="H371:I372"/>
    <mergeCell ref="J371:K372"/>
    <mergeCell ref="D373:E374"/>
    <mergeCell ref="F373:G374"/>
    <mergeCell ref="H373:I374"/>
    <mergeCell ref="J373:K374"/>
    <mergeCell ref="D367:E368"/>
    <mergeCell ref="F367:G368"/>
    <mergeCell ref="H367:I368"/>
    <mergeCell ref="J367:K368"/>
    <mergeCell ref="D369:E370"/>
    <mergeCell ref="F369:G370"/>
    <mergeCell ref="H369:I370"/>
    <mergeCell ref="J369:K370"/>
    <mergeCell ref="D363:E364"/>
    <mergeCell ref="F363:G364"/>
    <mergeCell ref="H363:I364"/>
    <mergeCell ref="J363:K364"/>
    <mergeCell ref="D365:E366"/>
    <mergeCell ref="F365:G366"/>
    <mergeCell ref="H365:I366"/>
    <mergeCell ref="J365:K366"/>
    <mergeCell ref="D359:E360"/>
    <mergeCell ref="F359:G360"/>
    <mergeCell ref="H359:I360"/>
    <mergeCell ref="J359:K360"/>
    <mergeCell ref="D361:E362"/>
    <mergeCell ref="F361:G362"/>
    <mergeCell ref="H361:I362"/>
    <mergeCell ref="J361:K362"/>
    <mergeCell ref="D355:E356"/>
    <mergeCell ref="F355:G356"/>
    <mergeCell ref="H355:I356"/>
    <mergeCell ref="J355:K356"/>
    <mergeCell ref="D357:E358"/>
    <mergeCell ref="F357:G358"/>
    <mergeCell ref="H357:I358"/>
    <mergeCell ref="J357:K358"/>
    <mergeCell ref="D351:E352"/>
    <mergeCell ref="F351:G352"/>
    <mergeCell ref="H351:I352"/>
    <mergeCell ref="J351:K352"/>
    <mergeCell ref="D353:E354"/>
    <mergeCell ref="F353:G354"/>
    <mergeCell ref="H353:I354"/>
    <mergeCell ref="J353:K354"/>
    <mergeCell ref="D347:E348"/>
    <mergeCell ref="F347:G348"/>
    <mergeCell ref="H347:I348"/>
    <mergeCell ref="J347:K348"/>
    <mergeCell ref="D349:E350"/>
    <mergeCell ref="F349:G350"/>
    <mergeCell ref="H349:I350"/>
    <mergeCell ref="J349:K350"/>
    <mergeCell ref="D343:E344"/>
    <mergeCell ref="F343:G344"/>
    <mergeCell ref="H343:I344"/>
    <mergeCell ref="J343:K344"/>
    <mergeCell ref="D345:E346"/>
    <mergeCell ref="F345:G346"/>
    <mergeCell ref="H345:I346"/>
    <mergeCell ref="J345:K346"/>
    <mergeCell ref="D339:E340"/>
    <mergeCell ref="F339:G340"/>
    <mergeCell ref="H339:I340"/>
    <mergeCell ref="J339:K340"/>
    <mergeCell ref="D341:E342"/>
    <mergeCell ref="F341:G342"/>
    <mergeCell ref="H341:I342"/>
    <mergeCell ref="J341:K342"/>
    <mergeCell ref="D335:E336"/>
    <mergeCell ref="F335:G336"/>
    <mergeCell ref="H335:I336"/>
    <mergeCell ref="J335:K336"/>
    <mergeCell ref="D337:E338"/>
    <mergeCell ref="F337:G338"/>
    <mergeCell ref="H337:I338"/>
    <mergeCell ref="J337:K338"/>
    <mergeCell ref="D331:E332"/>
    <mergeCell ref="F331:G332"/>
    <mergeCell ref="H331:I332"/>
    <mergeCell ref="J331:K332"/>
    <mergeCell ref="D333:E334"/>
    <mergeCell ref="F333:G334"/>
    <mergeCell ref="H333:I334"/>
    <mergeCell ref="J333:K334"/>
    <mergeCell ref="D327:E328"/>
    <mergeCell ref="F327:G328"/>
    <mergeCell ref="H327:I328"/>
    <mergeCell ref="J327:K328"/>
    <mergeCell ref="D329:E330"/>
    <mergeCell ref="F329:G330"/>
    <mergeCell ref="H329:I330"/>
    <mergeCell ref="J329:K330"/>
    <mergeCell ref="D323:E324"/>
    <mergeCell ref="F323:G324"/>
    <mergeCell ref="H323:I324"/>
    <mergeCell ref="J323:K324"/>
    <mergeCell ref="D325:E326"/>
    <mergeCell ref="F325:G326"/>
    <mergeCell ref="H325:I326"/>
    <mergeCell ref="J325:K326"/>
    <mergeCell ref="D319:E320"/>
    <mergeCell ref="F319:G320"/>
    <mergeCell ref="H319:I320"/>
    <mergeCell ref="J319:K320"/>
    <mergeCell ref="D321:E322"/>
    <mergeCell ref="F321:G322"/>
    <mergeCell ref="H321:I322"/>
    <mergeCell ref="J321:K322"/>
    <mergeCell ref="D315:E316"/>
    <mergeCell ref="F315:G316"/>
    <mergeCell ref="H315:I316"/>
    <mergeCell ref="J315:K316"/>
    <mergeCell ref="D317:E318"/>
    <mergeCell ref="F317:G318"/>
    <mergeCell ref="H317:I318"/>
    <mergeCell ref="J317:K318"/>
    <mergeCell ref="F311:G312"/>
    <mergeCell ref="H311:I312"/>
    <mergeCell ref="J311:K312"/>
    <mergeCell ref="D313:E314"/>
    <mergeCell ref="F313:G314"/>
    <mergeCell ref="H313:I314"/>
    <mergeCell ref="J313:K314"/>
    <mergeCell ref="F307:G308"/>
    <mergeCell ref="H307:I308"/>
    <mergeCell ref="J307:K308"/>
    <mergeCell ref="D309:E310"/>
    <mergeCell ref="F309:G310"/>
    <mergeCell ref="H309:I310"/>
    <mergeCell ref="J309:K310"/>
    <mergeCell ref="F303:G304"/>
    <mergeCell ref="H303:I304"/>
    <mergeCell ref="J303:K304"/>
    <mergeCell ref="D305:E306"/>
    <mergeCell ref="F305:G306"/>
    <mergeCell ref="H305:I306"/>
    <mergeCell ref="J305:K306"/>
    <mergeCell ref="F299:G300"/>
    <mergeCell ref="H299:I300"/>
    <mergeCell ref="J299:K300"/>
    <mergeCell ref="D301:E302"/>
    <mergeCell ref="F301:G302"/>
    <mergeCell ref="H301:I302"/>
    <mergeCell ref="J301:K302"/>
    <mergeCell ref="F295:G296"/>
    <mergeCell ref="H295:I296"/>
    <mergeCell ref="J295:K296"/>
    <mergeCell ref="D297:E298"/>
    <mergeCell ref="F297:G298"/>
    <mergeCell ref="H297:I298"/>
    <mergeCell ref="J297:K298"/>
    <mergeCell ref="B643:C644"/>
    <mergeCell ref="B645:C646"/>
    <mergeCell ref="B647:C648"/>
    <mergeCell ref="B649:C650"/>
    <mergeCell ref="B651:C652"/>
    <mergeCell ref="D295:E296"/>
    <mergeCell ref="D299:E300"/>
    <mergeCell ref="D303:E304"/>
    <mergeCell ref="D307:E308"/>
    <mergeCell ref="D311:E312"/>
    <mergeCell ref="B631:C632"/>
    <mergeCell ref="B633:C634"/>
    <mergeCell ref="B635:C636"/>
    <mergeCell ref="B637:C638"/>
    <mergeCell ref="B639:C640"/>
    <mergeCell ref="B641:C642"/>
    <mergeCell ref="B619:C620"/>
    <mergeCell ref="B621:C622"/>
    <mergeCell ref="B623:C624"/>
    <mergeCell ref="B625:C626"/>
    <mergeCell ref="B627:C628"/>
    <mergeCell ref="B629:C630"/>
    <mergeCell ref="B607:C608"/>
    <mergeCell ref="B609:C610"/>
    <mergeCell ref="B611:C612"/>
    <mergeCell ref="B613:C614"/>
    <mergeCell ref="B615:C616"/>
    <mergeCell ref="B617:C618"/>
    <mergeCell ref="B595:C596"/>
    <mergeCell ref="B597:C598"/>
    <mergeCell ref="B599:C600"/>
    <mergeCell ref="B601:C602"/>
    <mergeCell ref="B603:C604"/>
    <mergeCell ref="B605:C606"/>
    <mergeCell ref="B583:C584"/>
    <mergeCell ref="B585:C586"/>
    <mergeCell ref="B587:C588"/>
    <mergeCell ref="B589:C590"/>
    <mergeCell ref="B591:C592"/>
    <mergeCell ref="B593:C594"/>
    <mergeCell ref="B571:C572"/>
    <mergeCell ref="B573:C574"/>
    <mergeCell ref="B575:C576"/>
    <mergeCell ref="B577:C578"/>
    <mergeCell ref="B579:C580"/>
    <mergeCell ref="B581:C582"/>
    <mergeCell ref="B559:C560"/>
    <mergeCell ref="B561:C562"/>
    <mergeCell ref="B563:C564"/>
    <mergeCell ref="B565:C566"/>
    <mergeCell ref="B567:C568"/>
    <mergeCell ref="B569:C570"/>
    <mergeCell ref="B547:C548"/>
    <mergeCell ref="B549:C550"/>
    <mergeCell ref="B551:C552"/>
    <mergeCell ref="B553:C554"/>
    <mergeCell ref="B555:C556"/>
    <mergeCell ref="B557:C558"/>
    <mergeCell ref="B535:C536"/>
    <mergeCell ref="B537:C538"/>
    <mergeCell ref="B539:C540"/>
    <mergeCell ref="B541:C542"/>
    <mergeCell ref="B543:C544"/>
    <mergeCell ref="B545:C546"/>
    <mergeCell ref="B523:C524"/>
    <mergeCell ref="B525:C526"/>
    <mergeCell ref="B527:C528"/>
    <mergeCell ref="B529:C530"/>
    <mergeCell ref="B531:C532"/>
    <mergeCell ref="B533:C534"/>
    <mergeCell ref="B511:C512"/>
    <mergeCell ref="B513:C514"/>
    <mergeCell ref="B515:C516"/>
    <mergeCell ref="B517:C518"/>
    <mergeCell ref="B519:C520"/>
    <mergeCell ref="B521:C522"/>
    <mergeCell ref="B499:C500"/>
    <mergeCell ref="B501:C502"/>
    <mergeCell ref="B503:C504"/>
    <mergeCell ref="B505:C506"/>
    <mergeCell ref="B507:C508"/>
    <mergeCell ref="B509:C510"/>
    <mergeCell ref="B487:C488"/>
    <mergeCell ref="B489:C490"/>
    <mergeCell ref="B491:C492"/>
    <mergeCell ref="B493:C494"/>
    <mergeCell ref="B495:C496"/>
    <mergeCell ref="B497:C498"/>
    <mergeCell ref="B475:C476"/>
    <mergeCell ref="B477:C478"/>
    <mergeCell ref="B479:C480"/>
    <mergeCell ref="B481:C482"/>
    <mergeCell ref="B483:C484"/>
    <mergeCell ref="B485:C486"/>
    <mergeCell ref="B463:C464"/>
    <mergeCell ref="B465:C466"/>
    <mergeCell ref="B467:C468"/>
    <mergeCell ref="B469:C470"/>
    <mergeCell ref="B471:C472"/>
    <mergeCell ref="B473:C474"/>
    <mergeCell ref="B451:C452"/>
    <mergeCell ref="B453:C454"/>
    <mergeCell ref="B455:C456"/>
    <mergeCell ref="B457:C458"/>
    <mergeCell ref="B459:C460"/>
    <mergeCell ref="B461:C462"/>
    <mergeCell ref="B439:C440"/>
    <mergeCell ref="B441:C442"/>
    <mergeCell ref="B443:C444"/>
    <mergeCell ref="B445:C446"/>
    <mergeCell ref="B447:C448"/>
    <mergeCell ref="B449:C450"/>
    <mergeCell ref="B427:C428"/>
    <mergeCell ref="B429:C430"/>
    <mergeCell ref="B431:C432"/>
    <mergeCell ref="B433:C434"/>
    <mergeCell ref="B435:C436"/>
    <mergeCell ref="B437:C438"/>
    <mergeCell ref="B415:C416"/>
    <mergeCell ref="B417:C418"/>
    <mergeCell ref="B419:C420"/>
    <mergeCell ref="B421:C422"/>
    <mergeCell ref="B423:C424"/>
    <mergeCell ref="B425:C426"/>
    <mergeCell ref="B403:C404"/>
    <mergeCell ref="B405:C406"/>
    <mergeCell ref="B407:C408"/>
    <mergeCell ref="B409:C410"/>
    <mergeCell ref="B411:C412"/>
    <mergeCell ref="B413:C414"/>
    <mergeCell ref="B391:C392"/>
    <mergeCell ref="B393:C394"/>
    <mergeCell ref="B395:C396"/>
    <mergeCell ref="B397:C398"/>
    <mergeCell ref="B399:C400"/>
    <mergeCell ref="B401:C402"/>
    <mergeCell ref="B379:C380"/>
    <mergeCell ref="B381:C382"/>
    <mergeCell ref="B383:C384"/>
    <mergeCell ref="B385:C386"/>
    <mergeCell ref="B387:C388"/>
    <mergeCell ref="B389:C390"/>
    <mergeCell ref="B367:C368"/>
    <mergeCell ref="B369:C370"/>
    <mergeCell ref="B371:C372"/>
    <mergeCell ref="B373:C374"/>
    <mergeCell ref="B375:C376"/>
    <mergeCell ref="B377:C378"/>
    <mergeCell ref="B355:C356"/>
    <mergeCell ref="B357:C358"/>
    <mergeCell ref="B359:C360"/>
    <mergeCell ref="B361:C362"/>
    <mergeCell ref="B363:C364"/>
    <mergeCell ref="B365:C366"/>
    <mergeCell ref="B343:C344"/>
    <mergeCell ref="B345:C346"/>
    <mergeCell ref="B347:C348"/>
    <mergeCell ref="B349:C350"/>
    <mergeCell ref="B351:C352"/>
    <mergeCell ref="B353:C354"/>
    <mergeCell ref="B331:C332"/>
    <mergeCell ref="B333:C334"/>
    <mergeCell ref="B335:C336"/>
    <mergeCell ref="B337:C338"/>
    <mergeCell ref="B339:C340"/>
    <mergeCell ref="B341:C342"/>
    <mergeCell ref="B319:C320"/>
    <mergeCell ref="B321:C322"/>
    <mergeCell ref="B323:C324"/>
    <mergeCell ref="B325:C326"/>
    <mergeCell ref="B327:C328"/>
    <mergeCell ref="B329:C330"/>
    <mergeCell ref="B307:C308"/>
    <mergeCell ref="B309:C310"/>
    <mergeCell ref="B311:C312"/>
    <mergeCell ref="B313:C314"/>
    <mergeCell ref="B315:C316"/>
    <mergeCell ref="B317:C318"/>
    <mergeCell ref="B295:C296"/>
    <mergeCell ref="B297:C298"/>
    <mergeCell ref="B299:C300"/>
    <mergeCell ref="B301:C302"/>
    <mergeCell ref="B303:C304"/>
    <mergeCell ref="B305:C306"/>
    <mergeCell ref="O290:P292"/>
    <mergeCell ref="Q290:R292"/>
    <mergeCell ref="S290:T292"/>
    <mergeCell ref="U290:V292"/>
    <mergeCell ref="B293:C294"/>
    <mergeCell ref="D293:E294"/>
    <mergeCell ref="F293:G294"/>
    <mergeCell ref="H293:I294"/>
    <mergeCell ref="J293:K294"/>
    <mergeCell ref="Q293:R294"/>
    <mergeCell ref="Q26:R28"/>
    <mergeCell ref="S26:T28"/>
    <mergeCell ref="B288:K289"/>
    <mergeCell ref="M288:V289"/>
    <mergeCell ref="B290:C292"/>
    <mergeCell ref="D290:E292"/>
    <mergeCell ref="F290:G292"/>
    <mergeCell ref="H290:I292"/>
    <mergeCell ref="J290:K292"/>
    <mergeCell ref="M290:N292"/>
    <mergeCell ref="B282:C283"/>
    <mergeCell ref="D282:E283"/>
    <mergeCell ref="F282:G283"/>
    <mergeCell ref="H282:I283"/>
    <mergeCell ref="J282:K283"/>
    <mergeCell ref="B284:C285"/>
    <mergeCell ref="D284:E285"/>
    <mergeCell ref="F284:G285"/>
    <mergeCell ref="H284:I285"/>
    <mergeCell ref="J284:K285"/>
    <mergeCell ref="B278:C279"/>
    <mergeCell ref="D278:E279"/>
    <mergeCell ref="F278:G279"/>
    <mergeCell ref="H278:I279"/>
    <mergeCell ref="J278:K279"/>
    <mergeCell ref="B280:C281"/>
    <mergeCell ref="D280:E281"/>
    <mergeCell ref="F280:G281"/>
    <mergeCell ref="H280:I281"/>
    <mergeCell ref="J280:K281"/>
    <mergeCell ref="B274:C275"/>
    <mergeCell ref="D274:E275"/>
    <mergeCell ref="F274:G275"/>
    <mergeCell ref="H274:I275"/>
    <mergeCell ref="J274:K275"/>
    <mergeCell ref="B276:C277"/>
    <mergeCell ref="D276:E277"/>
    <mergeCell ref="F276:G277"/>
    <mergeCell ref="H276:I277"/>
    <mergeCell ref="J276:K277"/>
    <mergeCell ref="B270:C271"/>
    <mergeCell ref="D270:E271"/>
    <mergeCell ref="F270:G271"/>
    <mergeCell ref="H270:I271"/>
    <mergeCell ref="J270:K271"/>
    <mergeCell ref="B272:C273"/>
    <mergeCell ref="D272:E273"/>
    <mergeCell ref="F272:G273"/>
    <mergeCell ref="H272:I273"/>
    <mergeCell ref="J272:K273"/>
    <mergeCell ref="B266:C267"/>
    <mergeCell ref="D266:E267"/>
    <mergeCell ref="F266:G267"/>
    <mergeCell ref="H266:I267"/>
    <mergeCell ref="J266:K267"/>
    <mergeCell ref="B268:C269"/>
    <mergeCell ref="D268:E269"/>
    <mergeCell ref="F268:G269"/>
    <mergeCell ref="H268:I269"/>
    <mergeCell ref="J268:K269"/>
    <mergeCell ref="B262:C263"/>
    <mergeCell ref="D262:E263"/>
    <mergeCell ref="F262:G263"/>
    <mergeCell ref="H262:I263"/>
    <mergeCell ref="J262:K263"/>
    <mergeCell ref="B264:C265"/>
    <mergeCell ref="D264:E265"/>
    <mergeCell ref="F264:G265"/>
    <mergeCell ref="H264:I265"/>
    <mergeCell ref="J264:K265"/>
    <mergeCell ref="B258:C259"/>
    <mergeCell ref="D258:E259"/>
    <mergeCell ref="F258:G259"/>
    <mergeCell ref="H258:I259"/>
    <mergeCell ref="J258:K259"/>
    <mergeCell ref="B260:C261"/>
    <mergeCell ref="D260:E261"/>
    <mergeCell ref="F260:G261"/>
    <mergeCell ref="H260:I261"/>
    <mergeCell ref="J260:K261"/>
    <mergeCell ref="B254:C255"/>
    <mergeCell ref="D254:E255"/>
    <mergeCell ref="F254:G255"/>
    <mergeCell ref="H254:I255"/>
    <mergeCell ref="J254:K255"/>
    <mergeCell ref="B256:C257"/>
    <mergeCell ref="D256:E257"/>
    <mergeCell ref="F256:G257"/>
    <mergeCell ref="H256:I257"/>
    <mergeCell ref="J256:K257"/>
    <mergeCell ref="B250:C251"/>
    <mergeCell ref="D250:E251"/>
    <mergeCell ref="F250:G251"/>
    <mergeCell ref="H250:I251"/>
    <mergeCell ref="J250:K251"/>
    <mergeCell ref="B252:C253"/>
    <mergeCell ref="D252:E253"/>
    <mergeCell ref="F252:G253"/>
    <mergeCell ref="H252:I253"/>
    <mergeCell ref="J252:K253"/>
    <mergeCell ref="B246:C247"/>
    <mergeCell ref="D246:E247"/>
    <mergeCell ref="F246:G247"/>
    <mergeCell ref="H246:I247"/>
    <mergeCell ref="J246:K247"/>
    <mergeCell ref="B248:C249"/>
    <mergeCell ref="D248:E249"/>
    <mergeCell ref="F248:G249"/>
    <mergeCell ref="H248:I249"/>
    <mergeCell ref="J248:K249"/>
    <mergeCell ref="B242:C243"/>
    <mergeCell ref="D242:E243"/>
    <mergeCell ref="F242:G243"/>
    <mergeCell ref="H242:I243"/>
    <mergeCell ref="J242:K243"/>
    <mergeCell ref="B244:C245"/>
    <mergeCell ref="D244:E245"/>
    <mergeCell ref="F244:G245"/>
    <mergeCell ref="H244:I245"/>
    <mergeCell ref="J244:K245"/>
    <mergeCell ref="B238:C239"/>
    <mergeCell ref="D238:E239"/>
    <mergeCell ref="F238:G239"/>
    <mergeCell ref="H238:I239"/>
    <mergeCell ref="J238:K239"/>
    <mergeCell ref="B240:C241"/>
    <mergeCell ref="D240:E241"/>
    <mergeCell ref="F240:G241"/>
    <mergeCell ref="H240:I241"/>
    <mergeCell ref="J240:K241"/>
    <mergeCell ref="B234:C235"/>
    <mergeCell ref="D234:E235"/>
    <mergeCell ref="F234:G235"/>
    <mergeCell ref="H234:I235"/>
    <mergeCell ref="J234:K235"/>
    <mergeCell ref="B236:C237"/>
    <mergeCell ref="D236:E237"/>
    <mergeCell ref="F236:G237"/>
    <mergeCell ref="H236:I237"/>
    <mergeCell ref="J236:K237"/>
    <mergeCell ref="B230:C231"/>
    <mergeCell ref="D230:E231"/>
    <mergeCell ref="F230:G231"/>
    <mergeCell ref="H230:I231"/>
    <mergeCell ref="J230:K231"/>
    <mergeCell ref="B232:C233"/>
    <mergeCell ref="D232:E233"/>
    <mergeCell ref="F232:G233"/>
    <mergeCell ref="H232:I233"/>
    <mergeCell ref="J232:K233"/>
    <mergeCell ref="B226:C227"/>
    <mergeCell ref="D226:E227"/>
    <mergeCell ref="F226:G227"/>
    <mergeCell ref="H226:I227"/>
    <mergeCell ref="J226:K227"/>
    <mergeCell ref="B228:C229"/>
    <mergeCell ref="D228:E229"/>
    <mergeCell ref="F228:G229"/>
    <mergeCell ref="H228:I229"/>
    <mergeCell ref="J228:K229"/>
    <mergeCell ref="B222:C223"/>
    <mergeCell ref="D222:E223"/>
    <mergeCell ref="F222:G223"/>
    <mergeCell ref="H222:I223"/>
    <mergeCell ref="J222:K223"/>
    <mergeCell ref="B224:C225"/>
    <mergeCell ref="D224:E225"/>
    <mergeCell ref="F224:G225"/>
    <mergeCell ref="H224:I225"/>
    <mergeCell ref="J224:K225"/>
    <mergeCell ref="B218:C219"/>
    <mergeCell ref="D218:E219"/>
    <mergeCell ref="F218:G219"/>
    <mergeCell ref="H218:I219"/>
    <mergeCell ref="J218:K219"/>
    <mergeCell ref="B220:C221"/>
    <mergeCell ref="D220:E221"/>
    <mergeCell ref="F220:G221"/>
    <mergeCell ref="H220:I221"/>
    <mergeCell ref="J220:K221"/>
    <mergeCell ref="B214:C215"/>
    <mergeCell ref="D214:E215"/>
    <mergeCell ref="F214:G215"/>
    <mergeCell ref="H214:I215"/>
    <mergeCell ref="J214:K215"/>
    <mergeCell ref="B216:C217"/>
    <mergeCell ref="D216:E217"/>
    <mergeCell ref="F216:G217"/>
    <mergeCell ref="H216:I217"/>
    <mergeCell ref="J216:K217"/>
    <mergeCell ref="B210:C211"/>
    <mergeCell ref="D210:E211"/>
    <mergeCell ref="F210:G211"/>
    <mergeCell ref="H210:I211"/>
    <mergeCell ref="J210:K211"/>
    <mergeCell ref="B212:C213"/>
    <mergeCell ref="D212:E213"/>
    <mergeCell ref="F212:G213"/>
    <mergeCell ref="H212:I213"/>
    <mergeCell ref="J212:K213"/>
    <mergeCell ref="B206:C207"/>
    <mergeCell ref="D206:E207"/>
    <mergeCell ref="F206:G207"/>
    <mergeCell ref="H206:I207"/>
    <mergeCell ref="J206:K207"/>
    <mergeCell ref="B208:C209"/>
    <mergeCell ref="D208:E209"/>
    <mergeCell ref="F208:G209"/>
    <mergeCell ref="H208:I209"/>
    <mergeCell ref="J208:K209"/>
    <mergeCell ref="B202:C203"/>
    <mergeCell ref="D202:E203"/>
    <mergeCell ref="F202:G203"/>
    <mergeCell ref="H202:I203"/>
    <mergeCell ref="J202:K203"/>
    <mergeCell ref="B204:C205"/>
    <mergeCell ref="D204:E205"/>
    <mergeCell ref="F204:G205"/>
    <mergeCell ref="H204:I205"/>
    <mergeCell ref="J204:K205"/>
    <mergeCell ref="B198:C199"/>
    <mergeCell ref="D198:E199"/>
    <mergeCell ref="F198:G199"/>
    <mergeCell ref="H198:I199"/>
    <mergeCell ref="J198:K199"/>
    <mergeCell ref="B200:C201"/>
    <mergeCell ref="D200:E201"/>
    <mergeCell ref="F200:G201"/>
    <mergeCell ref="H200:I201"/>
    <mergeCell ref="J200:K201"/>
    <mergeCell ref="B194:C195"/>
    <mergeCell ref="D194:E195"/>
    <mergeCell ref="F194:G195"/>
    <mergeCell ref="H194:I195"/>
    <mergeCell ref="J194:K195"/>
    <mergeCell ref="B196:C197"/>
    <mergeCell ref="D196:E197"/>
    <mergeCell ref="F196:G197"/>
    <mergeCell ref="H196:I197"/>
    <mergeCell ref="J196:K197"/>
    <mergeCell ref="B190:C191"/>
    <mergeCell ref="D190:E191"/>
    <mergeCell ref="F190:G191"/>
    <mergeCell ref="H190:I191"/>
    <mergeCell ref="J190:K191"/>
    <mergeCell ref="B192:C193"/>
    <mergeCell ref="D192:E193"/>
    <mergeCell ref="F192:G193"/>
    <mergeCell ref="H192:I193"/>
    <mergeCell ref="J192:K193"/>
    <mergeCell ref="B186:C187"/>
    <mergeCell ref="D186:E187"/>
    <mergeCell ref="F186:G187"/>
    <mergeCell ref="H186:I187"/>
    <mergeCell ref="J186:K187"/>
    <mergeCell ref="B188:C189"/>
    <mergeCell ref="D188:E189"/>
    <mergeCell ref="F188:G189"/>
    <mergeCell ref="H188:I189"/>
    <mergeCell ref="J188:K189"/>
    <mergeCell ref="B182:C183"/>
    <mergeCell ref="D182:E183"/>
    <mergeCell ref="F182:G183"/>
    <mergeCell ref="H182:I183"/>
    <mergeCell ref="J182:K183"/>
    <mergeCell ref="B184:C185"/>
    <mergeCell ref="D184:E185"/>
    <mergeCell ref="F184:G185"/>
    <mergeCell ref="H184:I185"/>
    <mergeCell ref="J184:K185"/>
    <mergeCell ref="B178:C179"/>
    <mergeCell ref="D178:E179"/>
    <mergeCell ref="F178:G179"/>
    <mergeCell ref="H178:I179"/>
    <mergeCell ref="J178:K179"/>
    <mergeCell ref="B180:C181"/>
    <mergeCell ref="D180:E181"/>
    <mergeCell ref="F180:G181"/>
    <mergeCell ref="H180:I181"/>
    <mergeCell ref="J180:K181"/>
    <mergeCell ref="B174:C175"/>
    <mergeCell ref="D174:E175"/>
    <mergeCell ref="F174:G175"/>
    <mergeCell ref="H174:I175"/>
    <mergeCell ref="J174:K175"/>
    <mergeCell ref="B176:C177"/>
    <mergeCell ref="D176:E177"/>
    <mergeCell ref="F176:G177"/>
    <mergeCell ref="H176:I177"/>
    <mergeCell ref="J176:K177"/>
    <mergeCell ref="B170:C171"/>
    <mergeCell ref="D170:E171"/>
    <mergeCell ref="F170:G171"/>
    <mergeCell ref="H170:I171"/>
    <mergeCell ref="J170:K171"/>
    <mergeCell ref="B172:C173"/>
    <mergeCell ref="D172:E173"/>
    <mergeCell ref="F172:G173"/>
    <mergeCell ref="H172:I173"/>
    <mergeCell ref="J172:K173"/>
    <mergeCell ref="B166:C167"/>
    <mergeCell ref="D166:E167"/>
    <mergeCell ref="F166:G167"/>
    <mergeCell ref="H166:I167"/>
    <mergeCell ref="J166:K167"/>
    <mergeCell ref="B168:C169"/>
    <mergeCell ref="D168:E169"/>
    <mergeCell ref="F168:G169"/>
    <mergeCell ref="H168:I169"/>
    <mergeCell ref="J168:K169"/>
    <mergeCell ref="B162:C163"/>
    <mergeCell ref="D162:E163"/>
    <mergeCell ref="F162:G163"/>
    <mergeCell ref="H162:I163"/>
    <mergeCell ref="J162:K163"/>
    <mergeCell ref="B164:C165"/>
    <mergeCell ref="D164:E165"/>
    <mergeCell ref="F164:G165"/>
    <mergeCell ref="H164:I165"/>
    <mergeCell ref="J164:K165"/>
    <mergeCell ref="B158:C159"/>
    <mergeCell ref="D158:E159"/>
    <mergeCell ref="F158:G159"/>
    <mergeCell ref="H158:I159"/>
    <mergeCell ref="J158:K159"/>
    <mergeCell ref="B160:C161"/>
    <mergeCell ref="D160:E161"/>
    <mergeCell ref="F160:G161"/>
    <mergeCell ref="H160:I161"/>
    <mergeCell ref="J160:K161"/>
    <mergeCell ref="B154:C155"/>
    <mergeCell ref="D154:E155"/>
    <mergeCell ref="F154:G155"/>
    <mergeCell ref="H154:I155"/>
    <mergeCell ref="J154:K155"/>
    <mergeCell ref="B156:C157"/>
    <mergeCell ref="D156:E157"/>
    <mergeCell ref="F156:G157"/>
    <mergeCell ref="H156:I157"/>
    <mergeCell ref="J156:K157"/>
    <mergeCell ref="B150:C151"/>
    <mergeCell ref="D150:E151"/>
    <mergeCell ref="F150:G151"/>
    <mergeCell ref="H150:I151"/>
    <mergeCell ref="J150:K151"/>
    <mergeCell ref="B152:C153"/>
    <mergeCell ref="D152:E153"/>
    <mergeCell ref="F152:G153"/>
    <mergeCell ref="H152:I153"/>
    <mergeCell ref="J152:K153"/>
    <mergeCell ref="B146:C147"/>
    <mergeCell ref="D146:E147"/>
    <mergeCell ref="F146:G147"/>
    <mergeCell ref="H146:I147"/>
    <mergeCell ref="J146:K147"/>
    <mergeCell ref="B148:C149"/>
    <mergeCell ref="D148:E149"/>
    <mergeCell ref="F148:G149"/>
    <mergeCell ref="H148:I149"/>
    <mergeCell ref="J148:K149"/>
    <mergeCell ref="B142:C143"/>
    <mergeCell ref="D142:E143"/>
    <mergeCell ref="F142:G143"/>
    <mergeCell ref="H142:I143"/>
    <mergeCell ref="J142:K143"/>
    <mergeCell ref="B144:C145"/>
    <mergeCell ref="D144:E145"/>
    <mergeCell ref="F144:G145"/>
    <mergeCell ref="H144:I145"/>
    <mergeCell ref="J144:K145"/>
    <mergeCell ref="B138:C139"/>
    <mergeCell ref="D138:E139"/>
    <mergeCell ref="F138:G139"/>
    <mergeCell ref="H138:I139"/>
    <mergeCell ref="J138:K139"/>
    <mergeCell ref="B140:C141"/>
    <mergeCell ref="D140:E141"/>
    <mergeCell ref="F140:G141"/>
    <mergeCell ref="H140:I141"/>
    <mergeCell ref="J140:K141"/>
    <mergeCell ref="B134:C135"/>
    <mergeCell ref="D134:E135"/>
    <mergeCell ref="F134:G135"/>
    <mergeCell ref="H134:I135"/>
    <mergeCell ref="J134:K135"/>
    <mergeCell ref="B136:C137"/>
    <mergeCell ref="D136:E137"/>
    <mergeCell ref="F136:G137"/>
    <mergeCell ref="H136:I137"/>
    <mergeCell ref="J136:K137"/>
    <mergeCell ref="B130:C131"/>
    <mergeCell ref="D130:E131"/>
    <mergeCell ref="F130:G131"/>
    <mergeCell ref="H130:I131"/>
    <mergeCell ref="J130:K131"/>
    <mergeCell ref="B132:C133"/>
    <mergeCell ref="D132:E133"/>
    <mergeCell ref="F132:G133"/>
    <mergeCell ref="H132:I133"/>
    <mergeCell ref="J132:K133"/>
    <mergeCell ref="B126:C127"/>
    <mergeCell ref="D126:E127"/>
    <mergeCell ref="F126:G127"/>
    <mergeCell ref="H126:I127"/>
    <mergeCell ref="J126:K127"/>
    <mergeCell ref="B128:C129"/>
    <mergeCell ref="D128:E129"/>
    <mergeCell ref="F128:G129"/>
    <mergeCell ref="H128:I129"/>
    <mergeCell ref="J128:K129"/>
    <mergeCell ref="B122:C123"/>
    <mergeCell ref="D122:E123"/>
    <mergeCell ref="F122:G123"/>
    <mergeCell ref="H122:I123"/>
    <mergeCell ref="J122:K123"/>
    <mergeCell ref="B124:C125"/>
    <mergeCell ref="D124:E125"/>
    <mergeCell ref="F124:G125"/>
    <mergeCell ref="H124:I125"/>
    <mergeCell ref="J124:K125"/>
    <mergeCell ref="B118:C119"/>
    <mergeCell ref="D118:E119"/>
    <mergeCell ref="F118:G119"/>
    <mergeCell ref="H118:I119"/>
    <mergeCell ref="J118:K119"/>
    <mergeCell ref="B120:C121"/>
    <mergeCell ref="D120:E121"/>
    <mergeCell ref="F120:G121"/>
    <mergeCell ref="H120:I121"/>
    <mergeCell ref="J120:K121"/>
    <mergeCell ref="B114:C115"/>
    <mergeCell ref="D114:E115"/>
    <mergeCell ref="F114:G115"/>
    <mergeCell ref="H114:I115"/>
    <mergeCell ref="J114:K115"/>
    <mergeCell ref="B116:C117"/>
    <mergeCell ref="D116:E117"/>
    <mergeCell ref="F116:G117"/>
    <mergeCell ref="H116:I117"/>
    <mergeCell ref="J116:K117"/>
    <mergeCell ref="B110:C111"/>
    <mergeCell ref="D110:E111"/>
    <mergeCell ref="F110:G111"/>
    <mergeCell ref="H110:I111"/>
    <mergeCell ref="J110:K111"/>
    <mergeCell ref="B112:C113"/>
    <mergeCell ref="D112:E113"/>
    <mergeCell ref="F112:G113"/>
    <mergeCell ref="H112:I113"/>
    <mergeCell ref="J112:K113"/>
    <mergeCell ref="B106:C107"/>
    <mergeCell ref="D106:E107"/>
    <mergeCell ref="F106:G107"/>
    <mergeCell ref="H106:I107"/>
    <mergeCell ref="J106:K107"/>
    <mergeCell ref="B108:C109"/>
    <mergeCell ref="D108:E109"/>
    <mergeCell ref="F108:G109"/>
    <mergeCell ref="H108:I109"/>
    <mergeCell ref="J108:K109"/>
    <mergeCell ref="B102:C103"/>
    <mergeCell ref="D102:E103"/>
    <mergeCell ref="F102:G103"/>
    <mergeCell ref="H102:I103"/>
    <mergeCell ref="J102:K103"/>
    <mergeCell ref="B104:C105"/>
    <mergeCell ref="D104:E105"/>
    <mergeCell ref="F104:G105"/>
    <mergeCell ref="H104:I105"/>
    <mergeCell ref="J104:K105"/>
    <mergeCell ref="B98:C99"/>
    <mergeCell ref="D98:E99"/>
    <mergeCell ref="F98:G99"/>
    <mergeCell ref="H98:I99"/>
    <mergeCell ref="J98:K99"/>
    <mergeCell ref="B100:C101"/>
    <mergeCell ref="D100:E101"/>
    <mergeCell ref="F100:G101"/>
    <mergeCell ref="H100:I101"/>
    <mergeCell ref="J100:K101"/>
    <mergeCell ref="B94:C95"/>
    <mergeCell ref="D94:E95"/>
    <mergeCell ref="F94:G95"/>
    <mergeCell ref="H94:I95"/>
    <mergeCell ref="J94:K95"/>
    <mergeCell ref="B96:C97"/>
    <mergeCell ref="D96:E97"/>
    <mergeCell ref="F96:G97"/>
    <mergeCell ref="H96:I97"/>
    <mergeCell ref="J96:K97"/>
    <mergeCell ref="B90:C91"/>
    <mergeCell ref="D90:E91"/>
    <mergeCell ref="F90:G91"/>
    <mergeCell ref="H90:I91"/>
    <mergeCell ref="J90:K91"/>
    <mergeCell ref="B92:K93"/>
    <mergeCell ref="B86:C87"/>
    <mergeCell ref="D86:E87"/>
    <mergeCell ref="F86:G87"/>
    <mergeCell ref="H86:I87"/>
    <mergeCell ref="J86:K87"/>
    <mergeCell ref="B88:C89"/>
    <mergeCell ref="D88:E89"/>
    <mergeCell ref="F88:G89"/>
    <mergeCell ref="H88:I89"/>
    <mergeCell ref="J88:K89"/>
    <mergeCell ref="B82:C83"/>
    <mergeCell ref="D82:E83"/>
    <mergeCell ref="F82:G83"/>
    <mergeCell ref="H82:I83"/>
    <mergeCell ref="J82:K83"/>
    <mergeCell ref="B84:C85"/>
    <mergeCell ref="D84:E85"/>
    <mergeCell ref="F84:G85"/>
    <mergeCell ref="H84:I85"/>
    <mergeCell ref="J84:K85"/>
    <mergeCell ref="B78:C79"/>
    <mergeCell ref="D78:E79"/>
    <mergeCell ref="F78:G79"/>
    <mergeCell ref="H78:I79"/>
    <mergeCell ref="J78:K79"/>
    <mergeCell ref="B80:C81"/>
    <mergeCell ref="D80:E81"/>
    <mergeCell ref="F80:G81"/>
    <mergeCell ref="H80:I81"/>
    <mergeCell ref="J80:K81"/>
    <mergeCell ref="B74:C75"/>
    <mergeCell ref="D74:E75"/>
    <mergeCell ref="F74:G75"/>
    <mergeCell ref="H74:I75"/>
    <mergeCell ref="J74:K75"/>
    <mergeCell ref="B76:C77"/>
    <mergeCell ref="D76:E77"/>
    <mergeCell ref="F76:G77"/>
    <mergeCell ref="H76:I77"/>
    <mergeCell ref="J76:K77"/>
    <mergeCell ref="B70:C71"/>
    <mergeCell ref="D70:E71"/>
    <mergeCell ref="F70:G71"/>
    <mergeCell ref="H70:I71"/>
    <mergeCell ref="J70:K71"/>
    <mergeCell ref="B72:C73"/>
    <mergeCell ref="D72:E73"/>
    <mergeCell ref="F72:G73"/>
    <mergeCell ref="H72:I73"/>
    <mergeCell ref="J72:K73"/>
    <mergeCell ref="B66:C67"/>
    <mergeCell ref="D66:E67"/>
    <mergeCell ref="F66:G67"/>
    <mergeCell ref="H66:I67"/>
    <mergeCell ref="J66:K67"/>
    <mergeCell ref="B68:C69"/>
    <mergeCell ref="D68:E69"/>
    <mergeCell ref="F68:G69"/>
    <mergeCell ref="H68:I69"/>
    <mergeCell ref="J68:K69"/>
    <mergeCell ref="B62:C63"/>
    <mergeCell ref="D62:E63"/>
    <mergeCell ref="F62:G63"/>
    <mergeCell ref="H62:I63"/>
    <mergeCell ref="J62:K63"/>
    <mergeCell ref="B64:C65"/>
    <mergeCell ref="D64:E65"/>
    <mergeCell ref="F64:G65"/>
    <mergeCell ref="H64:I65"/>
    <mergeCell ref="J64:K65"/>
    <mergeCell ref="B58:C59"/>
    <mergeCell ref="D58:E59"/>
    <mergeCell ref="F58:G59"/>
    <mergeCell ref="H58:I59"/>
    <mergeCell ref="J58:K59"/>
    <mergeCell ref="B60:C61"/>
    <mergeCell ref="D60:E61"/>
    <mergeCell ref="F60:G61"/>
    <mergeCell ref="H60:I61"/>
    <mergeCell ref="J60:K61"/>
    <mergeCell ref="B54:C55"/>
    <mergeCell ref="D54:E55"/>
    <mergeCell ref="F54:G55"/>
    <mergeCell ref="H54:I55"/>
    <mergeCell ref="J54:K55"/>
    <mergeCell ref="B56:C57"/>
    <mergeCell ref="D56:E57"/>
    <mergeCell ref="F56:G57"/>
    <mergeCell ref="H56:I57"/>
    <mergeCell ref="J56:K57"/>
    <mergeCell ref="S29:T30"/>
    <mergeCell ref="B39:C41"/>
    <mergeCell ref="D39:E41"/>
    <mergeCell ref="F39:G41"/>
    <mergeCell ref="H39:I41"/>
    <mergeCell ref="J39:K41"/>
    <mergeCell ref="N40:Q41"/>
    <mergeCell ref="B50:C51"/>
    <mergeCell ref="D50:E51"/>
    <mergeCell ref="F50:G51"/>
    <mergeCell ref="H50:I51"/>
    <mergeCell ref="J50:K51"/>
    <mergeCell ref="B52:C53"/>
    <mergeCell ref="D52:E53"/>
    <mergeCell ref="F52:G53"/>
    <mergeCell ref="H52:I53"/>
    <mergeCell ref="J52:K53"/>
    <mergeCell ref="B46:C47"/>
    <mergeCell ref="D46:E47"/>
    <mergeCell ref="F46:G47"/>
    <mergeCell ref="H46:I47"/>
    <mergeCell ref="J46:K47"/>
    <mergeCell ref="B48:C49"/>
    <mergeCell ref="D48:E49"/>
    <mergeCell ref="F48:G49"/>
    <mergeCell ref="H48:I49"/>
    <mergeCell ref="J48:K49"/>
    <mergeCell ref="P44:Q45"/>
    <mergeCell ref="N46:O47"/>
    <mergeCell ref="P46:Q47"/>
    <mergeCell ref="B1:N2"/>
    <mergeCell ref="B3:N13"/>
    <mergeCell ref="B16:E17"/>
    <mergeCell ref="Q20:R22"/>
    <mergeCell ref="S20:T22"/>
    <mergeCell ref="Q23:R25"/>
    <mergeCell ref="S23:T25"/>
    <mergeCell ref="Q16:R17"/>
    <mergeCell ref="S16:T17"/>
    <mergeCell ref="Q18:R19"/>
    <mergeCell ref="S18:T19"/>
    <mergeCell ref="B34:Q35"/>
    <mergeCell ref="B36:C37"/>
    <mergeCell ref="D36:E37"/>
    <mergeCell ref="H36:I37"/>
    <mergeCell ref="J36:K37"/>
    <mergeCell ref="N36:O37"/>
    <mergeCell ref="P36:Q37"/>
    <mergeCell ref="L22:M24"/>
    <mergeCell ref="N22:O24"/>
    <mergeCell ref="L25:M26"/>
    <mergeCell ref="N25:O26"/>
    <mergeCell ref="L27:M29"/>
    <mergeCell ref="N27:O29"/>
    <mergeCell ref="L30:M31"/>
    <mergeCell ref="N30:O31"/>
    <mergeCell ref="G22:H23"/>
    <mergeCell ref="I22:J23"/>
    <mergeCell ref="G24:H25"/>
    <mergeCell ref="I24:J25"/>
    <mergeCell ref="L16:M17"/>
    <mergeCell ref="N16:O17"/>
    <mergeCell ref="N86:AA87"/>
    <mergeCell ref="N91:Q92"/>
    <mergeCell ref="R91:AA92"/>
    <mergeCell ref="N93:Q94"/>
    <mergeCell ref="R93:AA94"/>
    <mergeCell ref="N88:Q90"/>
    <mergeCell ref="R88:AA90"/>
    <mergeCell ref="N20:O21"/>
    <mergeCell ref="B18:C19"/>
    <mergeCell ref="D18:E19"/>
    <mergeCell ref="B20:C21"/>
    <mergeCell ref="D20:E21"/>
    <mergeCell ref="G16:H17"/>
    <mergeCell ref="I16:J17"/>
    <mergeCell ref="G18:H19"/>
    <mergeCell ref="I18:J19"/>
    <mergeCell ref="G20:H21"/>
    <mergeCell ref="I20:J21"/>
    <mergeCell ref="L18:M19"/>
    <mergeCell ref="N18:O19"/>
    <mergeCell ref="L20:M21"/>
    <mergeCell ref="B42:C43"/>
    <mergeCell ref="D42:E43"/>
    <mergeCell ref="F42:G43"/>
    <mergeCell ref="H42:I43"/>
    <mergeCell ref="J42:K43"/>
    <mergeCell ref="B44:C45"/>
    <mergeCell ref="D44:E45"/>
    <mergeCell ref="F44:G45"/>
    <mergeCell ref="H44:I45"/>
    <mergeCell ref="J44:K45"/>
    <mergeCell ref="Q29:R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dfefab0-3cc3-42da-9f6f-4168327755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08854793FE2A644B749437383C54126" ma:contentTypeVersion="15" ma:contentTypeDescription="Crear nuevo documento." ma:contentTypeScope="" ma:versionID="bc77594b2ff775cd148d16ccbe12ea89">
  <xsd:schema xmlns:xsd="http://www.w3.org/2001/XMLSchema" xmlns:xs="http://www.w3.org/2001/XMLSchema" xmlns:p="http://schemas.microsoft.com/office/2006/metadata/properties" xmlns:ns3="6dfefab0-3cc3-42da-9f6f-41683277559d" xmlns:ns4="7ac4bdf9-2e20-4267-9424-ee5d0d3fa201" targetNamespace="http://schemas.microsoft.com/office/2006/metadata/properties" ma:root="true" ma:fieldsID="485cba0472f4bc70fe53507558bc888b" ns3:_="" ns4:_="">
    <xsd:import namespace="6dfefab0-3cc3-42da-9f6f-41683277559d"/>
    <xsd:import namespace="7ac4bdf9-2e20-4267-9424-ee5d0d3fa20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_activity" minOccurs="0"/>
                <xsd:element ref="ns3:MediaServiceObjectDetectorVersions" minOccurs="0"/>
                <xsd:element ref="ns3:MediaServiceDateTaken"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fefab0-3cc3-42da-9f6f-4168327755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c4bdf9-2e20-4267-9424-ee5d0d3fa201"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194842-5115-44F2-9CC0-46071A9E5833}">
  <ds:schemaRefs>
    <ds:schemaRef ds:uri="http://schemas.microsoft.com/sharepoint/v3/contenttype/forms"/>
  </ds:schemaRefs>
</ds:datastoreItem>
</file>

<file path=customXml/itemProps2.xml><?xml version="1.0" encoding="utf-8"?>
<ds:datastoreItem xmlns:ds="http://schemas.openxmlformats.org/officeDocument/2006/customXml" ds:itemID="{B73DCDAC-2F5E-45EF-A21E-00C40915153F}">
  <ds:schemaRefs>
    <ds:schemaRef ds:uri="http://schemas.microsoft.com/office/2006/documentManagement/types"/>
    <ds:schemaRef ds:uri="7ac4bdf9-2e20-4267-9424-ee5d0d3fa201"/>
    <ds:schemaRef ds:uri="http://purl.org/dc/dcmitype/"/>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6dfefab0-3cc3-42da-9f6f-41683277559d"/>
    <ds:schemaRef ds:uri="http://schemas.microsoft.com/office/2006/metadata/properties"/>
  </ds:schemaRefs>
</ds:datastoreItem>
</file>

<file path=customXml/itemProps3.xml><?xml version="1.0" encoding="utf-8"?>
<ds:datastoreItem xmlns:ds="http://schemas.openxmlformats.org/officeDocument/2006/customXml" ds:itemID="{CDD6BDE5-7C8E-4599-B2C4-2EDA19B9AC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fefab0-3cc3-42da-9f6f-41683277559d"/>
    <ds:schemaRef ds:uri="7ac4bdf9-2e20-4267-9424-ee5d0d3fa2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P1</vt:lpstr>
      <vt:lpstr>P2</vt:lpstr>
      <vt:lpstr>P3</vt:lpstr>
      <vt:lpstr>P4</vt:lpstr>
      <vt:lpstr>P5</vt:lpstr>
      <vt:lpstr>P6</vt:lpstr>
      <vt:lpstr>P7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Rubén Castañeda Matute</dc:creator>
  <cp:lastModifiedBy>Rubén Castañeda Matute</cp:lastModifiedBy>
  <dcterms:created xsi:type="dcterms:W3CDTF">2025-11-28T20:19:17Z</dcterms:created>
  <dcterms:modified xsi:type="dcterms:W3CDTF">2025-11-30T07:18:53Z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0x010100808854793FE2A644B749437383C54126</vt:lpwstr>
  </property>
</Properties>
</file>